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Datos" sheetId="2" state="visible" r:id="rId2"/>
    <sheet name="Categorias" sheetId="3" state="visible" r:id="rId3"/>
    <sheet name="Gini" sheetId="4" state="visible" r:id="rId4"/>
    <sheet name="Puente_CPI" sheetId="5" state="visible" r:id="rId5"/>
    <sheet name="Corrupcion" sheetId="6" state="visible" r:id="rId6"/>
    <sheet name="Panel_A" sheetId="7" state="visible" r:id="rId7"/>
    <sheet name="Panel_B" sheetId="8" state="visible" r:id="rId8"/>
  </sheets>
  <definedNames>
    <definedName name="_xlnm._FilterDatabase" localSheetId="1" hidden="1">'Datos'!$A$1:$F$2587</definedName>
    <definedName name="_xlnm._FilterDatabase" localSheetId="5" hidden="1">'Corrupcion'!$A$1:$H$377</definedName>
    <definedName name="_xlnm._FilterDatabase" localSheetId="6" hidden="1">'Panel_A'!$A$1:$K$377</definedName>
    <definedName name="_xlnm._FilterDatabase" localSheetId="7" hidden="1">'Panel_B'!$A$1:$K$377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2" fontId="3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C1" authorId="0" shapeId="0">
      <text>
        <t>Escriba el Gini del país-año en escala 0-100 (ej.: 42.4). Deje vacío si no hay dato; esa fila quedará fuera de la regresión.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1" authorId="0" shapeId="0">
      <text>
        <t>Fuente: datahub.io/core/corruption-perceptions-index (Transparency International). 0.0 en el archivo original = sin dato (queda vacío).</t>
      </text>
    </comment>
    <comment ref="D1" authorId="0" shapeId="0">
      <text>
        <t>Fuente: data.humdata.org/dataset/global-corruption-perceptions-index (Transparency International), columna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Panel país-año Latinobarómetro para regresión (MCO)</t>
        </is>
      </c>
    </row>
    <row r="2">
      <c r="A2" s="2" t="inlineStr"/>
    </row>
    <row r="3">
      <c r="A3" s="2" t="inlineStr">
        <is>
          <t>Fuente: exportaciones de la herramienta de análisis online de Latinobarómetro (porcentajes ya ponderados). Archivos: data/online/apoyo_democracia.xlsx y data/online/grupos_poderosos.xlsx.</t>
        </is>
      </c>
    </row>
    <row r="4">
      <c r="A4" s="2" t="inlineStr"/>
    </row>
    <row r="5">
      <c r="A5" s="3" t="inlineStr">
        <is>
          <t>HOJAS</t>
        </is>
      </c>
    </row>
    <row r="6">
      <c r="A6" s="2" t="inlineStr">
        <is>
          <t>Datos: todas las tablas exportadas en formato largo (una fila por variable, país, año y categoría). Valores copiados de la herramienta online (texto azul).</t>
        </is>
      </c>
    </row>
    <row r="7">
      <c r="A7" s="2" t="inlineStr">
        <is>
          <t>Categorias: % de cada categoría por país-año, calculado con SUMIFS sobre Datos.</t>
        </is>
      </c>
    </row>
    <row r="8">
      <c r="A8" s="2" t="inlineStr">
        <is>
          <t>Gini: COMPLETAR las celdas amarillas (Gini 0-100 y fuente, p. ej. Banco Mundial / SEDLAC).</t>
        </is>
      </c>
    </row>
    <row r="9">
      <c r="A9" s="2" t="inlineStr">
        <is>
          <t>Corrupcion: Índice de Percepción de la Corrupción (Transparency International). Dos versiones: 'CPI escala 0-10 (empalmado)' = datahub.io hasta 2011 + global HDX / 10 desde 2012; 'CPI 0-100 (desde 2012)' = global HDX sin transformar; 'CPI 0-100 empalmado por regresión' = hasta 2011 a + b x datahub, con a y b estimados en la hoja Puente_CPI (176 países, CPI 2012 sobre CPI 2011), y desde 2012 global HDX.</t>
        </is>
      </c>
    </row>
    <row r="10">
      <c r="A10" s="2" t="inlineStr">
        <is>
          <t>Puente_CPI: datos de los 176 países con CPI 2011 (método antiguo) y 2012 (método nuevo) y los coeficientes del empalme (INTERSECCION.EJE, PENDIENTE, R2).</t>
        </is>
      </c>
    </row>
    <row r="11">
      <c r="A11" s="2" t="inlineStr">
        <is>
          <t>Panel_A: variables con el criterio A = % de la categoría sobre el total (incluye NS/NR). Robustez.</t>
        </is>
      </c>
    </row>
    <row r="12">
      <c r="A12" s="2" t="inlineStr">
        <is>
          <t>Panel_B: variables con el criterio B = % sobre respuestas válidas (excluye NS/NR). Modelo principal.</t>
        </is>
      </c>
    </row>
    <row r="13">
      <c r="A13" s="2" t="inlineStr"/>
    </row>
    <row r="14">
      <c r="A14" s="3" t="inlineStr">
        <is>
          <t>DEFINICIONES</t>
        </is>
      </c>
    </row>
    <row r="15">
      <c r="A15" s="2" t="inlineStr">
        <is>
          <t>Y = % 'La democracia es preferible a cualquier otra forma de gobierno'. B: Democracia / (Democracia + Gobierno autoritario + Da lo mismo).</t>
        </is>
      </c>
    </row>
    <row r="16">
      <c r="A16" s="2" t="inlineStr">
        <is>
          <t>X grupos poderosos = % 'gobernado por unos cuantos grupos poderosos en su propio beneficio'. B: Grupos / (Grupos + Bien de todo el pueblo).</t>
        </is>
      </c>
    </row>
    <row r="17">
      <c r="A17" s="2" t="inlineStr">
        <is>
          <t>Ejemplo Argentina 2024: A = 74,6 %; B = 74,6 / (74,6 + 11,6 + 10,1) = 77,5 %.</t>
        </is>
      </c>
    </row>
    <row r="18">
      <c r="A18" s="2" t="inlineStr">
        <is>
          <t>CPI: más alto = MENOS corrupción percibida. Transparency International cambió la metodología en 2012 y advierte que los puntajes anteriores no son comparables con los posteriores: la versión empalmada cruza ese quiebre sin corregirlo; la empalmada por regresión corrige la escala (no el hecho de que antes de 2012 los cambios entre años no son confiables: use efectos fijos de año); la versión 0-100 no lo cruza.</t>
        </is>
      </c>
    </row>
    <row r="19">
      <c r="A19" s="2" t="inlineStr"/>
    </row>
    <row r="20">
      <c r="A20" s="3" t="inlineStr">
        <is>
          <t>CÓMO CORRER LA REGRESIÓN</t>
        </is>
      </c>
    </row>
    <row r="21">
      <c r="A21" s="2" t="inlineStr">
        <is>
          <t>1. Complete la hoja Gini. 2. En Panel_A o Panel_B filtre la columna 'Completo' de la versión de CPI que va a usar (= 1). 3. Copie las filas visibles y péguelas como valores en una hoja nueva; elimine las columnas de CPI que no usa para que las X queden contiguas. 4. Datos &gt; Análisis de datos &gt; Regresión: Rango Y = columna Y; Rango X = columnas X (contiguas).</t>
        </is>
      </c>
    </row>
    <row r="22">
      <c r="A22" s="2" t="inlineStr"/>
    </row>
    <row r="23">
      <c r="A23" s="3" t="inlineStr">
        <is>
          <t>CÓMO AGREGAR OTRA VARIABLE DE LATINOBARÓMETRO</t>
        </is>
      </c>
    </row>
    <row r="24">
      <c r="A24" s="2" t="inlineStr">
        <is>
          <t>1. Pegue sus filas al final de Datos con un nombre en 'Variable' (mismo formato: país, año, categoría, proporción). 2. En Categorias agregue una columna por categoría: fila 1 = nombre de la variable, fila 2 = categoría exacta; copie la fórmula de una columna vecina. 3. En Panel_A y Panel_B inserte una columna ANTES de 'X: Gini' (así las columnas 'Completo' la incluyen) con A = categoría de interés y B = categoría de interés / suma de categorías válidas.</t>
        </is>
      </c>
    </row>
    <row r="25">
      <c r="A25" s="2" t="inlineStr"/>
    </row>
    <row r="26">
      <c r="A26" s="3" t="inlineStr">
        <is>
          <t>NOTAS</t>
        </is>
      </c>
    </row>
    <row r="27">
      <c r="A27" s="2" t="inlineStr">
        <is>
          <t>'-' en la herramienta = pregunta no aplicada en ese país-año; queda vacío (nunca 0).</t>
        </is>
      </c>
    </row>
    <row r="28">
      <c r="A28" s="2" t="inlineStr">
        <is>
          <t>2023: la herramienta online no entrega datos por país (solo el total regional), por eso no hay filas 2023.</t>
        </is>
      </c>
    </row>
    <row r="29">
      <c r="A29" s="2" t="inlineStr">
        <is>
          <t>España solo tiene 'Apoyo democracia' (no la pregunta de grupos poderosos): sus filas quedan con Completo = 0. 'Grupos poderosos' existe desde 2004 y falta en algunos país-año (p. ej. 2015).</t>
        </is>
      </c>
    </row>
    <row r="30">
      <c r="A30" s="2" t="inlineStr">
        <is>
          <t>CPI México 2015: global HDX (y el Excel oficial de TI) dice 31; datahub dice 3,5. Se usa HDX según la regla (desde 2012). Otros 10 países difieren en 2015, ninguno de Latinobarómetro.</t>
        </is>
      </c>
    </row>
    <row r="31">
      <c r="A31" s="2" t="inlineStr">
        <is>
          <t>Colores: azul = dato de origen; verde = vínculo a otra hoja; negro = cálculo; amarillo = completar.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40" customWidth="1" min="4" max="4"/>
    <col width="12" customWidth="1" min="5" max="5"/>
    <col width="11" customWidth="1" min="6" max="6"/>
  </cols>
  <sheetData>
    <row r="1">
      <c r="A1" s="4" t="inlineStr">
        <is>
          <t>Variable</t>
        </is>
      </c>
      <c r="B1" s="4" t="inlineStr">
        <is>
          <t>País</t>
        </is>
      </c>
      <c r="C1" s="4" t="inlineStr">
        <is>
          <t>Año</t>
        </is>
      </c>
      <c r="D1" s="4" t="inlineStr">
        <is>
          <t>Categoría</t>
        </is>
      </c>
      <c r="E1" s="4" t="inlineStr">
        <is>
          <t>Porcentaje</t>
        </is>
      </c>
      <c r="F1" s="4" t="inlineStr">
        <is>
          <t>N (casos)</t>
        </is>
      </c>
    </row>
    <row r="2">
      <c r="A2" s="5" t="inlineStr">
        <is>
          <t>Apoyo democracia</t>
        </is>
      </c>
      <c r="B2" s="5" t="inlineStr">
        <is>
          <t>Argentina</t>
        </is>
      </c>
      <c r="C2" s="5" t="n">
        <v>1995</v>
      </c>
      <c r="D2" s="5" t="inlineStr">
        <is>
          <t>Democracia</t>
        </is>
      </c>
      <c r="E2" s="6" t="n">
        <v>0.755</v>
      </c>
      <c r="F2" s="7" t="n">
        <v>1200</v>
      </c>
    </row>
    <row r="3">
      <c r="A3" s="5" t="inlineStr">
        <is>
          <t>Apoyo democracia</t>
        </is>
      </c>
      <c r="B3" s="5" t="inlineStr">
        <is>
          <t>Argentina</t>
        </is>
      </c>
      <c r="C3" s="5" t="n">
        <v>1995</v>
      </c>
      <c r="D3" s="5" t="inlineStr">
        <is>
          <t>Gobierno Autoritario</t>
        </is>
      </c>
      <c r="E3" s="6" t="n">
        <v>0.108</v>
      </c>
      <c r="F3" s="7" t="n">
        <v>1200</v>
      </c>
    </row>
    <row r="4">
      <c r="A4" s="5" t="inlineStr">
        <is>
          <t>Apoyo democracia</t>
        </is>
      </c>
      <c r="B4" s="5" t="inlineStr">
        <is>
          <t>Argentina</t>
        </is>
      </c>
      <c r="C4" s="5" t="n">
        <v>1995</v>
      </c>
      <c r="D4" s="5" t="inlineStr">
        <is>
          <t>Da lo mismo</t>
        </is>
      </c>
      <c r="E4" s="6" t="n">
        <v>0.06</v>
      </c>
      <c r="F4" s="7" t="n">
        <v>1200</v>
      </c>
    </row>
    <row r="5">
      <c r="A5" s="5" t="inlineStr">
        <is>
          <t>Apoyo democracia</t>
        </is>
      </c>
      <c r="B5" s="5" t="inlineStr">
        <is>
          <t>Argentina</t>
        </is>
      </c>
      <c r="C5" s="5" t="n">
        <v>1995</v>
      </c>
      <c r="D5" s="5" t="inlineStr">
        <is>
          <t>No sabe</t>
        </is>
      </c>
      <c r="E5" s="6" t="n">
        <v>0.063</v>
      </c>
      <c r="F5" s="7" t="n">
        <v>1200</v>
      </c>
    </row>
    <row r="6">
      <c r="A6" s="5" t="inlineStr">
        <is>
          <t>Apoyo democracia</t>
        </is>
      </c>
      <c r="B6" s="5" t="inlineStr">
        <is>
          <t>Argentina</t>
        </is>
      </c>
      <c r="C6" s="5" t="n">
        <v>1995</v>
      </c>
      <c r="D6" s="5" t="inlineStr">
        <is>
          <t>No contesta</t>
        </is>
      </c>
      <c r="E6" s="6" t="n">
        <v>0.014</v>
      </c>
      <c r="F6" s="7" t="n">
        <v>1200</v>
      </c>
    </row>
    <row r="7">
      <c r="A7" s="5" t="inlineStr">
        <is>
          <t>Apoyo democracia</t>
        </is>
      </c>
      <c r="B7" s="5" t="inlineStr">
        <is>
          <t>Argentina</t>
        </is>
      </c>
      <c r="C7" s="5" t="n">
        <v>1996</v>
      </c>
      <c r="D7" s="5" t="inlineStr">
        <is>
          <t>Democracia</t>
        </is>
      </c>
      <c r="E7" s="6" t="n">
        <v>0.7120000000000001</v>
      </c>
      <c r="F7" s="7" t="n">
        <v>1199</v>
      </c>
    </row>
    <row r="8">
      <c r="A8" s="5" t="inlineStr">
        <is>
          <t>Apoyo democracia</t>
        </is>
      </c>
      <c r="B8" s="5" t="inlineStr">
        <is>
          <t>Argentina</t>
        </is>
      </c>
      <c r="C8" s="5" t="n">
        <v>1996</v>
      </c>
      <c r="D8" s="5" t="inlineStr">
        <is>
          <t>Gobierno Autoritario</t>
        </is>
      </c>
      <c r="E8" s="6" t="n">
        <v>0.147</v>
      </c>
      <c r="F8" s="7" t="n">
        <v>1199</v>
      </c>
    </row>
    <row r="9">
      <c r="A9" s="5" t="inlineStr">
        <is>
          <t>Apoyo democracia</t>
        </is>
      </c>
      <c r="B9" s="5" t="inlineStr">
        <is>
          <t>Argentina</t>
        </is>
      </c>
      <c r="C9" s="5" t="n">
        <v>1996</v>
      </c>
      <c r="D9" s="5" t="inlineStr">
        <is>
          <t>Da lo mismo</t>
        </is>
      </c>
      <c r="E9" s="6" t="n">
        <v>0.112</v>
      </c>
      <c r="F9" s="7" t="n">
        <v>1199</v>
      </c>
    </row>
    <row r="10">
      <c r="A10" s="5" t="inlineStr">
        <is>
          <t>Apoyo democracia</t>
        </is>
      </c>
      <c r="B10" s="5" t="inlineStr">
        <is>
          <t>Argentina</t>
        </is>
      </c>
      <c r="C10" s="5" t="n">
        <v>1996</v>
      </c>
      <c r="D10" s="5" t="inlineStr">
        <is>
          <t>No sabe</t>
        </is>
      </c>
      <c r="E10" s="6" t="n">
        <v>0.023</v>
      </c>
      <c r="F10" s="7" t="n">
        <v>1199</v>
      </c>
    </row>
    <row r="11">
      <c r="A11" s="5" t="inlineStr">
        <is>
          <t>Apoyo democracia</t>
        </is>
      </c>
      <c r="B11" s="5" t="inlineStr">
        <is>
          <t>Argentina</t>
        </is>
      </c>
      <c r="C11" s="5" t="n">
        <v>1996</v>
      </c>
      <c r="D11" s="5" t="inlineStr">
        <is>
          <t>No contesta</t>
        </is>
      </c>
      <c r="E11" s="6" t="n">
        <v>0.006999999999999999</v>
      </c>
      <c r="F11" s="7" t="n">
        <v>1199</v>
      </c>
    </row>
    <row r="12">
      <c r="A12" s="5" t="inlineStr">
        <is>
          <t>Apoyo democracia</t>
        </is>
      </c>
      <c r="B12" s="5" t="inlineStr">
        <is>
          <t>Argentina</t>
        </is>
      </c>
      <c r="C12" s="5" t="n">
        <v>1997</v>
      </c>
      <c r="D12" s="5" t="inlineStr">
        <is>
          <t>Democracia</t>
        </is>
      </c>
      <c r="E12" s="6" t="n">
        <v>0.747</v>
      </c>
      <c r="F12" s="7" t="n">
        <v>1196</v>
      </c>
    </row>
    <row r="13">
      <c r="A13" s="5" t="inlineStr">
        <is>
          <t>Apoyo democracia</t>
        </is>
      </c>
      <c r="B13" s="5" t="inlineStr">
        <is>
          <t>Argentina</t>
        </is>
      </c>
      <c r="C13" s="5" t="n">
        <v>1997</v>
      </c>
      <c r="D13" s="5" t="inlineStr">
        <is>
          <t>Gobierno Autoritario</t>
        </is>
      </c>
      <c r="E13" s="6" t="n">
        <v>0.148</v>
      </c>
      <c r="F13" s="7" t="n">
        <v>1196</v>
      </c>
    </row>
    <row r="14">
      <c r="A14" s="5" t="inlineStr">
        <is>
          <t>Apoyo democracia</t>
        </is>
      </c>
      <c r="B14" s="5" t="inlineStr">
        <is>
          <t>Argentina</t>
        </is>
      </c>
      <c r="C14" s="5" t="n">
        <v>1997</v>
      </c>
      <c r="D14" s="5" t="inlineStr">
        <is>
          <t>Da lo mismo</t>
        </is>
      </c>
      <c r="E14" s="6" t="n">
        <v>0.08</v>
      </c>
      <c r="F14" s="7" t="n">
        <v>1196</v>
      </c>
    </row>
    <row r="15">
      <c r="A15" s="5" t="inlineStr">
        <is>
          <t>Apoyo democracia</t>
        </is>
      </c>
      <c r="B15" s="5" t="inlineStr">
        <is>
          <t>Argentina</t>
        </is>
      </c>
      <c r="C15" s="5" t="n">
        <v>1997</v>
      </c>
      <c r="D15" s="5" t="inlineStr">
        <is>
          <t>No sabe</t>
        </is>
      </c>
      <c r="E15" s="6" t="n">
        <v>0.021</v>
      </c>
      <c r="F15" s="7" t="n">
        <v>1196</v>
      </c>
    </row>
    <row r="16">
      <c r="A16" s="5" t="inlineStr">
        <is>
          <t>Apoyo democracia</t>
        </is>
      </c>
      <c r="B16" s="5" t="inlineStr">
        <is>
          <t>Argentina</t>
        </is>
      </c>
      <c r="C16" s="5" t="n">
        <v>1997</v>
      </c>
      <c r="D16" s="5" t="inlineStr">
        <is>
          <t>No contesta</t>
        </is>
      </c>
      <c r="E16" s="6" t="n">
        <v>0.004</v>
      </c>
      <c r="F16" s="7" t="n">
        <v>1196</v>
      </c>
    </row>
    <row r="17">
      <c r="A17" s="5" t="inlineStr">
        <is>
          <t>Apoyo democracia</t>
        </is>
      </c>
      <c r="B17" s="5" t="inlineStr">
        <is>
          <t>Argentina</t>
        </is>
      </c>
      <c r="C17" s="5" t="n">
        <v>1998</v>
      </c>
      <c r="D17" s="5" t="inlineStr">
        <is>
          <t>Democracia</t>
        </is>
      </c>
      <c r="E17" s="6" t="n">
        <v>0.728</v>
      </c>
      <c r="F17" s="7" t="n">
        <v>1200</v>
      </c>
    </row>
    <row r="18">
      <c r="A18" s="5" t="inlineStr">
        <is>
          <t>Apoyo democracia</t>
        </is>
      </c>
      <c r="B18" s="5" t="inlineStr">
        <is>
          <t>Argentina</t>
        </is>
      </c>
      <c r="C18" s="5" t="n">
        <v>1998</v>
      </c>
      <c r="D18" s="5" t="inlineStr">
        <is>
          <t>Gobierno Autoritario</t>
        </is>
      </c>
      <c r="E18" s="6" t="n">
        <v>0.156</v>
      </c>
      <c r="F18" s="7" t="n">
        <v>1200</v>
      </c>
    </row>
    <row r="19">
      <c r="A19" s="5" t="inlineStr">
        <is>
          <t>Apoyo democracia</t>
        </is>
      </c>
      <c r="B19" s="5" t="inlineStr">
        <is>
          <t>Argentina</t>
        </is>
      </c>
      <c r="C19" s="5" t="n">
        <v>1998</v>
      </c>
      <c r="D19" s="5" t="inlineStr">
        <is>
          <t>Da lo mismo</t>
        </is>
      </c>
      <c r="E19" s="6" t="n">
        <v>0.094</v>
      </c>
      <c r="F19" s="7" t="n">
        <v>1200</v>
      </c>
    </row>
    <row r="20">
      <c r="A20" s="5" t="inlineStr">
        <is>
          <t>Apoyo democracia</t>
        </is>
      </c>
      <c r="B20" s="5" t="inlineStr">
        <is>
          <t>Argentina</t>
        </is>
      </c>
      <c r="C20" s="5" t="n">
        <v>1998</v>
      </c>
      <c r="D20" s="5" t="inlineStr">
        <is>
          <t>No sabe</t>
        </is>
      </c>
      <c r="E20" s="6" t="n">
        <v>0.016</v>
      </c>
      <c r="F20" s="7" t="n">
        <v>1200</v>
      </c>
    </row>
    <row r="21">
      <c r="A21" s="5" t="inlineStr">
        <is>
          <t>Apoyo democracia</t>
        </is>
      </c>
      <c r="B21" s="5" t="inlineStr">
        <is>
          <t>Argentina</t>
        </is>
      </c>
      <c r="C21" s="5" t="n">
        <v>1998</v>
      </c>
      <c r="D21" s="5" t="inlineStr">
        <is>
          <t>No contesta</t>
        </is>
      </c>
      <c r="E21" s="6" t="n">
        <v>0.006</v>
      </c>
      <c r="F21" s="7" t="n">
        <v>1200</v>
      </c>
    </row>
    <row r="22">
      <c r="A22" s="5" t="inlineStr">
        <is>
          <t>Apoyo democracia</t>
        </is>
      </c>
      <c r="B22" s="5" t="inlineStr">
        <is>
          <t>Argentina</t>
        </is>
      </c>
      <c r="C22" s="5" t="n">
        <v>2000</v>
      </c>
      <c r="D22" s="5" t="inlineStr">
        <is>
          <t>Democracia</t>
        </is>
      </c>
      <c r="E22" s="6" t="n">
        <v>0.6990000000000001</v>
      </c>
      <c r="F22" s="7" t="n">
        <v>1200</v>
      </c>
    </row>
    <row r="23">
      <c r="A23" s="5" t="inlineStr">
        <is>
          <t>Apoyo democracia</t>
        </is>
      </c>
      <c r="B23" s="5" t="inlineStr">
        <is>
          <t>Argentina</t>
        </is>
      </c>
      <c r="C23" s="5" t="n">
        <v>2000</v>
      </c>
      <c r="D23" s="5" t="inlineStr">
        <is>
          <t>Gobierno Autoritario</t>
        </is>
      </c>
      <c r="E23" s="6" t="n">
        <v>0.164</v>
      </c>
      <c r="F23" s="7" t="n">
        <v>1200</v>
      </c>
    </row>
    <row r="24">
      <c r="A24" s="5" t="inlineStr">
        <is>
          <t>Apoyo democracia</t>
        </is>
      </c>
      <c r="B24" s="5" t="inlineStr">
        <is>
          <t>Argentina</t>
        </is>
      </c>
      <c r="C24" s="5" t="n">
        <v>2000</v>
      </c>
      <c r="D24" s="5" t="inlineStr">
        <is>
          <t>Da lo mismo</t>
        </is>
      </c>
      <c r="E24" s="6" t="n">
        <v>0.119</v>
      </c>
      <c r="F24" s="7" t="n">
        <v>1200</v>
      </c>
    </row>
    <row r="25">
      <c r="A25" s="5" t="inlineStr">
        <is>
          <t>Apoyo democracia</t>
        </is>
      </c>
      <c r="B25" s="5" t="inlineStr">
        <is>
          <t>Argentina</t>
        </is>
      </c>
      <c r="C25" s="5" t="n">
        <v>2000</v>
      </c>
      <c r="D25" s="5" t="inlineStr">
        <is>
          <t>No sabe</t>
        </is>
      </c>
      <c r="E25" s="6" t="n">
        <v>0.013</v>
      </c>
      <c r="F25" s="7" t="n">
        <v>1200</v>
      </c>
    </row>
    <row r="26">
      <c r="A26" s="5" t="inlineStr">
        <is>
          <t>Apoyo democracia</t>
        </is>
      </c>
      <c r="B26" s="5" t="inlineStr">
        <is>
          <t>Argentina</t>
        </is>
      </c>
      <c r="C26" s="5" t="n">
        <v>2000</v>
      </c>
      <c r="D26" s="5" t="inlineStr">
        <is>
          <t>No contesta</t>
        </is>
      </c>
      <c r="E26" s="6" t="n">
        <v>0.005</v>
      </c>
      <c r="F26" s="7" t="n">
        <v>1200</v>
      </c>
    </row>
    <row r="27">
      <c r="A27" s="5" t="inlineStr">
        <is>
          <t>Apoyo democracia</t>
        </is>
      </c>
      <c r="B27" s="5" t="inlineStr">
        <is>
          <t>Argentina</t>
        </is>
      </c>
      <c r="C27" s="5" t="n">
        <v>2001</v>
      </c>
      <c r="D27" s="5" t="inlineStr">
        <is>
          <t>Democracia</t>
        </is>
      </c>
      <c r="E27" s="6" t="n">
        <v>0.5770000000000001</v>
      </c>
      <c r="F27" s="7" t="n">
        <v>1200</v>
      </c>
    </row>
    <row r="28">
      <c r="A28" s="5" t="inlineStr">
        <is>
          <t>Apoyo democracia</t>
        </is>
      </c>
      <c r="B28" s="5" t="inlineStr">
        <is>
          <t>Argentina</t>
        </is>
      </c>
      <c r="C28" s="5" t="n">
        <v>2001</v>
      </c>
      <c r="D28" s="5" t="inlineStr">
        <is>
          <t>Gobierno Autoritario</t>
        </is>
      </c>
      <c r="E28" s="6" t="n">
        <v>0.208</v>
      </c>
      <c r="F28" s="7" t="n">
        <v>1200</v>
      </c>
    </row>
    <row r="29">
      <c r="A29" s="5" t="inlineStr">
        <is>
          <t>Apoyo democracia</t>
        </is>
      </c>
      <c r="B29" s="5" t="inlineStr">
        <is>
          <t>Argentina</t>
        </is>
      </c>
      <c r="C29" s="5" t="n">
        <v>2001</v>
      </c>
      <c r="D29" s="5" t="inlineStr">
        <is>
          <t>Da lo mismo</t>
        </is>
      </c>
      <c r="E29" s="6" t="n">
        <v>0.17</v>
      </c>
      <c r="F29" s="7" t="n">
        <v>1200</v>
      </c>
    </row>
    <row r="30">
      <c r="A30" s="5" t="inlineStr">
        <is>
          <t>Apoyo democracia</t>
        </is>
      </c>
      <c r="B30" s="5" t="inlineStr">
        <is>
          <t>Argentina</t>
        </is>
      </c>
      <c r="C30" s="5" t="n">
        <v>2001</v>
      </c>
      <c r="D30" s="5" t="inlineStr">
        <is>
          <t>No sabe</t>
        </is>
      </c>
      <c r="E30" s="6" t="n">
        <v>0.03700000000000001</v>
      </c>
      <c r="F30" s="7" t="n">
        <v>1200</v>
      </c>
    </row>
    <row r="31">
      <c r="A31" s="5" t="inlineStr">
        <is>
          <t>Apoyo democracia</t>
        </is>
      </c>
      <c r="B31" s="5" t="inlineStr">
        <is>
          <t>Argentina</t>
        </is>
      </c>
      <c r="C31" s="5" t="n">
        <v>2001</v>
      </c>
      <c r="D31" s="5" t="inlineStr">
        <is>
          <t>No contesta</t>
        </is>
      </c>
      <c r="E31" s="6" t="n">
        <v>0.008</v>
      </c>
      <c r="F31" s="7" t="n">
        <v>1200</v>
      </c>
    </row>
    <row r="32">
      <c r="A32" s="5" t="inlineStr">
        <is>
          <t>Apoyo democracia</t>
        </is>
      </c>
      <c r="B32" s="5" t="inlineStr">
        <is>
          <t>Argentina</t>
        </is>
      </c>
      <c r="C32" s="5" t="n">
        <v>2002</v>
      </c>
      <c r="D32" s="5" t="inlineStr">
        <is>
          <t>Democracia</t>
        </is>
      </c>
      <c r="E32" s="6" t="n">
        <v>0.648</v>
      </c>
      <c r="F32" s="7" t="n">
        <v>1200</v>
      </c>
    </row>
    <row r="33">
      <c r="A33" s="5" t="inlineStr">
        <is>
          <t>Apoyo democracia</t>
        </is>
      </c>
      <c r="B33" s="5" t="inlineStr">
        <is>
          <t>Argentina</t>
        </is>
      </c>
      <c r="C33" s="5" t="n">
        <v>2002</v>
      </c>
      <c r="D33" s="5" t="inlineStr">
        <is>
          <t>Gobierno Autoritario</t>
        </is>
      </c>
      <c r="E33" s="6" t="n">
        <v>0.173</v>
      </c>
      <c r="F33" s="7" t="n">
        <v>1200</v>
      </c>
    </row>
    <row r="34">
      <c r="A34" s="5" t="inlineStr">
        <is>
          <t>Apoyo democracia</t>
        </is>
      </c>
      <c r="B34" s="5" t="inlineStr">
        <is>
          <t>Argentina</t>
        </is>
      </c>
      <c r="C34" s="5" t="n">
        <v>2002</v>
      </c>
      <c r="D34" s="5" t="inlineStr">
        <is>
          <t>Da lo mismo</t>
        </is>
      </c>
      <c r="E34" s="6" t="n">
        <v>0.141</v>
      </c>
      <c r="F34" s="7" t="n">
        <v>1200</v>
      </c>
    </row>
    <row r="35">
      <c r="A35" s="5" t="inlineStr">
        <is>
          <t>Apoyo democracia</t>
        </is>
      </c>
      <c r="B35" s="5" t="inlineStr">
        <is>
          <t>Argentina</t>
        </is>
      </c>
      <c r="C35" s="5" t="n">
        <v>2002</v>
      </c>
      <c r="D35" s="5" t="inlineStr">
        <is>
          <t>No sabe</t>
        </is>
      </c>
      <c r="E35" s="6" t="n">
        <v>0.031</v>
      </c>
      <c r="F35" s="7" t="n">
        <v>1200</v>
      </c>
    </row>
    <row r="36">
      <c r="A36" s="5" t="inlineStr">
        <is>
          <t>Apoyo democracia</t>
        </is>
      </c>
      <c r="B36" s="5" t="inlineStr">
        <is>
          <t>Argentina</t>
        </is>
      </c>
      <c r="C36" s="5" t="n">
        <v>2002</v>
      </c>
      <c r="D36" s="5" t="inlineStr">
        <is>
          <t>No contesta</t>
        </is>
      </c>
      <c r="E36" s="6" t="n">
        <v>0.006</v>
      </c>
      <c r="F36" s="7" t="n">
        <v>1200</v>
      </c>
    </row>
    <row r="37">
      <c r="A37" s="5" t="inlineStr">
        <is>
          <t>Apoyo democracia</t>
        </is>
      </c>
      <c r="B37" s="5" t="inlineStr">
        <is>
          <t>Argentina</t>
        </is>
      </c>
      <c r="C37" s="5" t="n">
        <v>2003</v>
      </c>
      <c r="D37" s="5" t="inlineStr">
        <is>
          <t>Democracia</t>
        </is>
      </c>
      <c r="E37" s="6" t="n">
        <v>0.6909999999999999</v>
      </c>
      <c r="F37" s="7" t="n">
        <v>1200</v>
      </c>
    </row>
    <row r="38">
      <c r="A38" s="5" t="inlineStr">
        <is>
          <t>Apoyo democracia</t>
        </is>
      </c>
      <c r="B38" s="5" t="inlineStr">
        <is>
          <t>Argentina</t>
        </is>
      </c>
      <c r="C38" s="5" t="n">
        <v>2003</v>
      </c>
      <c r="D38" s="5" t="inlineStr">
        <is>
          <t>Gobierno Autoritario</t>
        </is>
      </c>
      <c r="E38" s="6" t="n">
        <v>0.172</v>
      </c>
      <c r="F38" s="7" t="n">
        <v>1200</v>
      </c>
    </row>
    <row r="39">
      <c r="A39" s="5" t="inlineStr">
        <is>
          <t>Apoyo democracia</t>
        </is>
      </c>
      <c r="B39" s="5" t="inlineStr">
        <is>
          <t>Argentina</t>
        </is>
      </c>
      <c r="C39" s="5" t="n">
        <v>2003</v>
      </c>
      <c r="D39" s="5" t="inlineStr">
        <is>
          <t>Da lo mismo</t>
        </is>
      </c>
      <c r="E39" s="6" t="n">
        <v>0.111</v>
      </c>
      <c r="F39" s="7" t="n">
        <v>1200</v>
      </c>
    </row>
    <row r="40">
      <c r="A40" s="5" t="inlineStr">
        <is>
          <t>Apoyo democracia</t>
        </is>
      </c>
      <c r="B40" s="5" t="inlineStr">
        <is>
          <t>Argentina</t>
        </is>
      </c>
      <c r="C40" s="5" t="n">
        <v>2003</v>
      </c>
      <c r="D40" s="5" t="inlineStr">
        <is>
          <t>No sabe</t>
        </is>
      </c>
      <c r="E40" s="6" t="n">
        <v>0.021</v>
      </c>
      <c r="F40" s="7" t="n">
        <v>1200</v>
      </c>
    </row>
    <row r="41">
      <c r="A41" s="5" t="inlineStr">
        <is>
          <t>Apoyo democracia</t>
        </is>
      </c>
      <c r="B41" s="5" t="inlineStr">
        <is>
          <t>Argentina</t>
        </is>
      </c>
      <c r="C41" s="5" t="n">
        <v>2003</v>
      </c>
      <c r="D41" s="5" t="inlineStr">
        <is>
          <t>No contesta</t>
        </is>
      </c>
      <c r="E41" s="6" t="n">
        <v>0.005</v>
      </c>
      <c r="F41" s="7" t="n">
        <v>1200</v>
      </c>
    </row>
    <row r="42">
      <c r="A42" s="5" t="inlineStr">
        <is>
          <t>Apoyo democracia</t>
        </is>
      </c>
      <c r="B42" s="5" t="inlineStr">
        <is>
          <t>Argentina</t>
        </is>
      </c>
      <c r="C42" s="5" t="n">
        <v>2004</v>
      </c>
      <c r="D42" s="5" t="inlineStr">
        <is>
          <t>Democracia</t>
        </is>
      </c>
      <c r="E42" s="6" t="n">
        <v>0.645</v>
      </c>
      <c r="F42" s="7" t="n">
        <v>1200</v>
      </c>
    </row>
    <row r="43">
      <c r="A43" s="5" t="inlineStr">
        <is>
          <t>Apoyo democracia</t>
        </is>
      </c>
      <c r="B43" s="5" t="inlineStr">
        <is>
          <t>Argentina</t>
        </is>
      </c>
      <c r="C43" s="5" t="n">
        <v>2004</v>
      </c>
      <c r="D43" s="5" t="inlineStr">
        <is>
          <t>Gobierno Autoritario</t>
        </is>
      </c>
      <c r="E43" s="6" t="n">
        <v>0.205</v>
      </c>
      <c r="F43" s="7" t="n">
        <v>1200</v>
      </c>
    </row>
    <row r="44">
      <c r="A44" s="5" t="inlineStr">
        <is>
          <t>Apoyo democracia</t>
        </is>
      </c>
      <c r="B44" s="5" t="inlineStr">
        <is>
          <t>Argentina</t>
        </is>
      </c>
      <c r="C44" s="5" t="n">
        <v>2004</v>
      </c>
      <c r="D44" s="5" t="inlineStr">
        <is>
          <t>Da lo mismo</t>
        </is>
      </c>
      <c r="E44" s="6" t="n">
        <v>0.12</v>
      </c>
      <c r="F44" s="7" t="n">
        <v>1200</v>
      </c>
    </row>
    <row r="45">
      <c r="A45" s="5" t="inlineStr">
        <is>
          <t>Apoyo democracia</t>
        </is>
      </c>
      <c r="B45" s="5" t="inlineStr">
        <is>
          <t>Argentina</t>
        </is>
      </c>
      <c r="C45" s="5" t="n">
        <v>2004</v>
      </c>
      <c r="D45" s="5" t="inlineStr">
        <is>
          <t>No sabe</t>
        </is>
      </c>
      <c r="E45" s="6" t="n">
        <v>0.023</v>
      </c>
      <c r="F45" s="7" t="n">
        <v>1200</v>
      </c>
    </row>
    <row r="46">
      <c r="A46" s="5" t="inlineStr">
        <is>
          <t>Apoyo democracia</t>
        </is>
      </c>
      <c r="B46" s="5" t="inlineStr">
        <is>
          <t>Argentina</t>
        </is>
      </c>
      <c r="C46" s="5" t="n">
        <v>2004</v>
      </c>
      <c r="D46" s="5" t="inlineStr">
        <is>
          <t>No contesta</t>
        </is>
      </c>
      <c r="E46" s="6" t="n">
        <v>0.008</v>
      </c>
      <c r="F46" s="7" t="n">
        <v>1200</v>
      </c>
    </row>
    <row r="47">
      <c r="A47" s="5" t="inlineStr">
        <is>
          <t>Apoyo democracia</t>
        </is>
      </c>
      <c r="B47" s="5" t="inlineStr">
        <is>
          <t>Argentina</t>
        </is>
      </c>
      <c r="C47" s="5" t="n">
        <v>2005</v>
      </c>
      <c r="D47" s="5" t="inlineStr">
        <is>
          <t>Democracia</t>
        </is>
      </c>
      <c r="E47" s="6" t="n">
        <v>0.657</v>
      </c>
      <c r="F47" s="7" t="n">
        <v>1200</v>
      </c>
    </row>
    <row r="48">
      <c r="A48" s="5" t="inlineStr">
        <is>
          <t>Apoyo democracia</t>
        </is>
      </c>
      <c r="B48" s="5" t="inlineStr">
        <is>
          <t>Argentina</t>
        </is>
      </c>
      <c r="C48" s="5" t="n">
        <v>2005</v>
      </c>
      <c r="D48" s="5" t="inlineStr">
        <is>
          <t>Gobierno Autoritario</t>
        </is>
      </c>
      <c r="E48" s="6" t="n">
        <v>0.173</v>
      </c>
      <c r="F48" s="7" t="n">
        <v>1200</v>
      </c>
    </row>
    <row r="49">
      <c r="A49" s="5" t="inlineStr">
        <is>
          <t>Apoyo democracia</t>
        </is>
      </c>
      <c r="B49" s="5" t="inlineStr">
        <is>
          <t>Argentina</t>
        </is>
      </c>
      <c r="C49" s="5" t="n">
        <v>2005</v>
      </c>
      <c r="D49" s="5" t="inlineStr">
        <is>
          <t>Da lo mismo</t>
        </is>
      </c>
      <c r="E49" s="6" t="n">
        <v>0.112</v>
      </c>
      <c r="F49" s="7" t="n">
        <v>1200</v>
      </c>
    </row>
    <row r="50">
      <c r="A50" s="5" t="inlineStr">
        <is>
          <t>Apoyo democracia</t>
        </is>
      </c>
      <c r="B50" s="5" t="inlineStr">
        <is>
          <t>Argentina</t>
        </is>
      </c>
      <c r="C50" s="5" t="n">
        <v>2005</v>
      </c>
      <c r="D50" s="5" t="inlineStr">
        <is>
          <t>No sabe</t>
        </is>
      </c>
      <c r="E50" s="6" t="n">
        <v>0.052</v>
      </c>
      <c r="F50" s="7" t="n">
        <v>1200</v>
      </c>
    </row>
    <row r="51">
      <c r="A51" s="5" t="inlineStr">
        <is>
          <t>Apoyo democracia</t>
        </is>
      </c>
      <c r="B51" s="5" t="inlineStr">
        <is>
          <t>Argentina</t>
        </is>
      </c>
      <c r="C51" s="5" t="n">
        <v>2005</v>
      </c>
      <c r="D51" s="5" t="inlineStr">
        <is>
          <t>No contesta</t>
        </is>
      </c>
      <c r="E51" s="6" t="n">
        <v>0.006</v>
      </c>
      <c r="F51" s="7" t="n">
        <v>1200</v>
      </c>
    </row>
    <row r="52">
      <c r="A52" s="5" t="inlineStr">
        <is>
          <t>Apoyo democracia</t>
        </is>
      </c>
      <c r="B52" s="5" t="inlineStr">
        <is>
          <t>Argentina</t>
        </is>
      </c>
      <c r="C52" s="5" t="n">
        <v>2006</v>
      </c>
      <c r="D52" s="5" t="inlineStr">
        <is>
          <t>Democracia</t>
        </is>
      </c>
      <c r="E52" s="6" t="n">
        <v>0.733</v>
      </c>
      <c r="F52" s="7" t="n">
        <v>1200</v>
      </c>
    </row>
    <row r="53">
      <c r="A53" s="5" t="inlineStr">
        <is>
          <t>Apoyo democracia</t>
        </is>
      </c>
      <c r="B53" s="5" t="inlineStr">
        <is>
          <t>Argentina</t>
        </is>
      </c>
      <c r="C53" s="5" t="n">
        <v>2006</v>
      </c>
      <c r="D53" s="5" t="inlineStr">
        <is>
          <t>Gobierno Autoritario</t>
        </is>
      </c>
      <c r="E53" s="6" t="n">
        <v>0.161</v>
      </c>
      <c r="F53" s="7" t="n">
        <v>1200</v>
      </c>
    </row>
    <row r="54">
      <c r="A54" s="5" t="inlineStr">
        <is>
          <t>Apoyo democracia</t>
        </is>
      </c>
      <c r="B54" s="5" t="inlineStr">
        <is>
          <t>Argentina</t>
        </is>
      </c>
      <c r="C54" s="5" t="n">
        <v>2006</v>
      </c>
      <c r="D54" s="5" t="inlineStr">
        <is>
          <t>Da lo mismo</t>
        </is>
      </c>
      <c r="E54" s="6" t="n">
        <v>0.083</v>
      </c>
      <c r="F54" s="7" t="n">
        <v>1200</v>
      </c>
    </row>
    <row r="55">
      <c r="A55" s="5" t="inlineStr">
        <is>
          <t>Apoyo democracia</t>
        </is>
      </c>
      <c r="B55" s="5" t="inlineStr">
        <is>
          <t>Argentina</t>
        </is>
      </c>
      <c r="C55" s="5" t="n">
        <v>2006</v>
      </c>
      <c r="D55" s="5" t="inlineStr">
        <is>
          <t>No sabe</t>
        </is>
      </c>
      <c r="E55" s="6" t="n">
        <v>0.013</v>
      </c>
      <c r="F55" s="7" t="n">
        <v>1200</v>
      </c>
    </row>
    <row r="56">
      <c r="A56" s="5" t="inlineStr">
        <is>
          <t>Apoyo democracia</t>
        </is>
      </c>
      <c r="B56" s="5" t="inlineStr">
        <is>
          <t>Argentina</t>
        </is>
      </c>
      <c r="C56" s="5" t="n">
        <v>2006</v>
      </c>
      <c r="D56" s="5" t="inlineStr">
        <is>
          <t>No contesta</t>
        </is>
      </c>
      <c r="E56" s="6" t="n">
        <v>0.009000000000000001</v>
      </c>
      <c r="F56" s="7" t="n">
        <v>1200</v>
      </c>
    </row>
    <row r="57">
      <c r="A57" s="5" t="inlineStr">
        <is>
          <t>Apoyo democracia</t>
        </is>
      </c>
      <c r="B57" s="5" t="inlineStr">
        <is>
          <t>Argentina</t>
        </is>
      </c>
      <c r="C57" s="5" t="n">
        <v>2007</v>
      </c>
      <c r="D57" s="5" t="inlineStr">
        <is>
          <t>Democracia</t>
        </is>
      </c>
      <c r="E57" s="6" t="n">
        <v>0.626</v>
      </c>
      <c r="F57" s="7" t="n">
        <v>1200</v>
      </c>
    </row>
    <row r="58">
      <c r="A58" s="5" t="inlineStr">
        <is>
          <t>Apoyo democracia</t>
        </is>
      </c>
      <c r="B58" s="5" t="inlineStr">
        <is>
          <t>Argentina</t>
        </is>
      </c>
      <c r="C58" s="5" t="n">
        <v>2007</v>
      </c>
      <c r="D58" s="5" t="inlineStr">
        <is>
          <t>Gobierno Autoritario</t>
        </is>
      </c>
      <c r="E58" s="6" t="n">
        <v>0.205</v>
      </c>
      <c r="F58" s="7" t="n">
        <v>1200</v>
      </c>
    </row>
    <row r="59">
      <c r="A59" s="5" t="inlineStr">
        <is>
          <t>Apoyo democracia</t>
        </is>
      </c>
      <c r="B59" s="5" t="inlineStr">
        <is>
          <t>Argentina</t>
        </is>
      </c>
      <c r="C59" s="5" t="n">
        <v>2007</v>
      </c>
      <c r="D59" s="5" t="inlineStr">
        <is>
          <t>Da lo mismo</t>
        </is>
      </c>
      <c r="E59" s="6" t="n">
        <v>0.137</v>
      </c>
      <c r="F59" s="7" t="n">
        <v>1200</v>
      </c>
    </row>
    <row r="60">
      <c r="A60" s="5" t="inlineStr">
        <is>
          <t>Apoyo democracia</t>
        </is>
      </c>
      <c r="B60" s="5" t="inlineStr">
        <is>
          <t>Argentina</t>
        </is>
      </c>
      <c r="C60" s="5" t="n">
        <v>2007</v>
      </c>
      <c r="D60" s="5" t="inlineStr">
        <is>
          <t>No sabe</t>
        </is>
      </c>
      <c r="E60" s="6" t="n">
        <v>0.025</v>
      </c>
      <c r="F60" s="7" t="n">
        <v>1200</v>
      </c>
    </row>
    <row r="61">
      <c r="A61" s="5" t="inlineStr">
        <is>
          <t>Apoyo democracia</t>
        </is>
      </c>
      <c r="B61" s="5" t="inlineStr">
        <is>
          <t>Argentina</t>
        </is>
      </c>
      <c r="C61" s="5" t="n">
        <v>2007</v>
      </c>
      <c r="D61" s="5" t="inlineStr">
        <is>
          <t>No contesta</t>
        </is>
      </c>
      <c r="E61" s="6" t="n">
        <v>0.006999999999999999</v>
      </c>
      <c r="F61" s="7" t="n">
        <v>1200</v>
      </c>
    </row>
    <row r="62">
      <c r="A62" s="5" t="inlineStr">
        <is>
          <t>Apoyo democracia</t>
        </is>
      </c>
      <c r="B62" s="5" t="inlineStr">
        <is>
          <t>Argentina</t>
        </is>
      </c>
      <c r="C62" s="5" t="n">
        <v>2008</v>
      </c>
      <c r="D62" s="5" t="inlineStr">
        <is>
          <t>Democracia</t>
        </is>
      </c>
      <c r="E62" s="6" t="n">
        <v>0.603</v>
      </c>
      <c r="F62" s="7" t="n">
        <v>1200</v>
      </c>
    </row>
    <row r="63">
      <c r="A63" s="5" t="inlineStr">
        <is>
          <t>Apoyo democracia</t>
        </is>
      </c>
      <c r="B63" s="5" t="inlineStr">
        <is>
          <t>Argentina</t>
        </is>
      </c>
      <c r="C63" s="5" t="n">
        <v>2008</v>
      </c>
      <c r="D63" s="5" t="inlineStr">
        <is>
          <t>Gobierno Autoritario</t>
        </is>
      </c>
      <c r="E63" s="6" t="n">
        <v>0.193</v>
      </c>
      <c r="F63" s="7" t="n">
        <v>1200</v>
      </c>
    </row>
    <row r="64">
      <c r="A64" s="5" t="inlineStr">
        <is>
          <t>Apoyo democracia</t>
        </is>
      </c>
      <c r="B64" s="5" t="inlineStr">
        <is>
          <t>Argentina</t>
        </is>
      </c>
      <c r="C64" s="5" t="n">
        <v>2008</v>
      </c>
      <c r="D64" s="5" t="inlineStr">
        <is>
          <t>Da lo mismo</t>
        </is>
      </c>
      <c r="E64" s="6" t="n">
        <v>0.178</v>
      </c>
      <c r="F64" s="7" t="n">
        <v>1200</v>
      </c>
    </row>
    <row r="65">
      <c r="A65" s="5" t="inlineStr">
        <is>
          <t>Apoyo democracia</t>
        </is>
      </c>
      <c r="B65" s="5" t="inlineStr">
        <is>
          <t>Argentina</t>
        </is>
      </c>
      <c r="C65" s="5" t="n">
        <v>2008</v>
      </c>
      <c r="D65" s="5" t="inlineStr">
        <is>
          <t>No sabe</t>
        </is>
      </c>
      <c r="E65" s="6" t="n">
        <v>0.021</v>
      </c>
      <c r="F65" s="7" t="n">
        <v>1200</v>
      </c>
    </row>
    <row r="66">
      <c r="A66" s="5" t="inlineStr">
        <is>
          <t>Apoyo democracia</t>
        </is>
      </c>
      <c r="B66" s="5" t="inlineStr">
        <is>
          <t>Argentina</t>
        </is>
      </c>
      <c r="C66" s="5" t="n">
        <v>2008</v>
      </c>
      <c r="D66" s="5" t="inlineStr">
        <is>
          <t>No contesta</t>
        </is>
      </c>
      <c r="E66" s="6" t="n">
        <v>0.006</v>
      </c>
      <c r="F66" s="7" t="n">
        <v>1200</v>
      </c>
    </row>
    <row r="67">
      <c r="A67" s="5" t="inlineStr">
        <is>
          <t>Apoyo democracia</t>
        </is>
      </c>
      <c r="B67" s="5" t="inlineStr">
        <is>
          <t>Argentina</t>
        </is>
      </c>
      <c r="C67" s="5" t="n">
        <v>2009</v>
      </c>
      <c r="D67" s="5" t="inlineStr">
        <is>
          <t>Democracia</t>
        </is>
      </c>
      <c r="E67" s="6" t="n">
        <v>0.64</v>
      </c>
      <c r="F67" s="7" t="n">
        <v>1200</v>
      </c>
    </row>
    <row r="68">
      <c r="A68" s="5" t="inlineStr">
        <is>
          <t>Apoyo democracia</t>
        </is>
      </c>
      <c r="B68" s="5" t="inlineStr">
        <is>
          <t>Argentina</t>
        </is>
      </c>
      <c r="C68" s="5" t="n">
        <v>2009</v>
      </c>
      <c r="D68" s="5" t="inlineStr">
        <is>
          <t>Gobierno Autoritario</t>
        </is>
      </c>
      <c r="E68" s="6" t="n">
        <v>0.186</v>
      </c>
      <c r="F68" s="7" t="n">
        <v>1200</v>
      </c>
    </row>
    <row r="69">
      <c r="A69" s="5" t="inlineStr">
        <is>
          <t>Apoyo democracia</t>
        </is>
      </c>
      <c r="B69" s="5" t="inlineStr">
        <is>
          <t>Argentina</t>
        </is>
      </c>
      <c r="C69" s="5" t="n">
        <v>2009</v>
      </c>
      <c r="D69" s="5" t="inlineStr">
        <is>
          <t>Da lo mismo</t>
        </is>
      </c>
      <c r="E69" s="6" t="n">
        <v>0.112</v>
      </c>
      <c r="F69" s="7" t="n">
        <v>1200</v>
      </c>
    </row>
    <row r="70">
      <c r="A70" s="5" t="inlineStr">
        <is>
          <t>Apoyo democracia</t>
        </is>
      </c>
      <c r="B70" s="5" t="inlineStr">
        <is>
          <t>Argentina</t>
        </is>
      </c>
      <c r="C70" s="5" t="n">
        <v>2009</v>
      </c>
      <c r="D70" s="5" t="inlineStr">
        <is>
          <t>No sabe</t>
        </is>
      </c>
      <c r="E70" s="6" t="n">
        <v>0.05400000000000001</v>
      </c>
      <c r="F70" s="7" t="n">
        <v>1200</v>
      </c>
    </row>
    <row r="71">
      <c r="A71" s="5" t="inlineStr">
        <is>
          <t>Apoyo democracia</t>
        </is>
      </c>
      <c r="B71" s="5" t="inlineStr">
        <is>
          <t>Argentina</t>
        </is>
      </c>
      <c r="C71" s="5" t="n">
        <v>2009</v>
      </c>
      <c r="D71" s="5" t="inlineStr">
        <is>
          <t>No contesta</t>
        </is>
      </c>
      <c r="E71" s="6" t="n">
        <v>0.008</v>
      </c>
      <c r="F71" s="7" t="n">
        <v>1200</v>
      </c>
    </row>
    <row r="72">
      <c r="A72" s="5" t="inlineStr">
        <is>
          <t>Apoyo democracia</t>
        </is>
      </c>
      <c r="B72" s="5" t="inlineStr">
        <is>
          <t>Argentina</t>
        </is>
      </c>
      <c r="C72" s="5" t="n">
        <v>2010</v>
      </c>
      <c r="D72" s="5" t="inlineStr">
        <is>
          <t>Democracia</t>
        </is>
      </c>
      <c r="E72" s="6" t="n">
        <v>0.659</v>
      </c>
      <c r="F72" s="7" t="n">
        <v>1200</v>
      </c>
    </row>
    <row r="73">
      <c r="A73" s="5" t="inlineStr">
        <is>
          <t>Apoyo democracia</t>
        </is>
      </c>
      <c r="B73" s="5" t="inlineStr">
        <is>
          <t>Argentina</t>
        </is>
      </c>
      <c r="C73" s="5" t="n">
        <v>2010</v>
      </c>
      <c r="D73" s="5" t="inlineStr">
        <is>
          <t>Gobierno Autoritario</t>
        </is>
      </c>
      <c r="E73" s="6" t="n">
        <v>0.189</v>
      </c>
      <c r="F73" s="7" t="n">
        <v>1200</v>
      </c>
    </row>
    <row r="74">
      <c r="A74" s="5" t="inlineStr">
        <is>
          <t>Apoyo democracia</t>
        </is>
      </c>
      <c r="B74" s="5" t="inlineStr">
        <is>
          <t>Argentina</t>
        </is>
      </c>
      <c r="C74" s="5" t="n">
        <v>2010</v>
      </c>
      <c r="D74" s="5" t="inlineStr">
        <is>
          <t>Da lo mismo</t>
        </is>
      </c>
      <c r="E74" s="6" t="n">
        <v>0.132</v>
      </c>
      <c r="F74" s="7" t="n">
        <v>1200</v>
      </c>
    </row>
    <row r="75">
      <c r="A75" s="5" t="inlineStr">
        <is>
          <t>Apoyo democracia</t>
        </is>
      </c>
      <c r="B75" s="5" t="inlineStr">
        <is>
          <t>Argentina</t>
        </is>
      </c>
      <c r="C75" s="5" t="n">
        <v>2010</v>
      </c>
      <c r="D75" s="5" t="inlineStr">
        <is>
          <t>No sabe</t>
        </is>
      </c>
      <c r="E75" s="6" t="n">
        <v>0.016</v>
      </c>
      <c r="F75" s="7" t="n">
        <v>1200</v>
      </c>
    </row>
    <row r="76">
      <c r="A76" s="5" t="inlineStr">
        <is>
          <t>Apoyo democracia</t>
        </is>
      </c>
      <c r="B76" s="5" t="inlineStr">
        <is>
          <t>Argentina</t>
        </is>
      </c>
      <c r="C76" s="5" t="n">
        <v>2010</v>
      </c>
      <c r="D76" s="5" t="inlineStr">
        <is>
          <t>No contesta</t>
        </is>
      </c>
      <c r="E76" s="6" t="n">
        <v>0.005</v>
      </c>
      <c r="F76" s="7" t="n">
        <v>1200</v>
      </c>
    </row>
    <row r="77">
      <c r="A77" s="5" t="inlineStr">
        <is>
          <t>Apoyo democracia</t>
        </is>
      </c>
      <c r="B77" s="5" t="inlineStr">
        <is>
          <t>Argentina</t>
        </is>
      </c>
      <c r="C77" s="5" t="n">
        <v>2011</v>
      </c>
      <c r="D77" s="5" t="inlineStr">
        <is>
          <t>Democracia</t>
        </is>
      </c>
      <c r="E77" s="6" t="n">
        <v>0.7</v>
      </c>
      <c r="F77" s="7" t="n">
        <v>1200</v>
      </c>
    </row>
    <row r="78">
      <c r="A78" s="5" t="inlineStr">
        <is>
          <t>Apoyo democracia</t>
        </is>
      </c>
      <c r="B78" s="5" t="inlineStr">
        <is>
          <t>Argentina</t>
        </is>
      </c>
      <c r="C78" s="5" t="n">
        <v>2011</v>
      </c>
      <c r="D78" s="5" t="inlineStr">
        <is>
          <t>Gobierno Autoritario</t>
        </is>
      </c>
      <c r="E78" s="6" t="n">
        <v>0.136</v>
      </c>
      <c r="F78" s="7" t="n">
        <v>1200</v>
      </c>
    </row>
    <row r="79">
      <c r="A79" s="5" t="inlineStr">
        <is>
          <t>Apoyo democracia</t>
        </is>
      </c>
      <c r="B79" s="5" t="inlineStr">
        <is>
          <t>Argentina</t>
        </is>
      </c>
      <c r="C79" s="5" t="n">
        <v>2011</v>
      </c>
      <c r="D79" s="5" t="inlineStr">
        <is>
          <t>Da lo mismo</t>
        </is>
      </c>
      <c r="E79" s="6" t="n">
        <v>0.147</v>
      </c>
      <c r="F79" s="7" t="n">
        <v>1200</v>
      </c>
    </row>
    <row r="80">
      <c r="A80" s="5" t="inlineStr">
        <is>
          <t>Apoyo democracia</t>
        </is>
      </c>
      <c r="B80" s="5" t="inlineStr">
        <is>
          <t>Argentina</t>
        </is>
      </c>
      <c r="C80" s="5" t="n">
        <v>2011</v>
      </c>
      <c r="D80" s="5" t="inlineStr">
        <is>
          <t>No sabe</t>
        </is>
      </c>
      <c r="E80" s="6" t="n">
        <v>0.012</v>
      </c>
      <c r="F80" s="7" t="n">
        <v>1200</v>
      </c>
    </row>
    <row r="81">
      <c r="A81" s="5" t="inlineStr">
        <is>
          <t>Apoyo democracia</t>
        </is>
      </c>
      <c r="B81" s="5" t="inlineStr">
        <is>
          <t>Argentina</t>
        </is>
      </c>
      <c r="C81" s="5" t="n">
        <v>2011</v>
      </c>
      <c r="D81" s="5" t="inlineStr">
        <is>
          <t>No contesta</t>
        </is>
      </c>
      <c r="E81" s="6" t="n">
        <v>0.004</v>
      </c>
      <c r="F81" s="7" t="n">
        <v>1200</v>
      </c>
    </row>
    <row r="82">
      <c r="A82" s="5" t="inlineStr">
        <is>
          <t>Apoyo democracia</t>
        </is>
      </c>
      <c r="B82" s="5" t="inlineStr">
        <is>
          <t>Argentina</t>
        </is>
      </c>
      <c r="C82" s="5" t="n">
        <v>2015</v>
      </c>
      <c r="D82" s="5" t="inlineStr">
        <is>
          <t>Democracia</t>
        </is>
      </c>
      <c r="E82" s="6" t="n">
        <v>0.701</v>
      </c>
      <c r="F82" s="7" t="n">
        <v>1200</v>
      </c>
    </row>
    <row r="83">
      <c r="A83" s="5" t="inlineStr">
        <is>
          <t>Apoyo democracia</t>
        </is>
      </c>
      <c r="B83" s="5" t="inlineStr">
        <is>
          <t>Argentina</t>
        </is>
      </c>
      <c r="C83" s="5" t="n">
        <v>2015</v>
      </c>
      <c r="D83" s="5" t="inlineStr">
        <is>
          <t>Gobierno Autoritario</t>
        </is>
      </c>
      <c r="E83" s="6" t="n">
        <v>0.147</v>
      </c>
      <c r="F83" s="7" t="n">
        <v>1200</v>
      </c>
    </row>
    <row r="84">
      <c r="A84" s="5" t="inlineStr">
        <is>
          <t>Apoyo democracia</t>
        </is>
      </c>
      <c r="B84" s="5" t="inlineStr">
        <is>
          <t>Argentina</t>
        </is>
      </c>
      <c r="C84" s="5" t="n">
        <v>2015</v>
      </c>
      <c r="D84" s="5" t="inlineStr">
        <is>
          <t>Da lo mismo</t>
        </is>
      </c>
      <c r="E84" s="6" t="n">
        <v>0.129</v>
      </c>
      <c r="F84" s="7" t="n">
        <v>1200</v>
      </c>
    </row>
    <row r="85">
      <c r="A85" s="5" t="inlineStr">
        <is>
          <t>Apoyo democracia</t>
        </is>
      </c>
      <c r="B85" s="5" t="inlineStr">
        <is>
          <t>Argentina</t>
        </is>
      </c>
      <c r="C85" s="5" t="n">
        <v>2015</v>
      </c>
      <c r="D85" s="5" t="inlineStr">
        <is>
          <t>No sabe</t>
        </is>
      </c>
      <c r="E85" s="6" t="n">
        <v>0.021</v>
      </c>
      <c r="F85" s="7" t="n">
        <v>1200</v>
      </c>
    </row>
    <row r="86">
      <c r="A86" s="5" t="inlineStr">
        <is>
          <t>Apoyo democracia</t>
        </is>
      </c>
      <c r="B86" s="5" t="inlineStr">
        <is>
          <t>Argentina</t>
        </is>
      </c>
      <c r="C86" s="5" t="n">
        <v>2015</v>
      </c>
      <c r="D86" s="5" t="inlineStr">
        <is>
          <t>No contesta</t>
        </is>
      </c>
      <c r="E86" s="6" t="n">
        <v>0.003</v>
      </c>
      <c r="F86" s="7" t="n">
        <v>1200</v>
      </c>
    </row>
    <row r="87">
      <c r="A87" s="5" t="inlineStr">
        <is>
          <t>Apoyo democracia</t>
        </is>
      </c>
      <c r="B87" s="5" t="inlineStr">
        <is>
          <t>Argentina</t>
        </is>
      </c>
      <c r="C87" s="5" t="n">
        <v>2016</v>
      </c>
      <c r="D87" s="5" t="inlineStr">
        <is>
          <t>Democracia</t>
        </is>
      </c>
      <c r="E87" s="6" t="n">
        <v>0.698</v>
      </c>
      <c r="F87" s="7" t="n">
        <v>1200</v>
      </c>
    </row>
    <row r="88">
      <c r="A88" s="5" t="inlineStr">
        <is>
          <t>Apoyo democracia</t>
        </is>
      </c>
      <c r="B88" s="5" t="inlineStr">
        <is>
          <t>Argentina</t>
        </is>
      </c>
      <c r="C88" s="5" t="n">
        <v>2016</v>
      </c>
      <c r="D88" s="5" t="inlineStr">
        <is>
          <t>Gobierno Autoritario</t>
        </is>
      </c>
      <c r="E88" s="6" t="n">
        <v>0.128</v>
      </c>
      <c r="F88" s="7" t="n">
        <v>1200</v>
      </c>
    </row>
    <row r="89">
      <c r="A89" s="5" t="inlineStr">
        <is>
          <t>Apoyo democracia</t>
        </is>
      </c>
      <c r="B89" s="5" t="inlineStr">
        <is>
          <t>Argentina</t>
        </is>
      </c>
      <c r="C89" s="5" t="n">
        <v>2016</v>
      </c>
      <c r="D89" s="5" t="inlineStr">
        <is>
          <t>Da lo mismo</t>
        </is>
      </c>
      <c r="E89" s="6" t="n">
        <v>0.133</v>
      </c>
      <c r="F89" s="7" t="n">
        <v>1200</v>
      </c>
    </row>
    <row r="90">
      <c r="A90" s="5" t="inlineStr">
        <is>
          <t>Apoyo democracia</t>
        </is>
      </c>
      <c r="B90" s="5" t="inlineStr">
        <is>
          <t>Argentina</t>
        </is>
      </c>
      <c r="C90" s="5" t="n">
        <v>2016</v>
      </c>
      <c r="D90" s="5" t="inlineStr">
        <is>
          <t>No sabe</t>
        </is>
      </c>
      <c r="E90" s="6" t="n">
        <v>0.035</v>
      </c>
      <c r="F90" s="7" t="n">
        <v>1200</v>
      </c>
    </row>
    <row r="91">
      <c r="A91" s="5" t="inlineStr">
        <is>
          <t>Apoyo democracia</t>
        </is>
      </c>
      <c r="B91" s="5" t="inlineStr">
        <is>
          <t>Argentina</t>
        </is>
      </c>
      <c r="C91" s="5" t="n">
        <v>2016</v>
      </c>
      <c r="D91" s="5" t="inlineStr">
        <is>
          <t>No contesta</t>
        </is>
      </c>
      <c r="E91" s="6" t="n">
        <v>0.006</v>
      </c>
      <c r="F91" s="7" t="n">
        <v>1200</v>
      </c>
    </row>
    <row r="92">
      <c r="A92" s="5" t="inlineStr">
        <is>
          <t>Apoyo democracia</t>
        </is>
      </c>
      <c r="B92" s="5" t="inlineStr">
        <is>
          <t>Argentina</t>
        </is>
      </c>
      <c r="C92" s="5" t="n">
        <v>2017</v>
      </c>
      <c r="D92" s="5" t="inlineStr">
        <is>
          <t>Democracia</t>
        </is>
      </c>
      <c r="E92" s="6" t="n">
        <v>0.665</v>
      </c>
      <c r="F92" s="7" t="n">
        <v>1200</v>
      </c>
    </row>
    <row r="93">
      <c r="A93" s="5" t="inlineStr">
        <is>
          <t>Apoyo democracia</t>
        </is>
      </c>
      <c r="B93" s="5" t="inlineStr">
        <is>
          <t>Argentina</t>
        </is>
      </c>
      <c r="C93" s="5" t="n">
        <v>2017</v>
      </c>
      <c r="D93" s="5" t="inlineStr">
        <is>
          <t>Gobierno Autoritario</t>
        </is>
      </c>
      <c r="E93" s="6" t="n">
        <v>0.098</v>
      </c>
      <c r="F93" s="7" t="n">
        <v>1200</v>
      </c>
    </row>
    <row r="94">
      <c r="A94" s="5" t="inlineStr">
        <is>
          <t>Apoyo democracia</t>
        </is>
      </c>
      <c r="B94" s="5" t="inlineStr">
        <is>
          <t>Argentina</t>
        </is>
      </c>
      <c r="C94" s="5" t="n">
        <v>2017</v>
      </c>
      <c r="D94" s="5" t="inlineStr">
        <is>
          <t>Da lo mismo</t>
        </is>
      </c>
      <c r="E94" s="6" t="n">
        <v>0.176</v>
      </c>
      <c r="F94" s="7" t="n">
        <v>1200</v>
      </c>
    </row>
    <row r="95">
      <c r="A95" s="5" t="inlineStr">
        <is>
          <t>Apoyo democracia</t>
        </is>
      </c>
      <c r="B95" s="5" t="inlineStr">
        <is>
          <t>Argentina</t>
        </is>
      </c>
      <c r="C95" s="5" t="n">
        <v>2017</v>
      </c>
      <c r="D95" s="5" t="inlineStr">
        <is>
          <t>No sabe</t>
        </is>
      </c>
      <c r="E95" s="6" t="n">
        <v>0.05599999999999999</v>
      </c>
      <c r="F95" s="7" t="n">
        <v>1200</v>
      </c>
    </row>
    <row r="96">
      <c r="A96" s="5" t="inlineStr">
        <is>
          <t>Apoyo democracia</t>
        </is>
      </c>
      <c r="B96" s="5" t="inlineStr">
        <is>
          <t>Argentina</t>
        </is>
      </c>
      <c r="C96" s="5" t="n">
        <v>2017</v>
      </c>
      <c r="D96" s="5" t="inlineStr">
        <is>
          <t>No contesta</t>
        </is>
      </c>
      <c r="E96" s="6" t="n">
        <v>0.004</v>
      </c>
      <c r="F96" s="7" t="n">
        <v>1200</v>
      </c>
    </row>
    <row r="97">
      <c r="A97" s="5" t="inlineStr">
        <is>
          <t>Apoyo democracia</t>
        </is>
      </c>
      <c r="B97" s="5" t="inlineStr">
        <is>
          <t>Argentina</t>
        </is>
      </c>
      <c r="C97" s="5" t="n">
        <v>2018</v>
      </c>
      <c r="D97" s="5" t="inlineStr">
        <is>
          <t>Democracia</t>
        </is>
      </c>
      <c r="E97" s="6" t="n">
        <v>0.579</v>
      </c>
      <c r="F97" s="7" t="n">
        <v>1200</v>
      </c>
    </row>
    <row r="98">
      <c r="A98" s="5" t="inlineStr">
        <is>
          <t>Apoyo democracia</t>
        </is>
      </c>
      <c r="B98" s="5" t="inlineStr">
        <is>
          <t>Argentina</t>
        </is>
      </c>
      <c r="C98" s="5" t="n">
        <v>2018</v>
      </c>
      <c r="D98" s="5" t="inlineStr">
        <is>
          <t>Gobierno Autoritario</t>
        </is>
      </c>
      <c r="E98" s="6" t="n">
        <v>0.137</v>
      </c>
      <c r="F98" s="7" t="n">
        <v>1200</v>
      </c>
    </row>
    <row r="99">
      <c r="A99" s="5" t="inlineStr">
        <is>
          <t>Apoyo democracia</t>
        </is>
      </c>
      <c r="B99" s="5" t="inlineStr">
        <is>
          <t>Argentina</t>
        </is>
      </c>
      <c r="C99" s="5" t="n">
        <v>2018</v>
      </c>
      <c r="D99" s="5" t="inlineStr">
        <is>
          <t>Da lo mismo</t>
        </is>
      </c>
      <c r="E99" s="6" t="n">
        <v>0.215</v>
      </c>
      <c r="F99" s="7" t="n">
        <v>1200</v>
      </c>
    </row>
    <row r="100">
      <c r="A100" s="5" t="inlineStr">
        <is>
          <t>Apoyo democracia</t>
        </is>
      </c>
      <c r="B100" s="5" t="inlineStr">
        <is>
          <t>Argentina</t>
        </is>
      </c>
      <c r="C100" s="5" t="n">
        <v>2018</v>
      </c>
      <c r="D100" s="5" t="inlineStr">
        <is>
          <t>No sabe</t>
        </is>
      </c>
      <c r="E100" s="6" t="n">
        <v>0.058</v>
      </c>
      <c r="F100" s="7" t="n">
        <v>1200</v>
      </c>
    </row>
    <row r="101">
      <c r="A101" s="5" t="inlineStr">
        <is>
          <t>Apoyo democracia</t>
        </is>
      </c>
      <c r="B101" s="5" t="inlineStr">
        <is>
          <t>Argentina</t>
        </is>
      </c>
      <c r="C101" s="5" t="n">
        <v>2018</v>
      </c>
      <c r="D101" s="5" t="inlineStr">
        <is>
          <t>No contesta</t>
        </is>
      </c>
      <c r="E101" s="6" t="n">
        <v>0.011</v>
      </c>
      <c r="F101" s="7" t="n">
        <v>1200</v>
      </c>
    </row>
    <row r="102">
      <c r="A102" s="5" t="inlineStr">
        <is>
          <t>Apoyo democracia</t>
        </is>
      </c>
      <c r="B102" s="5" t="inlineStr">
        <is>
          <t>Argentina</t>
        </is>
      </c>
      <c r="C102" s="5" t="n">
        <v>2020</v>
      </c>
      <c r="D102" s="5" t="inlineStr">
        <is>
          <t>Democracia</t>
        </is>
      </c>
      <c r="E102" s="6" t="n">
        <v>0.5529999999999999</v>
      </c>
      <c r="F102" s="7" t="n">
        <v>1200</v>
      </c>
    </row>
    <row r="103">
      <c r="A103" s="5" t="inlineStr">
        <is>
          <t>Apoyo democracia</t>
        </is>
      </c>
      <c r="B103" s="5" t="inlineStr">
        <is>
          <t>Argentina</t>
        </is>
      </c>
      <c r="C103" s="5" t="n">
        <v>2020</v>
      </c>
      <c r="D103" s="5" t="inlineStr">
        <is>
          <t>Gobierno Autoritario</t>
        </is>
      </c>
      <c r="E103" s="6" t="n">
        <v>0.125</v>
      </c>
      <c r="F103" s="7" t="n">
        <v>1200</v>
      </c>
    </row>
    <row r="104">
      <c r="A104" s="5" t="inlineStr">
        <is>
          <t>Apoyo democracia</t>
        </is>
      </c>
      <c r="B104" s="5" t="inlineStr">
        <is>
          <t>Argentina</t>
        </is>
      </c>
      <c r="C104" s="5" t="n">
        <v>2020</v>
      </c>
      <c r="D104" s="5" t="inlineStr">
        <is>
          <t>Da lo mismo</t>
        </is>
      </c>
      <c r="E104" s="6" t="n">
        <v>0.141</v>
      </c>
      <c r="F104" s="7" t="n">
        <v>1200</v>
      </c>
    </row>
    <row r="105">
      <c r="A105" s="5" t="inlineStr">
        <is>
          <t>Apoyo democracia</t>
        </is>
      </c>
      <c r="B105" s="5" t="inlineStr">
        <is>
          <t>Argentina</t>
        </is>
      </c>
      <c r="C105" s="5" t="n">
        <v>2020</v>
      </c>
      <c r="D105" s="5" t="inlineStr">
        <is>
          <t>No sabe</t>
        </is>
      </c>
      <c r="E105" s="6" t="n">
        <v>0.102</v>
      </c>
      <c r="F105" s="7" t="n">
        <v>1200</v>
      </c>
    </row>
    <row r="106">
      <c r="A106" s="5" t="inlineStr">
        <is>
          <t>Apoyo democracia</t>
        </is>
      </c>
      <c r="B106" s="5" t="inlineStr">
        <is>
          <t>Argentina</t>
        </is>
      </c>
      <c r="C106" s="5" t="n">
        <v>2020</v>
      </c>
      <c r="D106" s="5" t="inlineStr">
        <is>
          <t>No contesta</t>
        </is>
      </c>
      <c r="E106" s="6" t="n">
        <v>0.078</v>
      </c>
      <c r="F106" s="7" t="n">
        <v>1200</v>
      </c>
    </row>
    <row r="107">
      <c r="A107" s="5" t="inlineStr">
        <is>
          <t>Apoyo democracia</t>
        </is>
      </c>
      <c r="B107" s="5" t="inlineStr">
        <is>
          <t>Argentina</t>
        </is>
      </c>
      <c r="C107" s="5" t="n">
        <v>2024</v>
      </c>
      <c r="D107" s="5" t="inlineStr">
        <is>
          <t>Democracia</t>
        </is>
      </c>
      <c r="E107" s="6" t="n">
        <v>0.746</v>
      </c>
      <c r="F107" s="7" t="n">
        <v>1210</v>
      </c>
    </row>
    <row r="108">
      <c r="A108" s="5" t="inlineStr">
        <is>
          <t>Apoyo democracia</t>
        </is>
      </c>
      <c r="B108" s="5" t="inlineStr">
        <is>
          <t>Argentina</t>
        </is>
      </c>
      <c r="C108" s="5" t="n">
        <v>2024</v>
      </c>
      <c r="D108" s="5" t="inlineStr">
        <is>
          <t>Gobierno Autoritario</t>
        </is>
      </c>
      <c r="E108" s="6" t="n">
        <v>0.116</v>
      </c>
      <c r="F108" s="7" t="n">
        <v>1210</v>
      </c>
    </row>
    <row r="109">
      <c r="A109" s="5" t="inlineStr">
        <is>
          <t>Apoyo democracia</t>
        </is>
      </c>
      <c r="B109" s="5" t="inlineStr">
        <is>
          <t>Argentina</t>
        </is>
      </c>
      <c r="C109" s="5" t="n">
        <v>2024</v>
      </c>
      <c r="D109" s="5" t="inlineStr">
        <is>
          <t>Da lo mismo</t>
        </is>
      </c>
      <c r="E109" s="6" t="n">
        <v>0.101</v>
      </c>
      <c r="F109" s="7" t="n">
        <v>1210</v>
      </c>
    </row>
    <row r="110">
      <c r="A110" s="5" t="inlineStr">
        <is>
          <t>Apoyo democracia</t>
        </is>
      </c>
      <c r="B110" s="5" t="inlineStr">
        <is>
          <t>Argentina</t>
        </is>
      </c>
      <c r="C110" s="5" t="n">
        <v>2024</v>
      </c>
      <c r="D110" s="5" t="inlineStr">
        <is>
          <t>No sabe</t>
        </is>
      </c>
      <c r="E110" s="6" t="n">
        <v>0.032</v>
      </c>
      <c r="F110" s="7" t="n">
        <v>1210</v>
      </c>
    </row>
    <row r="111">
      <c r="A111" s="5" t="inlineStr">
        <is>
          <t>Apoyo democracia</t>
        </is>
      </c>
      <c r="B111" s="5" t="inlineStr">
        <is>
          <t>Argentina</t>
        </is>
      </c>
      <c r="C111" s="5" t="n">
        <v>2024</v>
      </c>
      <c r="D111" s="5" t="inlineStr">
        <is>
          <t>No contesta</t>
        </is>
      </c>
      <c r="E111" s="6" t="n">
        <v>0.005</v>
      </c>
      <c r="F111" s="7" t="n">
        <v>1210</v>
      </c>
    </row>
    <row r="112">
      <c r="A112" s="5" t="inlineStr">
        <is>
          <t>Apoyo democracia</t>
        </is>
      </c>
      <c r="B112" s="5" t="inlineStr">
        <is>
          <t>Bolivia</t>
        </is>
      </c>
      <c r="C112" s="5" t="n">
        <v>1996</v>
      </c>
      <c r="D112" s="5" t="inlineStr">
        <is>
          <t>Democracia</t>
        </is>
      </c>
      <c r="E112" s="6" t="n">
        <v>0.637</v>
      </c>
      <c r="F112" s="7" t="n">
        <v>772</v>
      </c>
    </row>
    <row r="113">
      <c r="A113" s="5" t="inlineStr">
        <is>
          <t>Apoyo democracia</t>
        </is>
      </c>
      <c r="B113" s="5" t="inlineStr">
        <is>
          <t>Bolivia</t>
        </is>
      </c>
      <c r="C113" s="5" t="n">
        <v>1996</v>
      </c>
      <c r="D113" s="5" t="inlineStr">
        <is>
          <t>Gobierno Autoritario</t>
        </is>
      </c>
      <c r="E113" s="6" t="n">
        <v>0.17</v>
      </c>
      <c r="F113" s="7" t="n">
        <v>772</v>
      </c>
    </row>
    <row r="114">
      <c r="A114" s="5" t="inlineStr">
        <is>
          <t>Apoyo democracia</t>
        </is>
      </c>
      <c r="B114" s="5" t="inlineStr">
        <is>
          <t>Bolivia</t>
        </is>
      </c>
      <c r="C114" s="5" t="n">
        <v>1996</v>
      </c>
      <c r="D114" s="5" t="inlineStr">
        <is>
          <t>Da lo mismo</t>
        </is>
      </c>
      <c r="E114" s="6" t="n">
        <v>0.148</v>
      </c>
      <c r="F114" s="7" t="n">
        <v>772</v>
      </c>
    </row>
    <row r="115">
      <c r="A115" s="5" t="inlineStr">
        <is>
          <t>Apoyo democracia</t>
        </is>
      </c>
      <c r="B115" s="5" t="inlineStr">
        <is>
          <t>Bolivia</t>
        </is>
      </c>
      <c r="C115" s="5" t="n">
        <v>1996</v>
      </c>
      <c r="D115" s="5" t="inlineStr">
        <is>
          <t>No sabe</t>
        </is>
      </c>
      <c r="E115" s="6" t="n">
        <v>0.034</v>
      </c>
      <c r="F115" s="7" t="n">
        <v>772</v>
      </c>
    </row>
    <row r="116">
      <c r="A116" s="5" t="inlineStr">
        <is>
          <t>Apoyo democracia</t>
        </is>
      </c>
      <c r="B116" s="5" t="inlineStr">
        <is>
          <t>Bolivia</t>
        </is>
      </c>
      <c r="C116" s="5" t="n">
        <v>1996</v>
      </c>
      <c r="D116" s="5" t="inlineStr">
        <is>
          <t>No contesta</t>
        </is>
      </c>
      <c r="E116" s="6" t="n">
        <v>0.012</v>
      </c>
      <c r="F116" s="7" t="n">
        <v>772</v>
      </c>
    </row>
    <row r="117">
      <c r="A117" s="5" t="inlineStr">
        <is>
          <t>Apoyo democracia</t>
        </is>
      </c>
      <c r="B117" s="5" t="inlineStr">
        <is>
          <t>Bolivia</t>
        </is>
      </c>
      <c r="C117" s="5" t="n">
        <v>1997</v>
      </c>
      <c r="D117" s="5" t="inlineStr">
        <is>
          <t>Democracia</t>
        </is>
      </c>
      <c r="E117" s="6" t="n">
        <v>0.6579999999999999</v>
      </c>
      <c r="F117" s="7" t="n">
        <v>796</v>
      </c>
    </row>
    <row r="118">
      <c r="A118" s="5" t="inlineStr">
        <is>
          <t>Apoyo democracia</t>
        </is>
      </c>
      <c r="B118" s="5" t="inlineStr">
        <is>
          <t>Bolivia</t>
        </is>
      </c>
      <c r="C118" s="5" t="n">
        <v>1997</v>
      </c>
      <c r="D118" s="5" t="inlineStr">
        <is>
          <t>Gobierno Autoritario</t>
        </is>
      </c>
      <c r="E118" s="6" t="n">
        <v>0.161</v>
      </c>
      <c r="F118" s="7" t="n">
        <v>796</v>
      </c>
    </row>
    <row r="119">
      <c r="A119" s="5" t="inlineStr">
        <is>
          <t>Apoyo democracia</t>
        </is>
      </c>
      <c r="B119" s="5" t="inlineStr">
        <is>
          <t>Bolivia</t>
        </is>
      </c>
      <c r="C119" s="5" t="n">
        <v>1997</v>
      </c>
      <c r="D119" s="5" t="inlineStr">
        <is>
          <t>Da lo mismo</t>
        </is>
      </c>
      <c r="E119" s="6" t="n">
        <v>0.136</v>
      </c>
      <c r="F119" s="7" t="n">
        <v>796</v>
      </c>
    </row>
    <row r="120">
      <c r="A120" s="5" t="inlineStr">
        <is>
          <t>Apoyo democracia</t>
        </is>
      </c>
      <c r="B120" s="5" t="inlineStr">
        <is>
          <t>Bolivia</t>
        </is>
      </c>
      <c r="C120" s="5" t="n">
        <v>1997</v>
      </c>
      <c r="D120" s="5" t="inlineStr">
        <is>
          <t>No sabe</t>
        </is>
      </c>
      <c r="E120" s="6" t="n">
        <v>0.034</v>
      </c>
      <c r="F120" s="7" t="n">
        <v>796</v>
      </c>
    </row>
    <row r="121">
      <c r="A121" s="5" t="inlineStr">
        <is>
          <t>Apoyo democracia</t>
        </is>
      </c>
      <c r="B121" s="5" t="inlineStr">
        <is>
          <t>Bolivia</t>
        </is>
      </c>
      <c r="C121" s="5" t="n">
        <v>1997</v>
      </c>
      <c r="D121" s="5" t="inlineStr">
        <is>
          <t>No contesta</t>
        </is>
      </c>
      <c r="E121" s="6" t="n">
        <v>0.011</v>
      </c>
      <c r="F121" s="7" t="n">
        <v>796</v>
      </c>
    </row>
    <row r="122">
      <c r="A122" s="5" t="inlineStr">
        <is>
          <t>Apoyo democracia</t>
        </is>
      </c>
      <c r="B122" s="5" t="inlineStr">
        <is>
          <t>Bolivia</t>
        </is>
      </c>
      <c r="C122" s="5" t="n">
        <v>1998</v>
      </c>
      <c r="D122" s="5" t="inlineStr">
        <is>
          <t>Democracia</t>
        </is>
      </c>
      <c r="E122" s="6" t="n">
        <v>0.5539999999999999</v>
      </c>
      <c r="F122" s="7" t="n">
        <v>794</v>
      </c>
    </row>
    <row r="123">
      <c r="A123" s="5" t="inlineStr">
        <is>
          <t>Apoyo democracia</t>
        </is>
      </c>
      <c r="B123" s="5" t="inlineStr">
        <is>
          <t>Bolivia</t>
        </is>
      </c>
      <c r="C123" s="5" t="n">
        <v>1998</v>
      </c>
      <c r="D123" s="5" t="inlineStr">
        <is>
          <t>Gobierno Autoritario</t>
        </is>
      </c>
      <c r="E123" s="6" t="n">
        <v>0.221</v>
      </c>
      <c r="F123" s="7" t="n">
        <v>794</v>
      </c>
    </row>
    <row r="124">
      <c r="A124" s="5" t="inlineStr">
        <is>
          <t>Apoyo democracia</t>
        </is>
      </c>
      <c r="B124" s="5" t="inlineStr">
        <is>
          <t>Bolivia</t>
        </is>
      </c>
      <c r="C124" s="5" t="n">
        <v>1998</v>
      </c>
      <c r="D124" s="5" t="inlineStr">
        <is>
          <t>Da lo mismo</t>
        </is>
      </c>
      <c r="E124" s="6" t="n">
        <v>0.163</v>
      </c>
      <c r="F124" s="7" t="n">
        <v>794</v>
      </c>
    </row>
    <row r="125">
      <c r="A125" s="5" t="inlineStr">
        <is>
          <t>Apoyo democracia</t>
        </is>
      </c>
      <c r="B125" s="5" t="inlineStr">
        <is>
          <t>Bolivia</t>
        </is>
      </c>
      <c r="C125" s="5" t="n">
        <v>1998</v>
      </c>
      <c r="D125" s="5" t="inlineStr">
        <is>
          <t>No sabe</t>
        </is>
      </c>
      <c r="E125" s="6" t="n">
        <v>0.043</v>
      </c>
      <c r="F125" s="7" t="n">
        <v>794</v>
      </c>
    </row>
    <row r="126">
      <c r="A126" s="5" t="inlineStr">
        <is>
          <t>Apoyo democracia</t>
        </is>
      </c>
      <c r="B126" s="5" t="inlineStr">
        <is>
          <t>Bolivia</t>
        </is>
      </c>
      <c r="C126" s="5" t="n">
        <v>1998</v>
      </c>
      <c r="D126" s="5" t="inlineStr">
        <is>
          <t>No contesta</t>
        </is>
      </c>
      <c r="E126" s="6" t="n">
        <v>0.019</v>
      </c>
      <c r="F126" s="7" t="n">
        <v>794</v>
      </c>
    </row>
    <row r="127">
      <c r="A127" s="5" t="inlineStr">
        <is>
          <t>Apoyo democracia</t>
        </is>
      </c>
      <c r="B127" s="5" t="inlineStr">
        <is>
          <t>Bolivia</t>
        </is>
      </c>
      <c r="C127" s="5" t="n">
        <v>2000</v>
      </c>
      <c r="D127" s="5" t="inlineStr">
        <is>
          <t>Democracia</t>
        </is>
      </c>
      <c r="E127" s="6" t="n">
        <v>0.624</v>
      </c>
      <c r="F127" s="7" t="n">
        <v>1080</v>
      </c>
    </row>
    <row r="128">
      <c r="A128" s="5" t="inlineStr">
        <is>
          <t>Apoyo democracia</t>
        </is>
      </c>
      <c r="B128" s="5" t="inlineStr">
        <is>
          <t>Bolivia</t>
        </is>
      </c>
      <c r="C128" s="5" t="n">
        <v>2000</v>
      </c>
      <c r="D128" s="5" t="inlineStr">
        <is>
          <t>Gobierno Autoritario</t>
        </is>
      </c>
      <c r="E128" s="6" t="n">
        <v>0.128</v>
      </c>
      <c r="F128" s="7" t="n">
        <v>1080</v>
      </c>
    </row>
    <row r="129">
      <c r="A129" s="5" t="inlineStr">
        <is>
          <t>Apoyo democracia</t>
        </is>
      </c>
      <c r="B129" s="5" t="inlineStr">
        <is>
          <t>Bolivia</t>
        </is>
      </c>
      <c r="C129" s="5" t="n">
        <v>2000</v>
      </c>
      <c r="D129" s="5" t="inlineStr">
        <is>
          <t>Da lo mismo</t>
        </is>
      </c>
      <c r="E129" s="6" t="n">
        <v>0.165</v>
      </c>
      <c r="F129" s="7" t="n">
        <v>1080</v>
      </c>
    </row>
    <row r="130">
      <c r="A130" s="5" t="inlineStr">
        <is>
          <t>Apoyo democracia</t>
        </is>
      </c>
      <c r="B130" s="5" t="inlineStr">
        <is>
          <t>Bolivia</t>
        </is>
      </c>
      <c r="C130" s="5" t="n">
        <v>2000</v>
      </c>
      <c r="D130" s="5" t="inlineStr">
        <is>
          <t>No sabe</t>
        </is>
      </c>
      <c r="E130" s="6" t="n">
        <v>0.06900000000000001</v>
      </c>
      <c r="F130" s="7" t="n">
        <v>1080</v>
      </c>
    </row>
    <row r="131">
      <c r="A131" s="5" t="inlineStr">
        <is>
          <t>Apoyo democracia</t>
        </is>
      </c>
      <c r="B131" s="5" t="inlineStr">
        <is>
          <t>Bolivia</t>
        </is>
      </c>
      <c r="C131" s="5" t="n">
        <v>2000</v>
      </c>
      <c r="D131" s="5" t="inlineStr">
        <is>
          <t>No contesta</t>
        </is>
      </c>
      <c r="E131" s="6" t="n">
        <v>0.014</v>
      </c>
      <c r="F131" s="7" t="n">
        <v>1080</v>
      </c>
    </row>
    <row r="132">
      <c r="A132" s="5" t="inlineStr">
        <is>
          <t>Apoyo democracia</t>
        </is>
      </c>
      <c r="B132" s="5" t="inlineStr">
        <is>
          <t>Bolivia</t>
        </is>
      </c>
      <c r="C132" s="5" t="n">
        <v>2001</v>
      </c>
      <c r="D132" s="5" t="inlineStr">
        <is>
          <t>Democracia</t>
        </is>
      </c>
      <c r="E132" s="6" t="n">
        <v>0.537</v>
      </c>
      <c r="F132" s="7" t="n">
        <v>1075</v>
      </c>
    </row>
    <row r="133">
      <c r="A133" s="5" t="inlineStr">
        <is>
          <t>Apoyo democracia</t>
        </is>
      </c>
      <c r="B133" s="5" t="inlineStr">
        <is>
          <t>Bolivia</t>
        </is>
      </c>
      <c r="C133" s="5" t="n">
        <v>2001</v>
      </c>
      <c r="D133" s="5" t="inlineStr">
        <is>
          <t>Gobierno Autoritario</t>
        </is>
      </c>
      <c r="E133" s="6" t="n">
        <v>0.17</v>
      </c>
      <c r="F133" s="7" t="n">
        <v>1075</v>
      </c>
    </row>
    <row r="134">
      <c r="A134" s="5" t="inlineStr">
        <is>
          <t>Apoyo democracia</t>
        </is>
      </c>
      <c r="B134" s="5" t="inlineStr">
        <is>
          <t>Bolivia</t>
        </is>
      </c>
      <c r="C134" s="5" t="n">
        <v>2001</v>
      </c>
      <c r="D134" s="5" t="inlineStr">
        <is>
          <t>Da lo mismo</t>
        </is>
      </c>
      <c r="E134" s="6" t="n">
        <v>0.171</v>
      </c>
      <c r="F134" s="7" t="n">
        <v>1075</v>
      </c>
    </row>
    <row r="135">
      <c r="A135" s="5" t="inlineStr">
        <is>
          <t>Apoyo democracia</t>
        </is>
      </c>
      <c r="B135" s="5" t="inlineStr">
        <is>
          <t>Bolivia</t>
        </is>
      </c>
      <c r="C135" s="5" t="n">
        <v>2001</v>
      </c>
      <c r="D135" s="5" t="inlineStr">
        <is>
          <t>No sabe</t>
        </is>
      </c>
      <c r="E135" s="6" t="n">
        <v>0.09</v>
      </c>
      <c r="F135" s="7" t="n">
        <v>1075</v>
      </c>
    </row>
    <row r="136">
      <c r="A136" s="5" t="inlineStr">
        <is>
          <t>Apoyo democracia</t>
        </is>
      </c>
      <c r="B136" s="5" t="inlineStr">
        <is>
          <t>Bolivia</t>
        </is>
      </c>
      <c r="C136" s="5" t="n">
        <v>2001</v>
      </c>
      <c r="D136" s="5" t="inlineStr">
        <is>
          <t>No contesta</t>
        </is>
      </c>
      <c r="E136" s="6" t="n">
        <v>0.032</v>
      </c>
      <c r="F136" s="7" t="n">
        <v>1075</v>
      </c>
    </row>
    <row r="137">
      <c r="A137" s="5" t="inlineStr">
        <is>
          <t>Apoyo democracia</t>
        </is>
      </c>
      <c r="B137" s="5" t="inlineStr">
        <is>
          <t>Bolivia</t>
        </is>
      </c>
      <c r="C137" s="5" t="n">
        <v>2002</v>
      </c>
      <c r="D137" s="5" t="inlineStr">
        <is>
          <t>Democracia</t>
        </is>
      </c>
      <c r="E137" s="6" t="n">
        <v>0.523</v>
      </c>
      <c r="F137" s="7" t="n">
        <v>1242</v>
      </c>
    </row>
    <row r="138">
      <c r="A138" s="5" t="inlineStr">
        <is>
          <t>Apoyo democracia</t>
        </is>
      </c>
      <c r="B138" s="5" t="inlineStr">
        <is>
          <t>Bolivia</t>
        </is>
      </c>
      <c r="C138" s="5" t="n">
        <v>2002</v>
      </c>
      <c r="D138" s="5" t="inlineStr">
        <is>
          <t>Gobierno Autoritario</t>
        </is>
      </c>
      <c r="E138" s="6" t="n">
        <v>0.163</v>
      </c>
      <c r="F138" s="7" t="n">
        <v>1242</v>
      </c>
    </row>
    <row r="139">
      <c r="A139" s="5" t="inlineStr">
        <is>
          <t>Apoyo democracia</t>
        </is>
      </c>
      <c r="B139" s="5" t="inlineStr">
        <is>
          <t>Bolivia</t>
        </is>
      </c>
      <c r="C139" s="5" t="n">
        <v>2002</v>
      </c>
      <c r="D139" s="5" t="inlineStr">
        <is>
          <t>Da lo mismo</t>
        </is>
      </c>
      <c r="E139" s="6" t="n">
        <v>0.142</v>
      </c>
      <c r="F139" s="7" t="n">
        <v>1242</v>
      </c>
    </row>
    <row r="140">
      <c r="A140" s="5" t="inlineStr">
        <is>
          <t>Apoyo democracia</t>
        </is>
      </c>
      <c r="B140" s="5" t="inlineStr">
        <is>
          <t>Bolivia</t>
        </is>
      </c>
      <c r="C140" s="5" t="n">
        <v>2002</v>
      </c>
      <c r="D140" s="5" t="inlineStr">
        <is>
          <t>No sabe</t>
        </is>
      </c>
      <c r="E140" s="6" t="n">
        <v>0.14</v>
      </c>
      <c r="F140" s="7" t="n">
        <v>1242</v>
      </c>
    </row>
    <row r="141">
      <c r="A141" s="5" t="inlineStr">
        <is>
          <t>Apoyo democracia</t>
        </is>
      </c>
      <c r="B141" s="5" t="inlineStr">
        <is>
          <t>Bolivia</t>
        </is>
      </c>
      <c r="C141" s="5" t="n">
        <v>2002</v>
      </c>
      <c r="D141" s="5" t="inlineStr">
        <is>
          <t>No contesta</t>
        </is>
      </c>
      <c r="E141" s="6" t="n">
        <v>0.032</v>
      </c>
      <c r="F141" s="7" t="n">
        <v>1242</v>
      </c>
    </row>
    <row r="142">
      <c r="A142" s="5" t="inlineStr">
        <is>
          <t>Apoyo democracia</t>
        </is>
      </c>
      <c r="B142" s="5" t="inlineStr">
        <is>
          <t>Bolivia</t>
        </is>
      </c>
      <c r="C142" s="5" t="n">
        <v>2003</v>
      </c>
      <c r="D142" s="5" t="inlineStr">
        <is>
          <t>Democracia</t>
        </is>
      </c>
      <c r="E142" s="6" t="n">
        <v>0.4970000000000001</v>
      </c>
      <c r="F142" s="7" t="n">
        <v>1200</v>
      </c>
    </row>
    <row r="143">
      <c r="A143" s="5" t="inlineStr">
        <is>
          <t>Apoyo democracia</t>
        </is>
      </c>
      <c r="B143" s="5" t="inlineStr">
        <is>
          <t>Bolivia</t>
        </is>
      </c>
      <c r="C143" s="5" t="n">
        <v>2003</v>
      </c>
      <c r="D143" s="5" t="inlineStr">
        <is>
          <t>Gobierno Autoritario</t>
        </is>
      </c>
      <c r="E143" s="6" t="n">
        <v>0.224</v>
      </c>
      <c r="F143" s="7" t="n">
        <v>1200</v>
      </c>
    </row>
    <row r="144">
      <c r="A144" s="5" t="inlineStr">
        <is>
          <t>Apoyo democracia</t>
        </is>
      </c>
      <c r="B144" s="5" t="inlineStr">
        <is>
          <t>Bolivia</t>
        </is>
      </c>
      <c r="C144" s="5" t="n">
        <v>2003</v>
      </c>
      <c r="D144" s="5" t="inlineStr">
        <is>
          <t>Da lo mismo</t>
        </is>
      </c>
      <c r="E144" s="6" t="n">
        <v>0.236</v>
      </c>
      <c r="F144" s="7" t="n">
        <v>1200</v>
      </c>
    </row>
    <row r="145">
      <c r="A145" s="5" t="inlineStr">
        <is>
          <t>Apoyo democracia</t>
        </is>
      </c>
      <c r="B145" s="5" t="inlineStr">
        <is>
          <t>Bolivia</t>
        </is>
      </c>
      <c r="C145" s="5" t="n">
        <v>2003</v>
      </c>
      <c r="D145" s="5" t="inlineStr">
        <is>
          <t>No sabe</t>
        </is>
      </c>
      <c r="E145" s="6" t="n">
        <v>0.034</v>
      </c>
      <c r="F145" s="7" t="n">
        <v>1200</v>
      </c>
    </row>
    <row r="146">
      <c r="A146" s="5" t="inlineStr">
        <is>
          <t>Apoyo democracia</t>
        </is>
      </c>
      <c r="B146" s="5" t="inlineStr">
        <is>
          <t>Bolivia</t>
        </is>
      </c>
      <c r="C146" s="5" t="n">
        <v>2003</v>
      </c>
      <c r="D146" s="5" t="inlineStr">
        <is>
          <t>No contesta</t>
        </is>
      </c>
      <c r="E146" s="6" t="n">
        <v>0.008</v>
      </c>
      <c r="F146" s="7" t="n">
        <v>1200</v>
      </c>
    </row>
    <row r="147">
      <c r="A147" s="5" t="inlineStr">
        <is>
          <t>Apoyo democracia</t>
        </is>
      </c>
      <c r="B147" s="5" t="inlineStr">
        <is>
          <t>Bolivia</t>
        </is>
      </c>
      <c r="C147" s="5" t="n">
        <v>2004</v>
      </c>
      <c r="D147" s="5" t="inlineStr">
        <is>
          <t>Democracia</t>
        </is>
      </c>
      <c r="E147" s="6" t="n">
        <v>0.452</v>
      </c>
      <c r="F147" s="7" t="n">
        <v>1201</v>
      </c>
    </row>
    <row r="148">
      <c r="A148" s="5" t="inlineStr">
        <is>
          <t>Apoyo democracia</t>
        </is>
      </c>
      <c r="B148" s="5" t="inlineStr">
        <is>
          <t>Bolivia</t>
        </is>
      </c>
      <c r="C148" s="5" t="n">
        <v>2004</v>
      </c>
      <c r="D148" s="5" t="inlineStr">
        <is>
          <t>Gobierno Autoritario</t>
        </is>
      </c>
      <c r="E148" s="6" t="n">
        <v>0.189</v>
      </c>
      <c r="F148" s="7" t="n">
        <v>1201</v>
      </c>
    </row>
    <row r="149">
      <c r="A149" s="5" t="inlineStr">
        <is>
          <t>Apoyo democracia</t>
        </is>
      </c>
      <c r="B149" s="5" t="inlineStr">
        <is>
          <t>Bolivia</t>
        </is>
      </c>
      <c r="C149" s="5" t="n">
        <v>2004</v>
      </c>
      <c r="D149" s="5" t="inlineStr">
        <is>
          <t>Da lo mismo</t>
        </is>
      </c>
      <c r="E149" s="6" t="n">
        <v>0.189</v>
      </c>
      <c r="F149" s="7" t="n">
        <v>1201</v>
      </c>
    </row>
    <row r="150">
      <c r="A150" s="5" t="inlineStr">
        <is>
          <t>Apoyo democracia</t>
        </is>
      </c>
      <c r="B150" s="5" t="inlineStr">
        <is>
          <t>Bolivia</t>
        </is>
      </c>
      <c r="C150" s="5" t="n">
        <v>2004</v>
      </c>
      <c r="D150" s="5" t="inlineStr">
        <is>
          <t>No sabe</t>
        </is>
      </c>
      <c r="E150" s="6" t="n">
        <v>0.136</v>
      </c>
      <c r="F150" s="7" t="n">
        <v>1201</v>
      </c>
    </row>
    <row r="151">
      <c r="A151" s="5" t="inlineStr">
        <is>
          <t>Apoyo democracia</t>
        </is>
      </c>
      <c r="B151" s="5" t="inlineStr">
        <is>
          <t>Bolivia</t>
        </is>
      </c>
      <c r="C151" s="5" t="n">
        <v>2004</v>
      </c>
      <c r="D151" s="5" t="inlineStr">
        <is>
          <t>No contesta</t>
        </is>
      </c>
      <c r="E151" s="6" t="n">
        <v>0.034</v>
      </c>
      <c r="F151" s="7" t="n">
        <v>1201</v>
      </c>
    </row>
    <row r="152">
      <c r="A152" s="5" t="inlineStr">
        <is>
          <t>Apoyo democracia</t>
        </is>
      </c>
      <c r="B152" s="5" t="inlineStr">
        <is>
          <t>Bolivia</t>
        </is>
      </c>
      <c r="C152" s="5" t="n">
        <v>2005</v>
      </c>
      <c r="D152" s="5" t="inlineStr">
        <is>
          <t>Democracia</t>
        </is>
      </c>
      <c r="E152" s="6" t="n">
        <v>0.486</v>
      </c>
      <c r="F152" s="7" t="n">
        <v>1200</v>
      </c>
    </row>
    <row r="153">
      <c r="A153" s="5" t="inlineStr">
        <is>
          <t>Apoyo democracia</t>
        </is>
      </c>
      <c r="B153" s="5" t="inlineStr">
        <is>
          <t>Bolivia</t>
        </is>
      </c>
      <c r="C153" s="5" t="n">
        <v>2005</v>
      </c>
      <c r="D153" s="5" t="inlineStr">
        <is>
          <t>Gobierno Autoritario</t>
        </is>
      </c>
      <c r="E153" s="6" t="n">
        <v>0.19</v>
      </c>
      <c r="F153" s="7" t="n">
        <v>1200</v>
      </c>
    </row>
    <row r="154">
      <c r="A154" s="5" t="inlineStr">
        <is>
          <t>Apoyo democracia</t>
        </is>
      </c>
      <c r="B154" s="5" t="inlineStr">
        <is>
          <t>Bolivia</t>
        </is>
      </c>
      <c r="C154" s="5" t="n">
        <v>2005</v>
      </c>
      <c r="D154" s="5" t="inlineStr">
        <is>
          <t>Da lo mismo</t>
        </is>
      </c>
      <c r="E154" s="6" t="n">
        <v>0.193</v>
      </c>
      <c r="F154" s="7" t="n">
        <v>1200</v>
      </c>
    </row>
    <row r="155">
      <c r="A155" s="5" t="inlineStr">
        <is>
          <t>Apoyo democracia</t>
        </is>
      </c>
      <c r="B155" s="5" t="inlineStr">
        <is>
          <t>Bolivia</t>
        </is>
      </c>
      <c r="C155" s="5" t="n">
        <v>2005</v>
      </c>
      <c r="D155" s="5" t="inlineStr">
        <is>
          <t>No sabe</t>
        </is>
      </c>
      <c r="E155" s="6" t="n">
        <v>0.115</v>
      </c>
      <c r="F155" s="7" t="n">
        <v>1200</v>
      </c>
    </row>
    <row r="156">
      <c r="A156" s="5" t="inlineStr">
        <is>
          <t>Apoyo democracia</t>
        </is>
      </c>
      <c r="B156" s="5" t="inlineStr">
        <is>
          <t>Bolivia</t>
        </is>
      </c>
      <c r="C156" s="5" t="n">
        <v>2005</v>
      </c>
      <c r="D156" s="5" t="inlineStr">
        <is>
          <t>No contesta</t>
        </is>
      </c>
      <c r="E156" s="6" t="n">
        <v>0.016</v>
      </c>
      <c r="F156" s="7" t="n">
        <v>1200</v>
      </c>
    </row>
    <row r="157">
      <c r="A157" s="5" t="inlineStr">
        <is>
          <t>Apoyo democracia</t>
        </is>
      </c>
      <c r="B157" s="5" t="inlineStr">
        <is>
          <t>Bolivia</t>
        </is>
      </c>
      <c r="C157" s="5" t="n">
        <v>2006</v>
      </c>
      <c r="D157" s="5" t="inlineStr">
        <is>
          <t>Democracia</t>
        </is>
      </c>
      <c r="E157" s="6" t="n">
        <v>0.617</v>
      </c>
      <c r="F157" s="7" t="n">
        <v>1200</v>
      </c>
    </row>
    <row r="158">
      <c r="A158" s="5" t="inlineStr">
        <is>
          <t>Apoyo democracia</t>
        </is>
      </c>
      <c r="B158" s="5" t="inlineStr">
        <is>
          <t>Bolivia</t>
        </is>
      </c>
      <c r="C158" s="5" t="n">
        <v>2006</v>
      </c>
      <c r="D158" s="5" t="inlineStr">
        <is>
          <t>Gobierno Autoritario</t>
        </is>
      </c>
      <c r="E158" s="6" t="n">
        <v>0.185</v>
      </c>
      <c r="F158" s="7" t="n">
        <v>1200</v>
      </c>
    </row>
    <row r="159">
      <c r="A159" s="5" t="inlineStr">
        <is>
          <t>Apoyo democracia</t>
        </is>
      </c>
      <c r="B159" s="5" t="inlineStr">
        <is>
          <t>Bolivia</t>
        </is>
      </c>
      <c r="C159" s="5" t="n">
        <v>2006</v>
      </c>
      <c r="D159" s="5" t="inlineStr">
        <is>
          <t>Da lo mismo</t>
        </is>
      </c>
      <c r="E159" s="6" t="n">
        <v>0.139</v>
      </c>
      <c r="F159" s="7" t="n">
        <v>1200</v>
      </c>
    </row>
    <row r="160">
      <c r="A160" s="5" t="inlineStr">
        <is>
          <t>Apoyo democracia</t>
        </is>
      </c>
      <c r="B160" s="5" t="inlineStr">
        <is>
          <t>Bolivia</t>
        </is>
      </c>
      <c r="C160" s="5" t="n">
        <v>2006</v>
      </c>
      <c r="D160" s="5" t="inlineStr">
        <is>
          <t>No sabe</t>
        </is>
      </c>
      <c r="E160" s="6" t="n">
        <v>0.048</v>
      </c>
      <c r="F160" s="7" t="n">
        <v>1200</v>
      </c>
    </row>
    <row r="161">
      <c r="A161" s="5" t="inlineStr">
        <is>
          <t>Apoyo democracia</t>
        </is>
      </c>
      <c r="B161" s="5" t="inlineStr">
        <is>
          <t>Bolivia</t>
        </is>
      </c>
      <c r="C161" s="5" t="n">
        <v>2006</v>
      </c>
      <c r="D161" s="5" t="inlineStr">
        <is>
          <t>No contesta</t>
        </is>
      </c>
      <c r="E161" s="6" t="n">
        <v>0.012</v>
      </c>
      <c r="F161" s="7" t="n">
        <v>1200</v>
      </c>
    </row>
    <row r="162">
      <c r="A162" s="5" t="inlineStr">
        <is>
          <t>Apoyo democracia</t>
        </is>
      </c>
      <c r="B162" s="5" t="inlineStr">
        <is>
          <t>Bolivia</t>
        </is>
      </c>
      <c r="C162" s="5" t="n">
        <v>2007</v>
      </c>
      <c r="D162" s="5" t="inlineStr">
        <is>
          <t>Democracia</t>
        </is>
      </c>
      <c r="E162" s="6" t="n">
        <v>0.665</v>
      </c>
      <c r="F162" s="7" t="n">
        <v>1200</v>
      </c>
    </row>
    <row r="163">
      <c r="A163" s="5" t="inlineStr">
        <is>
          <t>Apoyo democracia</t>
        </is>
      </c>
      <c r="B163" s="5" t="inlineStr">
        <is>
          <t>Bolivia</t>
        </is>
      </c>
      <c r="C163" s="5" t="n">
        <v>2007</v>
      </c>
      <c r="D163" s="5" t="inlineStr">
        <is>
          <t>Gobierno Autoritario</t>
        </is>
      </c>
      <c r="E163" s="6" t="n">
        <v>0.144</v>
      </c>
      <c r="F163" s="7" t="n">
        <v>1200</v>
      </c>
    </row>
    <row r="164">
      <c r="A164" s="5" t="inlineStr">
        <is>
          <t>Apoyo democracia</t>
        </is>
      </c>
      <c r="B164" s="5" t="inlineStr">
        <is>
          <t>Bolivia</t>
        </is>
      </c>
      <c r="C164" s="5" t="n">
        <v>2007</v>
      </c>
      <c r="D164" s="5" t="inlineStr">
        <is>
          <t>Da lo mismo</t>
        </is>
      </c>
      <c r="E164" s="6" t="n">
        <v>0.152</v>
      </c>
      <c r="F164" s="7" t="n">
        <v>1200</v>
      </c>
    </row>
    <row r="165">
      <c r="A165" s="5" t="inlineStr">
        <is>
          <t>Apoyo democracia</t>
        </is>
      </c>
      <c r="B165" s="5" t="inlineStr">
        <is>
          <t>Bolivia</t>
        </is>
      </c>
      <c r="C165" s="5" t="n">
        <v>2007</v>
      </c>
      <c r="D165" s="5" t="inlineStr">
        <is>
          <t>No sabe</t>
        </is>
      </c>
      <c r="E165" s="6" t="n">
        <v>0.036</v>
      </c>
      <c r="F165" s="7" t="n">
        <v>1200</v>
      </c>
    </row>
    <row r="166">
      <c r="A166" s="5" t="inlineStr">
        <is>
          <t>Apoyo democracia</t>
        </is>
      </c>
      <c r="B166" s="5" t="inlineStr">
        <is>
          <t>Bolivia</t>
        </is>
      </c>
      <c r="C166" s="5" t="n">
        <v>2007</v>
      </c>
      <c r="D166" s="5" t="inlineStr">
        <is>
          <t>No contesta</t>
        </is>
      </c>
      <c r="E166" s="6" t="n">
        <v>0.003</v>
      </c>
      <c r="F166" s="7" t="n">
        <v>1200</v>
      </c>
    </row>
    <row r="167">
      <c r="A167" s="5" t="inlineStr">
        <is>
          <t>Apoyo democracia</t>
        </is>
      </c>
      <c r="B167" s="5" t="inlineStr">
        <is>
          <t>Bolivia</t>
        </is>
      </c>
      <c r="C167" s="5" t="n">
        <v>2008</v>
      </c>
      <c r="D167" s="5" t="inlineStr">
        <is>
          <t>Democracia</t>
        </is>
      </c>
      <c r="E167" s="6" t="n">
        <v>0.6809999999999999</v>
      </c>
      <c r="F167" s="7" t="n">
        <v>1200</v>
      </c>
    </row>
    <row r="168">
      <c r="A168" s="5" t="inlineStr">
        <is>
          <t>Apoyo democracia</t>
        </is>
      </c>
      <c r="B168" s="5" t="inlineStr">
        <is>
          <t>Bolivia</t>
        </is>
      </c>
      <c r="C168" s="5" t="n">
        <v>2008</v>
      </c>
      <c r="D168" s="5" t="inlineStr">
        <is>
          <t>Gobierno Autoritario</t>
        </is>
      </c>
      <c r="E168" s="6" t="n">
        <v>0.099</v>
      </c>
      <c r="F168" s="7" t="n">
        <v>1200</v>
      </c>
    </row>
    <row r="169">
      <c r="A169" s="5" t="inlineStr">
        <is>
          <t>Apoyo democracia</t>
        </is>
      </c>
      <c r="B169" s="5" t="inlineStr">
        <is>
          <t>Bolivia</t>
        </is>
      </c>
      <c r="C169" s="5" t="n">
        <v>2008</v>
      </c>
      <c r="D169" s="5" t="inlineStr">
        <is>
          <t>Da lo mismo</t>
        </is>
      </c>
      <c r="E169" s="6" t="n">
        <v>0.132</v>
      </c>
      <c r="F169" s="7" t="n">
        <v>1200</v>
      </c>
    </row>
    <row r="170">
      <c r="A170" s="5" t="inlineStr">
        <is>
          <t>Apoyo democracia</t>
        </is>
      </c>
      <c r="B170" s="5" t="inlineStr">
        <is>
          <t>Bolivia</t>
        </is>
      </c>
      <c r="C170" s="5" t="n">
        <v>2008</v>
      </c>
      <c r="D170" s="5" t="inlineStr">
        <is>
          <t>No sabe</t>
        </is>
      </c>
      <c r="E170" s="6" t="n">
        <v>0.06900000000000001</v>
      </c>
      <c r="F170" s="7" t="n">
        <v>1200</v>
      </c>
    </row>
    <row r="171">
      <c r="A171" s="5" t="inlineStr">
        <is>
          <t>Apoyo democracia</t>
        </is>
      </c>
      <c r="B171" s="5" t="inlineStr">
        <is>
          <t>Bolivia</t>
        </is>
      </c>
      <c r="C171" s="5" t="n">
        <v>2008</v>
      </c>
      <c r="D171" s="5" t="inlineStr">
        <is>
          <t>No contesta</t>
        </is>
      </c>
      <c r="E171" s="6" t="n">
        <v>0.019</v>
      </c>
      <c r="F171" s="7" t="n">
        <v>1200</v>
      </c>
    </row>
    <row r="172">
      <c r="A172" s="5" t="inlineStr">
        <is>
          <t>Apoyo democracia</t>
        </is>
      </c>
      <c r="B172" s="5" t="inlineStr">
        <is>
          <t>Bolivia</t>
        </is>
      </c>
      <c r="C172" s="5" t="n">
        <v>2009</v>
      </c>
      <c r="D172" s="5" t="inlineStr">
        <is>
          <t>Democracia</t>
        </is>
      </c>
      <c r="E172" s="6" t="n">
        <v>0.7140000000000001</v>
      </c>
      <c r="F172" s="7" t="n">
        <v>1200</v>
      </c>
    </row>
    <row r="173">
      <c r="A173" s="5" t="inlineStr">
        <is>
          <t>Apoyo democracia</t>
        </is>
      </c>
      <c r="B173" s="5" t="inlineStr">
        <is>
          <t>Bolivia</t>
        </is>
      </c>
      <c r="C173" s="5" t="n">
        <v>2009</v>
      </c>
      <c r="D173" s="5" t="inlineStr">
        <is>
          <t>Gobierno Autoritario</t>
        </is>
      </c>
      <c r="E173" s="6" t="n">
        <v>0.125</v>
      </c>
      <c r="F173" s="7" t="n">
        <v>1200</v>
      </c>
    </row>
    <row r="174">
      <c r="A174" s="5" t="inlineStr">
        <is>
          <t>Apoyo democracia</t>
        </is>
      </c>
      <c r="B174" s="5" t="inlineStr">
        <is>
          <t>Bolivia</t>
        </is>
      </c>
      <c r="C174" s="5" t="n">
        <v>2009</v>
      </c>
      <c r="D174" s="5" t="inlineStr">
        <is>
          <t>Da lo mismo</t>
        </is>
      </c>
      <c r="E174" s="6" t="n">
        <v>0.103</v>
      </c>
      <c r="F174" s="7" t="n">
        <v>1200</v>
      </c>
    </row>
    <row r="175">
      <c r="A175" s="5" t="inlineStr">
        <is>
          <t>Apoyo democracia</t>
        </is>
      </c>
      <c r="B175" s="5" t="inlineStr">
        <is>
          <t>Bolivia</t>
        </is>
      </c>
      <c r="C175" s="5" t="n">
        <v>2009</v>
      </c>
      <c r="D175" s="5" t="inlineStr">
        <is>
          <t>No sabe</t>
        </is>
      </c>
      <c r="E175" s="6" t="n">
        <v>0.048</v>
      </c>
      <c r="F175" s="7" t="n">
        <v>1200</v>
      </c>
    </row>
    <row r="176">
      <c r="A176" s="5" t="inlineStr">
        <is>
          <t>Apoyo democracia</t>
        </is>
      </c>
      <c r="B176" s="5" t="inlineStr">
        <is>
          <t>Bolivia</t>
        </is>
      </c>
      <c r="C176" s="5" t="n">
        <v>2009</v>
      </c>
      <c r="D176" s="5" t="inlineStr">
        <is>
          <t>No contesta</t>
        </is>
      </c>
      <c r="E176" s="6" t="n">
        <v>0.01</v>
      </c>
      <c r="F176" s="7" t="n">
        <v>1200</v>
      </c>
    </row>
    <row r="177">
      <c r="A177" s="5" t="inlineStr">
        <is>
          <t>Apoyo democracia</t>
        </is>
      </c>
      <c r="B177" s="5" t="inlineStr">
        <is>
          <t>Bolivia</t>
        </is>
      </c>
      <c r="C177" s="5" t="n">
        <v>2010</v>
      </c>
      <c r="D177" s="5" t="inlineStr">
        <is>
          <t>Democracia</t>
        </is>
      </c>
      <c r="E177" s="6" t="n">
        <v>0.6759999999999999</v>
      </c>
      <c r="F177" s="7" t="n">
        <v>1200</v>
      </c>
    </row>
    <row r="178">
      <c r="A178" s="5" t="inlineStr">
        <is>
          <t>Apoyo democracia</t>
        </is>
      </c>
      <c r="B178" s="5" t="inlineStr">
        <is>
          <t>Bolivia</t>
        </is>
      </c>
      <c r="C178" s="5" t="n">
        <v>2010</v>
      </c>
      <c r="D178" s="5" t="inlineStr">
        <is>
          <t>Gobierno Autoritario</t>
        </is>
      </c>
      <c r="E178" s="6" t="n">
        <v>0.09</v>
      </c>
      <c r="F178" s="7" t="n">
        <v>1200</v>
      </c>
    </row>
    <row r="179">
      <c r="A179" s="5" t="inlineStr">
        <is>
          <t>Apoyo democracia</t>
        </is>
      </c>
      <c r="B179" s="5" t="inlineStr">
        <is>
          <t>Bolivia</t>
        </is>
      </c>
      <c r="C179" s="5" t="n">
        <v>2010</v>
      </c>
      <c r="D179" s="5" t="inlineStr">
        <is>
          <t>Da lo mismo</t>
        </is>
      </c>
      <c r="E179" s="6" t="n">
        <v>0.153</v>
      </c>
      <c r="F179" s="7" t="n">
        <v>1200</v>
      </c>
    </row>
    <row r="180">
      <c r="A180" s="5" t="inlineStr">
        <is>
          <t>Apoyo democracia</t>
        </is>
      </c>
      <c r="B180" s="5" t="inlineStr">
        <is>
          <t>Bolivia</t>
        </is>
      </c>
      <c r="C180" s="5" t="n">
        <v>2010</v>
      </c>
      <c r="D180" s="5" t="inlineStr">
        <is>
          <t>No sabe</t>
        </is>
      </c>
      <c r="E180" s="6" t="n">
        <v>0.075</v>
      </c>
      <c r="F180" s="7" t="n">
        <v>1200</v>
      </c>
    </row>
    <row r="181">
      <c r="A181" s="5" t="inlineStr">
        <is>
          <t>Apoyo democracia</t>
        </is>
      </c>
      <c r="B181" s="5" t="inlineStr">
        <is>
          <t>Bolivia</t>
        </is>
      </c>
      <c r="C181" s="5" t="n">
        <v>2010</v>
      </c>
      <c r="D181" s="5" t="inlineStr">
        <is>
          <t>No contesta</t>
        </is>
      </c>
      <c r="E181" s="6" t="n">
        <v>0.006999999999999999</v>
      </c>
      <c r="F181" s="7" t="n">
        <v>1200</v>
      </c>
    </row>
    <row r="182">
      <c r="A182" s="5" t="inlineStr">
        <is>
          <t>Apoyo democracia</t>
        </is>
      </c>
      <c r="B182" s="5" t="inlineStr">
        <is>
          <t>Bolivia</t>
        </is>
      </c>
      <c r="C182" s="5" t="n">
        <v>2011</v>
      </c>
      <c r="D182" s="5" t="inlineStr">
        <is>
          <t>Democracia</t>
        </is>
      </c>
      <c r="E182" s="6" t="n">
        <v>0.635</v>
      </c>
      <c r="F182" s="7" t="n">
        <v>1200</v>
      </c>
    </row>
    <row r="183">
      <c r="A183" s="5" t="inlineStr">
        <is>
          <t>Apoyo democracia</t>
        </is>
      </c>
      <c r="B183" s="5" t="inlineStr">
        <is>
          <t>Bolivia</t>
        </is>
      </c>
      <c r="C183" s="5" t="n">
        <v>2011</v>
      </c>
      <c r="D183" s="5" t="inlineStr">
        <is>
          <t>Gobierno Autoritario</t>
        </is>
      </c>
      <c r="E183" s="6" t="n">
        <v>0.108</v>
      </c>
      <c r="F183" s="7" t="n">
        <v>1200</v>
      </c>
    </row>
    <row r="184">
      <c r="A184" s="5" t="inlineStr">
        <is>
          <t>Apoyo democracia</t>
        </is>
      </c>
      <c r="B184" s="5" t="inlineStr">
        <is>
          <t>Bolivia</t>
        </is>
      </c>
      <c r="C184" s="5" t="n">
        <v>2011</v>
      </c>
      <c r="D184" s="5" t="inlineStr">
        <is>
          <t>Da lo mismo</t>
        </is>
      </c>
      <c r="E184" s="6" t="n">
        <v>0.161</v>
      </c>
      <c r="F184" s="7" t="n">
        <v>1200</v>
      </c>
    </row>
    <row r="185">
      <c r="A185" s="5" t="inlineStr">
        <is>
          <t>Apoyo democracia</t>
        </is>
      </c>
      <c r="B185" s="5" t="inlineStr">
        <is>
          <t>Bolivia</t>
        </is>
      </c>
      <c r="C185" s="5" t="n">
        <v>2011</v>
      </c>
      <c r="D185" s="5" t="inlineStr">
        <is>
          <t>No sabe</t>
        </is>
      </c>
      <c r="E185" s="6" t="n">
        <v>0.078</v>
      </c>
      <c r="F185" s="7" t="n">
        <v>1200</v>
      </c>
    </row>
    <row r="186">
      <c r="A186" s="5" t="inlineStr">
        <is>
          <t>Apoyo democracia</t>
        </is>
      </c>
      <c r="B186" s="5" t="inlineStr">
        <is>
          <t>Bolivia</t>
        </is>
      </c>
      <c r="C186" s="5" t="n">
        <v>2011</v>
      </c>
      <c r="D186" s="5" t="inlineStr">
        <is>
          <t>No contesta</t>
        </is>
      </c>
      <c r="E186" s="6" t="n">
        <v>0.019</v>
      </c>
      <c r="F186" s="7" t="n">
        <v>1200</v>
      </c>
    </row>
    <row r="187">
      <c r="A187" s="5" t="inlineStr">
        <is>
          <t>Apoyo democracia</t>
        </is>
      </c>
      <c r="B187" s="5" t="inlineStr">
        <is>
          <t>Bolivia</t>
        </is>
      </c>
      <c r="C187" s="5" t="n">
        <v>2016</v>
      </c>
      <c r="D187" s="5" t="inlineStr">
        <is>
          <t>Democracia</t>
        </is>
      </c>
      <c r="E187" s="6" t="n">
        <v>0.642</v>
      </c>
      <c r="F187" s="7" t="n">
        <v>1200</v>
      </c>
    </row>
    <row r="188">
      <c r="A188" s="5" t="inlineStr">
        <is>
          <t>Apoyo democracia</t>
        </is>
      </c>
      <c r="B188" s="5" t="inlineStr">
        <is>
          <t>Bolivia</t>
        </is>
      </c>
      <c r="C188" s="5" t="n">
        <v>2016</v>
      </c>
      <c r="D188" s="5" t="inlineStr">
        <is>
          <t>Gobierno Autoritario</t>
        </is>
      </c>
      <c r="E188" s="6" t="n">
        <v>0.156</v>
      </c>
      <c r="F188" s="7" t="n">
        <v>1200</v>
      </c>
    </row>
    <row r="189">
      <c r="A189" s="5" t="inlineStr">
        <is>
          <t>Apoyo democracia</t>
        </is>
      </c>
      <c r="B189" s="5" t="inlineStr">
        <is>
          <t>Bolivia</t>
        </is>
      </c>
      <c r="C189" s="5" t="n">
        <v>2016</v>
      </c>
      <c r="D189" s="5" t="inlineStr">
        <is>
          <t>Da lo mismo</t>
        </is>
      </c>
      <c r="E189" s="6" t="n">
        <v>0.148</v>
      </c>
      <c r="F189" s="7" t="n">
        <v>1200</v>
      </c>
    </row>
    <row r="190">
      <c r="A190" s="5" t="inlineStr">
        <is>
          <t>Apoyo democracia</t>
        </is>
      </c>
      <c r="B190" s="5" t="inlineStr">
        <is>
          <t>Bolivia</t>
        </is>
      </c>
      <c r="C190" s="5" t="n">
        <v>2016</v>
      </c>
      <c r="D190" s="5" t="inlineStr">
        <is>
          <t>No sabe</t>
        </is>
      </c>
      <c r="E190" s="6" t="n">
        <v>0.05</v>
      </c>
      <c r="F190" s="7" t="n">
        <v>1200</v>
      </c>
    </row>
    <row r="191">
      <c r="A191" s="5" t="inlineStr">
        <is>
          <t>Apoyo democracia</t>
        </is>
      </c>
      <c r="B191" s="5" t="inlineStr">
        <is>
          <t>Bolivia</t>
        </is>
      </c>
      <c r="C191" s="5" t="n">
        <v>2016</v>
      </c>
      <c r="D191" s="5" t="inlineStr">
        <is>
          <t>No contesta</t>
        </is>
      </c>
      <c r="E191" s="6" t="n">
        <v>0.005</v>
      </c>
      <c r="F191" s="7" t="n">
        <v>1200</v>
      </c>
    </row>
    <row r="192">
      <c r="A192" s="5" t="inlineStr">
        <is>
          <t>Apoyo democracia</t>
        </is>
      </c>
      <c r="B192" s="5" t="inlineStr">
        <is>
          <t>Bolivia</t>
        </is>
      </c>
      <c r="C192" s="5" t="n">
        <v>2017</v>
      </c>
      <c r="D192" s="5" t="inlineStr">
        <is>
          <t>Democracia</t>
        </is>
      </c>
      <c r="E192" s="6" t="n">
        <v>0.591</v>
      </c>
      <c r="F192" s="7" t="n">
        <v>1200</v>
      </c>
    </row>
    <row r="193">
      <c r="A193" s="5" t="inlineStr">
        <is>
          <t>Apoyo democracia</t>
        </is>
      </c>
      <c r="B193" s="5" t="inlineStr">
        <is>
          <t>Bolivia</t>
        </is>
      </c>
      <c r="C193" s="5" t="n">
        <v>2017</v>
      </c>
      <c r="D193" s="5" t="inlineStr">
        <is>
          <t>Gobierno Autoritario</t>
        </is>
      </c>
      <c r="E193" s="6" t="n">
        <v>0.1</v>
      </c>
      <c r="F193" s="7" t="n">
        <v>1200</v>
      </c>
    </row>
    <row r="194">
      <c r="A194" s="5" t="inlineStr">
        <is>
          <t>Apoyo democracia</t>
        </is>
      </c>
      <c r="B194" s="5" t="inlineStr">
        <is>
          <t>Bolivia</t>
        </is>
      </c>
      <c r="C194" s="5" t="n">
        <v>2017</v>
      </c>
      <c r="D194" s="5" t="inlineStr">
        <is>
          <t>Da lo mismo</t>
        </is>
      </c>
      <c r="E194" s="6" t="n">
        <v>0.236</v>
      </c>
      <c r="F194" s="7" t="n">
        <v>1200</v>
      </c>
    </row>
    <row r="195">
      <c r="A195" s="5" t="inlineStr">
        <is>
          <t>Apoyo democracia</t>
        </is>
      </c>
      <c r="B195" s="5" t="inlineStr">
        <is>
          <t>Bolivia</t>
        </is>
      </c>
      <c r="C195" s="5" t="n">
        <v>2017</v>
      </c>
      <c r="D195" s="5" t="inlineStr">
        <is>
          <t>No sabe</t>
        </is>
      </c>
      <c r="E195" s="6" t="n">
        <v>0.064</v>
      </c>
      <c r="F195" s="7" t="n">
        <v>1200</v>
      </c>
    </row>
    <row r="196">
      <c r="A196" s="5" t="inlineStr">
        <is>
          <t>Apoyo democracia</t>
        </is>
      </c>
      <c r="B196" s="5" t="inlineStr">
        <is>
          <t>Bolivia</t>
        </is>
      </c>
      <c r="C196" s="5" t="n">
        <v>2017</v>
      </c>
      <c r="D196" s="5" t="inlineStr">
        <is>
          <t>No contesta</t>
        </is>
      </c>
      <c r="E196" s="6" t="n">
        <v>0.009000000000000001</v>
      </c>
      <c r="F196" s="7" t="n">
        <v>1200</v>
      </c>
    </row>
    <row r="197">
      <c r="A197" s="5" t="inlineStr">
        <is>
          <t>Apoyo democracia</t>
        </is>
      </c>
      <c r="B197" s="5" t="inlineStr">
        <is>
          <t>Bolivia</t>
        </is>
      </c>
      <c r="C197" s="5" t="n">
        <v>2018</v>
      </c>
      <c r="D197" s="5" t="inlineStr">
        <is>
          <t>Democracia</t>
        </is>
      </c>
      <c r="E197" s="6" t="n">
        <v>0.528</v>
      </c>
      <c r="F197" s="7" t="n">
        <v>1200</v>
      </c>
    </row>
    <row r="198">
      <c r="A198" s="5" t="inlineStr">
        <is>
          <t>Apoyo democracia</t>
        </is>
      </c>
      <c r="B198" s="5" t="inlineStr">
        <is>
          <t>Bolivia</t>
        </is>
      </c>
      <c r="C198" s="5" t="n">
        <v>2018</v>
      </c>
      <c r="D198" s="5" t="inlineStr">
        <is>
          <t>Gobierno Autoritario</t>
        </is>
      </c>
      <c r="E198" s="6" t="n">
        <v>0.116</v>
      </c>
      <c r="F198" s="7" t="n">
        <v>1200</v>
      </c>
    </row>
    <row r="199">
      <c r="A199" s="5" t="inlineStr">
        <is>
          <t>Apoyo democracia</t>
        </is>
      </c>
      <c r="B199" s="5" t="inlineStr">
        <is>
          <t>Bolivia</t>
        </is>
      </c>
      <c r="C199" s="5" t="n">
        <v>2018</v>
      </c>
      <c r="D199" s="5" t="inlineStr">
        <is>
          <t>Da lo mismo</t>
        </is>
      </c>
      <c r="E199" s="6" t="n">
        <v>0.243</v>
      </c>
      <c r="F199" s="7" t="n">
        <v>1200</v>
      </c>
    </row>
    <row r="200">
      <c r="A200" s="5" t="inlineStr">
        <is>
          <t>Apoyo democracia</t>
        </is>
      </c>
      <c r="B200" s="5" t="inlineStr">
        <is>
          <t>Bolivia</t>
        </is>
      </c>
      <c r="C200" s="5" t="n">
        <v>2018</v>
      </c>
      <c r="D200" s="5" t="inlineStr">
        <is>
          <t>No sabe</t>
        </is>
      </c>
      <c r="E200" s="6" t="n">
        <v>0.103</v>
      </c>
      <c r="F200" s="7" t="n">
        <v>1200</v>
      </c>
    </row>
    <row r="201">
      <c r="A201" s="5" t="inlineStr">
        <is>
          <t>Apoyo democracia</t>
        </is>
      </c>
      <c r="B201" s="5" t="inlineStr">
        <is>
          <t>Bolivia</t>
        </is>
      </c>
      <c r="C201" s="5" t="n">
        <v>2018</v>
      </c>
      <c r="D201" s="5" t="inlineStr">
        <is>
          <t>No contesta</t>
        </is>
      </c>
      <c r="E201" s="6" t="n">
        <v>0.011</v>
      </c>
      <c r="F201" s="7" t="n">
        <v>1200</v>
      </c>
    </row>
    <row r="202">
      <c r="A202" s="5" t="inlineStr">
        <is>
          <t>Apoyo democracia</t>
        </is>
      </c>
      <c r="B202" s="5" t="inlineStr">
        <is>
          <t>Bolivia</t>
        </is>
      </c>
      <c r="C202" s="5" t="n">
        <v>2020</v>
      </c>
      <c r="D202" s="5" t="inlineStr">
        <is>
          <t>Democracia</t>
        </is>
      </c>
      <c r="E202" s="6" t="n">
        <v>0.5379999999999999</v>
      </c>
      <c r="F202" s="7" t="n">
        <v>1200</v>
      </c>
    </row>
    <row r="203">
      <c r="A203" s="5" t="inlineStr">
        <is>
          <t>Apoyo democracia</t>
        </is>
      </c>
      <c r="B203" s="5" t="inlineStr">
        <is>
          <t>Bolivia</t>
        </is>
      </c>
      <c r="C203" s="5" t="n">
        <v>2020</v>
      </c>
      <c r="D203" s="5" t="inlineStr">
        <is>
          <t>Gobierno Autoritario</t>
        </is>
      </c>
      <c r="E203" s="6" t="n">
        <v>0.102</v>
      </c>
      <c r="F203" s="7" t="n">
        <v>1200</v>
      </c>
    </row>
    <row r="204">
      <c r="A204" s="5" t="inlineStr">
        <is>
          <t>Apoyo democracia</t>
        </is>
      </c>
      <c r="B204" s="5" t="inlineStr">
        <is>
          <t>Bolivia</t>
        </is>
      </c>
      <c r="C204" s="5" t="n">
        <v>2020</v>
      </c>
      <c r="D204" s="5" t="inlineStr">
        <is>
          <t>Da lo mismo</t>
        </is>
      </c>
      <c r="E204" s="6" t="n">
        <v>0.268</v>
      </c>
      <c r="F204" s="7" t="n">
        <v>1200</v>
      </c>
    </row>
    <row r="205">
      <c r="A205" s="5" t="inlineStr">
        <is>
          <t>Apoyo democracia</t>
        </is>
      </c>
      <c r="B205" s="5" t="inlineStr">
        <is>
          <t>Bolivia</t>
        </is>
      </c>
      <c r="C205" s="5" t="n">
        <v>2020</v>
      </c>
      <c r="D205" s="5" t="inlineStr">
        <is>
          <t>No sabe</t>
        </is>
      </c>
      <c r="E205" s="6" t="n">
        <v>0.08</v>
      </c>
      <c r="F205" s="7" t="n">
        <v>1200</v>
      </c>
    </row>
    <row r="206">
      <c r="A206" s="5" t="inlineStr">
        <is>
          <t>Apoyo democracia</t>
        </is>
      </c>
      <c r="B206" s="5" t="inlineStr">
        <is>
          <t>Bolivia</t>
        </is>
      </c>
      <c r="C206" s="5" t="n">
        <v>2020</v>
      </c>
      <c r="D206" s="5" t="inlineStr">
        <is>
          <t>No contesta</t>
        </is>
      </c>
      <c r="E206" s="6" t="n">
        <v>0.013</v>
      </c>
      <c r="F206" s="7" t="n">
        <v>1200</v>
      </c>
    </row>
    <row r="207">
      <c r="A207" s="5" t="inlineStr">
        <is>
          <t>Apoyo democracia</t>
        </is>
      </c>
      <c r="B207" s="5" t="inlineStr">
        <is>
          <t>Bolivia</t>
        </is>
      </c>
      <c r="C207" s="5" t="n">
        <v>2024</v>
      </c>
      <c r="D207" s="5" t="inlineStr">
        <is>
          <t>Democracia</t>
        </is>
      </c>
      <c r="E207" s="6" t="n">
        <v>0.468</v>
      </c>
      <c r="F207" s="7" t="n">
        <v>1200</v>
      </c>
    </row>
    <row r="208">
      <c r="A208" s="5" t="inlineStr">
        <is>
          <t>Apoyo democracia</t>
        </is>
      </c>
      <c r="B208" s="5" t="inlineStr">
        <is>
          <t>Bolivia</t>
        </is>
      </c>
      <c r="C208" s="5" t="n">
        <v>2024</v>
      </c>
      <c r="D208" s="5" t="inlineStr">
        <is>
          <t>Gobierno Autoritario</t>
        </is>
      </c>
      <c r="E208" s="6" t="n">
        <v>0.155</v>
      </c>
      <c r="F208" s="7" t="n">
        <v>1200</v>
      </c>
    </row>
    <row r="209">
      <c r="A209" s="5" t="inlineStr">
        <is>
          <t>Apoyo democracia</t>
        </is>
      </c>
      <c r="B209" s="5" t="inlineStr">
        <is>
          <t>Bolivia</t>
        </is>
      </c>
      <c r="C209" s="5" t="n">
        <v>2024</v>
      </c>
      <c r="D209" s="5" t="inlineStr">
        <is>
          <t>Da lo mismo</t>
        </is>
      </c>
      <c r="E209" s="6" t="n">
        <v>0.269</v>
      </c>
      <c r="F209" s="7" t="n">
        <v>1200</v>
      </c>
    </row>
    <row r="210">
      <c r="A210" s="5" t="inlineStr">
        <is>
          <t>Apoyo democracia</t>
        </is>
      </c>
      <c r="B210" s="5" t="inlineStr">
        <is>
          <t>Bolivia</t>
        </is>
      </c>
      <c r="C210" s="5" t="n">
        <v>2024</v>
      </c>
      <c r="D210" s="5" t="inlineStr">
        <is>
          <t>No sabe</t>
        </is>
      </c>
      <c r="E210" s="6" t="n">
        <v>0.095</v>
      </c>
      <c r="F210" s="7" t="n">
        <v>1200</v>
      </c>
    </row>
    <row r="211">
      <c r="A211" s="5" t="inlineStr">
        <is>
          <t>Apoyo democracia</t>
        </is>
      </c>
      <c r="B211" s="5" t="inlineStr">
        <is>
          <t>Bolivia</t>
        </is>
      </c>
      <c r="C211" s="5" t="n">
        <v>2024</v>
      </c>
      <c r="D211" s="5" t="inlineStr">
        <is>
          <t>No contesta</t>
        </is>
      </c>
      <c r="E211" s="6" t="n">
        <v>0.013</v>
      </c>
      <c r="F211" s="7" t="n">
        <v>1200</v>
      </c>
    </row>
    <row r="212">
      <c r="A212" s="5" t="inlineStr">
        <is>
          <t>Apoyo democracia</t>
        </is>
      </c>
      <c r="B212" s="5" t="inlineStr">
        <is>
          <t>Brasil</t>
        </is>
      </c>
      <c r="C212" s="5" t="n">
        <v>1995</v>
      </c>
      <c r="D212" s="5" t="inlineStr">
        <is>
          <t>Democracia</t>
        </is>
      </c>
      <c r="E212" s="6" t="n">
        <v>0.41</v>
      </c>
      <c r="F212" s="7" t="n">
        <v>1200</v>
      </c>
    </row>
    <row r="213">
      <c r="A213" s="5" t="inlineStr">
        <is>
          <t>Apoyo democracia</t>
        </is>
      </c>
      <c r="B213" s="5" t="inlineStr">
        <is>
          <t>Brasil</t>
        </is>
      </c>
      <c r="C213" s="5" t="n">
        <v>1995</v>
      </c>
      <c r="D213" s="5" t="inlineStr">
        <is>
          <t>Gobierno Autoritario</t>
        </is>
      </c>
      <c r="E213" s="6" t="n">
        <v>0.211</v>
      </c>
      <c r="F213" s="7" t="n">
        <v>1200</v>
      </c>
    </row>
    <row r="214">
      <c r="A214" s="5" t="inlineStr">
        <is>
          <t>Apoyo democracia</t>
        </is>
      </c>
      <c r="B214" s="5" t="inlineStr">
        <is>
          <t>Brasil</t>
        </is>
      </c>
      <c r="C214" s="5" t="n">
        <v>1995</v>
      </c>
      <c r="D214" s="5" t="inlineStr">
        <is>
          <t>Da lo mismo</t>
        </is>
      </c>
      <c r="E214" s="6" t="n">
        <v>0.233</v>
      </c>
      <c r="F214" s="7" t="n">
        <v>1200</v>
      </c>
    </row>
    <row r="215">
      <c r="A215" s="5" t="inlineStr">
        <is>
          <t>Apoyo democracia</t>
        </is>
      </c>
      <c r="B215" s="5" t="inlineStr">
        <is>
          <t>Brasil</t>
        </is>
      </c>
      <c r="C215" s="5" t="n">
        <v>1995</v>
      </c>
      <c r="D215" s="5" t="inlineStr">
        <is>
          <t>No sabe</t>
        </is>
      </c>
      <c r="E215" s="6" t="n">
        <v>0.138</v>
      </c>
      <c r="F215" s="7" t="n">
        <v>1200</v>
      </c>
    </row>
    <row r="216">
      <c r="A216" s="5" t="inlineStr">
        <is>
          <t>Apoyo democracia</t>
        </is>
      </c>
      <c r="B216" s="5" t="inlineStr">
        <is>
          <t>Brasil</t>
        </is>
      </c>
      <c r="C216" s="5" t="n">
        <v>1995</v>
      </c>
      <c r="D216" s="5" t="inlineStr">
        <is>
          <t>No contesta</t>
        </is>
      </c>
      <c r="E216" s="6" t="n">
        <v>0.008</v>
      </c>
      <c r="F216" s="7" t="n">
        <v>1200</v>
      </c>
    </row>
    <row r="217">
      <c r="A217" s="5" t="inlineStr">
        <is>
          <t>Apoyo democracia</t>
        </is>
      </c>
      <c r="B217" s="5" t="inlineStr">
        <is>
          <t>Brasil</t>
        </is>
      </c>
      <c r="C217" s="5" t="n">
        <v>1996</v>
      </c>
      <c r="D217" s="5" t="inlineStr">
        <is>
          <t>Democracia</t>
        </is>
      </c>
      <c r="E217" s="6" t="n">
        <v>0.499</v>
      </c>
      <c r="F217" s="7" t="n">
        <v>1080</v>
      </c>
    </row>
    <row r="218">
      <c r="A218" s="5" t="inlineStr">
        <is>
          <t>Apoyo democracia</t>
        </is>
      </c>
      <c r="B218" s="5" t="inlineStr">
        <is>
          <t>Brasil</t>
        </is>
      </c>
      <c r="C218" s="5" t="n">
        <v>1996</v>
      </c>
      <c r="D218" s="5" t="inlineStr">
        <is>
          <t>Gobierno Autoritario</t>
        </is>
      </c>
      <c r="E218" s="6" t="n">
        <v>0.241</v>
      </c>
      <c r="F218" s="7" t="n">
        <v>1080</v>
      </c>
    </row>
    <row r="219">
      <c r="A219" s="5" t="inlineStr">
        <is>
          <t>Apoyo democracia</t>
        </is>
      </c>
      <c r="B219" s="5" t="inlineStr">
        <is>
          <t>Brasil</t>
        </is>
      </c>
      <c r="C219" s="5" t="n">
        <v>1996</v>
      </c>
      <c r="D219" s="5" t="inlineStr">
        <is>
          <t>Da lo mismo</t>
        </is>
      </c>
      <c r="E219" s="6" t="n">
        <v>0.215</v>
      </c>
      <c r="F219" s="7" t="n">
        <v>1080</v>
      </c>
    </row>
    <row r="220">
      <c r="A220" s="5" t="inlineStr">
        <is>
          <t>Apoyo democracia</t>
        </is>
      </c>
      <c r="B220" s="5" t="inlineStr">
        <is>
          <t>Brasil</t>
        </is>
      </c>
      <c r="C220" s="5" t="n">
        <v>1996</v>
      </c>
      <c r="D220" s="5" t="inlineStr">
        <is>
          <t>No sabe</t>
        </is>
      </c>
      <c r="E220" s="6" t="n">
        <v>0.04</v>
      </c>
      <c r="F220" s="7" t="n">
        <v>1080</v>
      </c>
    </row>
    <row r="221">
      <c r="A221" s="5" t="inlineStr">
        <is>
          <t>Apoyo democracia</t>
        </is>
      </c>
      <c r="B221" s="5" t="inlineStr">
        <is>
          <t>Brasil</t>
        </is>
      </c>
      <c r="C221" s="5" t="n">
        <v>1996</v>
      </c>
      <c r="D221" s="5" t="inlineStr">
        <is>
          <t>No contesta</t>
        </is>
      </c>
      <c r="E221" s="6" t="n">
        <v>0.006</v>
      </c>
      <c r="F221" s="7" t="n">
        <v>1080</v>
      </c>
    </row>
    <row r="222">
      <c r="A222" s="5" t="inlineStr">
        <is>
          <t>Apoyo democracia</t>
        </is>
      </c>
      <c r="B222" s="5" t="inlineStr">
        <is>
          <t>Brasil</t>
        </is>
      </c>
      <c r="C222" s="5" t="n">
        <v>1997</v>
      </c>
      <c r="D222" s="5" t="inlineStr">
        <is>
          <t>Democracia</t>
        </is>
      </c>
      <c r="E222" s="6" t="n">
        <v>0.5</v>
      </c>
      <c r="F222" s="7" t="n">
        <v>1001</v>
      </c>
    </row>
    <row r="223">
      <c r="A223" s="5" t="inlineStr">
        <is>
          <t>Apoyo democracia</t>
        </is>
      </c>
      <c r="B223" s="5" t="inlineStr">
        <is>
          <t>Brasil</t>
        </is>
      </c>
      <c r="C223" s="5" t="n">
        <v>1997</v>
      </c>
      <c r="D223" s="5" t="inlineStr">
        <is>
          <t>Gobierno Autoritario</t>
        </is>
      </c>
      <c r="E223" s="6" t="n">
        <v>0.192</v>
      </c>
      <c r="F223" s="7" t="n">
        <v>1001</v>
      </c>
    </row>
    <row r="224">
      <c r="A224" s="5" t="inlineStr">
        <is>
          <t>Apoyo democracia</t>
        </is>
      </c>
      <c r="B224" s="5" t="inlineStr">
        <is>
          <t>Brasil</t>
        </is>
      </c>
      <c r="C224" s="5" t="n">
        <v>1997</v>
      </c>
      <c r="D224" s="5" t="inlineStr">
        <is>
          <t>Da lo mismo</t>
        </is>
      </c>
      <c r="E224" s="6" t="n">
        <v>0.202</v>
      </c>
      <c r="F224" s="7" t="n">
        <v>1001</v>
      </c>
    </row>
    <row r="225">
      <c r="A225" s="5" t="inlineStr">
        <is>
          <t>Apoyo democracia</t>
        </is>
      </c>
      <c r="B225" s="5" t="inlineStr">
        <is>
          <t>Brasil</t>
        </is>
      </c>
      <c r="C225" s="5" t="n">
        <v>1997</v>
      </c>
      <c r="D225" s="5" t="inlineStr">
        <is>
          <t>No sabe</t>
        </is>
      </c>
      <c r="E225" s="6" t="n">
        <v>0.095</v>
      </c>
      <c r="F225" s="7" t="n">
        <v>1001</v>
      </c>
    </row>
    <row r="226">
      <c r="A226" s="5" t="inlineStr">
        <is>
          <t>Apoyo democracia</t>
        </is>
      </c>
      <c r="B226" s="5" t="inlineStr">
        <is>
          <t>Brasil</t>
        </is>
      </c>
      <c r="C226" s="5" t="n">
        <v>1997</v>
      </c>
      <c r="D226" s="5" t="inlineStr">
        <is>
          <t>No contesta</t>
        </is>
      </c>
      <c r="E226" s="6" t="n">
        <v>0.012</v>
      </c>
      <c r="F226" s="7" t="n">
        <v>1001</v>
      </c>
    </row>
    <row r="227">
      <c r="A227" s="5" t="inlineStr">
        <is>
          <t>Apoyo democracia</t>
        </is>
      </c>
      <c r="B227" s="5" t="inlineStr">
        <is>
          <t>Brasil</t>
        </is>
      </c>
      <c r="C227" s="5" t="n">
        <v>1998</v>
      </c>
      <c r="D227" s="5" t="inlineStr">
        <is>
          <t>Democracia</t>
        </is>
      </c>
      <c r="E227" s="6" t="n">
        <v>0.476</v>
      </c>
      <c r="F227" s="7" t="n">
        <v>1000</v>
      </c>
    </row>
    <row r="228">
      <c r="A228" s="5" t="inlineStr">
        <is>
          <t>Apoyo democracia</t>
        </is>
      </c>
      <c r="B228" s="5" t="inlineStr">
        <is>
          <t>Brasil</t>
        </is>
      </c>
      <c r="C228" s="5" t="n">
        <v>1998</v>
      </c>
      <c r="D228" s="5" t="inlineStr">
        <is>
          <t>Gobierno Autoritario</t>
        </is>
      </c>
      <c r="E228" s="6" t="n">
        <v>0.179</v>
      </c>
      <c r="F228" s="7" t="n">
        <v>1000</v>
      </c>
    </row>
    <row r="229">
      <c r="A229" s="5" t="inlineStr">
        <is>
          <t>Apoyo democracia</t>
        </is>
      </c>
      <c r="B229" s="5" t="inlineStr">
        <is>
          <t>Brasil</t>
        </is>
      </c>
      <c r="C229" s="5" t="n">
        <v>1998</v>
      </c>
      <c r="D229" s="5" t="inlineStr">
        <is>
          <t>Da lo mismo</t>
        </is>
      </c>
      <c r="E229" s="6" t="n">
        <v>0.282</v>
      </c>
      <c r="F229" s="7" t="n">
        <v>1000</v>
      </c>
    </row>
    <row r="230">
      <c r="A230" s="5" t="inlineStr">
        <is>
          <t>Apoyo democracia</t>
        </is>
      </c>
      <c r="B230" s="5" t="inlineStr">
        <is>
          <t>Brasil</t>
        </is>
      </c>
      <c r="C230" s="5" t="n">
        <v>1998</v>
      </c>
      <c r="D230" s="5" t="inlineStr">
        <is>
          <t>No sabe</t>
        </is>
      </c>
      <c r="E230" s="6" t="n">
        <v>0.052</v>
      </c>
      <c r="F230" s="7" t="n">
        <v>1000</v>
      </c>
    </row>
    <row r="231">
      <c r="A231" s="5" t="inlineStr">
        <is>
          <t>Apoyo democracia</t>
        </is>
      </c>
      <c r="B231" s="5" t="inlineStr">
        <is>
          <t>Brasil</t>
        </is>
      </c>
      <c r="C231" s="5" t="n">
        <v>1998</v>
      </c>
      <c r="D231" s="5" t="inlineStr">
        <is>
          <t>No contesta</t>
        </is>
      </c>
      <c r="E231" s="6" t="n">
        <v>0.01</v>
      </c>
      <c r="F231" s="7" t="n">
        <v>1000</v>
      </c>
    </row>
    <row r="232">
      <c r="A232" s="5" t="inlineStr">
        <is>
          <t>Apoyo democracia</t>
        </is>
      </c>
      <c r="B232" s="5" t="inlineStr">
        <is>
          <t>Brasil</t>
        </is>
      </c>
      <c r="C232" s="5" t="n">
        <v>2000</v>
      </c>
      <c r="D232" s="5" t="inlineStr">
        <is>
          <t>Democracia</t>
        </is>
      </c>
      <c r="E232" s="6" t="n">
        <v>0.382</v>
      </c>
      <c r="F232" s="7" t="n">
        <v>1000</v>
      </c>
    </row>
    <row r="233">
      <c r="A233" s="5" t="inlineStr">
        <is>
          <t>Apoyo democracia</t>
        </is>
      </c>
      <c r="B233" s="5" t="inlineStr">
        <is>
          <t>Brasil</t>
        </is>
      </c>
      <c r="C233" s="5" t="n">
        <v>2000</v>
      </c>
      <c r="D233" s="5" t="inlineStr">
        <is>
          <t>Gobierno Autoritario</t>
        </is>
      </c>
      <c r="E233" s="6" t="n">
        <v>0.252</v>
      </c>
      <c r="F233" s="7" t="n">
        <v>1000</v>
      </c>
    </row>
    <row r="234">
      <c r="A234" s="5" t="inlineStr">
        <is>
          <t>Apoyo democracia</t>
        </is>
      </c>
      <c r="B234" s="5" t="inlineStr">
        <is>
          <t>Brasil</t>
        </is>
      </c>
      <c r="C234" s="5" t="n">
        <v>2000</v>
      </c>
      <c r="D234" s="5" t="inlineStr">
        <is>
          <t>Da lo mismo</t>
        </is>
      </c>
      <c r="E234" s="6" t="n">
        <v>0.283</v>
      </c>
      <c r="F234" s="7" t="n">
        <v>1000</v>
      </c>
    </row>
    <row r="235">
      <c r="A235" s="5" t="inlineStr">
        <is>
          <t>Apoyo democracia</t>
        </is>
      </c>
      <c r="B235" s="5" t="inlineStr">
        <is>
          <t>Brasil</t>
        </is>
      </c>
      <c r="C235" s="5" t="n">
        <v>2000</v>
      </c>
      <c r="D235" s="5" t="inlineStr">
        <is>
          <t>No sabe</t>
        </is>
      </c>
      <c r="E235" s="6" t="n">
        <v>0.064</v>
      </c>
      <c r="F235" s="7" t="n">
        <v>1000</v>
      </c>
    </row>
    <row r="236">
      <c r="A236" s="5" t="inlineStr">
        <is>
          <t>Apoyo democracia</t>
        </is>
      </c>
      <c r="B236" s="5" t="inlineStr">
        <is>
          <t>Brasil</t>
        </is>
      </c>
      <c r="C236" s="5" t="n">
        <v>2000</v>
      </c>
      <c r="D236" s="5" t="inlineStr">
        <is>
          <t>No contesta</t>
        </is>
      </c>
      <c r="E236" s="6" t="n">
        <v>0.018</v>
      </c>
      <c r="F236" s="7" t="n">
        <v>1000</v>
      </c>
    </row>
    <row r="237">
      <c r="A237" s="5" t="inlineStr">
        <is>
          <t>Apoyo democracia</t>
        </is>
      </c>
      <c r="B237" s="5" t="inlineStr">
        <is>
          <t>Brasil</t>
        </is>
      </c>
      <c r="C237" s="5" t="n">
        <v>2001</v>
      </c>
      <c r="D237" s="5" t="inlineStr">
        <is>
          <t>Democracia</t>
        </is>
      </c>
      <c r="E237" s="6" t="n">
        <v>0.302</v>
      </c>
      <c r="F237" s="7" t="n">
        <v>1000</v>
      </c>
    </row>
    <row r="238">
      <c r="A238" s="5" t="inlineStr">
        <is>
          <t>Apoyo democracia</t>
        </is>
      </c>
      <c r="B238" s="5" t="inlineStr">
        <is>
          <t>Brasil</t>
        </is>
      </c>
      <c r="C238" s="5" t="n">
        <v>2001</v>
      </c>
      <c r="D238" s="5" t="inlineStr">
        <is>
          <t>Gobierno Autoritario</t>
        </is>
      </c>
      <c r="E238" s="6" t="n">
        <v>0.18</v>
      </c>
      <c r="F238" s="7" t="n">
        <v>1000</v>
      </c>
    </row>
    <row r="239">
      <c r="A239" s="5" t="inlineStr">
        <is>
          <t>Apoyo democracia</t>
        </is>
      </c>
      <c r="B239" s="5" t="inlineStr">
        <is>
          <t>Brasil</t>
        </is>
      </c>
      <c r="C239" s="5" t="n">
        <v>2001</v>
      </c>
      <c r="D239" s="5" t="inlineStr">
        <is>
          <t>Da lo mismo</t>
        </is>
      </c>
      <c r="E239" s="6" t="n">
        <v>0.308</v>
      </c>
      <c r="F239" s="7" t="n">
        <v>1000</v>
      </c>
    </row>
    <row r="240">
      <c r="A240" s="5" t="inlineStr">
        <is>
          <t>Apoyo democracia</t>
        </is>
      </c>
      <c r="B240" s="5" t="inlineStr">
        <is>
          <t>Brasil</t>
        </is>
      </c>
      <c r="C240" s="5" t="n">
        <v>2001</v>
      </c>
      <c r="D240" s="5" t="inlineStr">
        <is>
          <t>No sabe</t>
        </is>
      </c>
      <c r="E240" s="6" t="n">
        <v>0.176</v>
      </c>
      <c r="F240" s="7" t="n">
        <v>1000</v>
      </c>
    </row>
    <row r="241">
      <c r="A241" s="5" t="inlineStr">
        <is>
          <t>Apoyo democracia</t>
        </is>
      </c>
      <c r="B241" s="5" t="inlineStr">
        <is>
          <t>Brasil</t>
        </is>
      </c>
      <c r="C241" s="5" t="n">
        <v>2001</v>
      </c>
      <c r="D241" s="5" t="inlineStr">
        <is>
          <t>No contesta</t>
        </is>
      </c>
      <c r="E241" s="6" t="n">
        <v>0.034</v>
      </c>
      <c r="F241" s="7" t="n">
        <v>1000</v>
      </c>
    </row>
    <row r="242">
      <c r="A242" s="5" t="inlineStr">
        <is>
          <t>Apoyo democracia</t>
        </is>
      </c>
      <c r="B242" s="5" t="inlineStr">
        <is>
          <t>Brasil</t>
        </is>
      </c>
      <c r="C242" s="5" t="n">
        <v>2002</v>
      </c>
      <c r="D242" s="5" t="inlineStr">
        <is>
          <t>Democracia</t>
        </is>
      </c>
      <c r="E242" s="6" t="n">
        <v>0.368</v>
      </c>
      <c r="F242" s="7" t="n">
        <v>1000</v>
      </c>
    </row>
    <row r="243">
      <c r="A243" s="5" t="inlineStr">
        <is>
          <t>Apoyo democracia</t>
        </is>
      </c>
      <c r="B243" s="5" t="inlineStr">
        <is>
          <t>Brasil</t>
        </is>
      </c>
      <c r="C243" s="5" t="n">
        <v>2002</v>
      </c>
      <c r="D243" s="5" t="inlineStr">
        <is>
          <t>Gobierno Autoritario</t>
        </is>
      </c>
      <c r="E243" s="6" t="n">
        <v>0.146</v>
      </c>
      <c r="F243" s="7" t="n">
        <v>1000</v>
      </c>
    </row>
    <row r="244">
      <c r="A244" s="5" t="inlineStr">
        <is>
          <t>Apoyo democracia</t>
        </is>
      </c>
      <c r="B244" s="5" t="inlineStr">
        <is>
          <t>Brasil</t>
        </is>
      </c>
      <c r="C244" s="5" t="n">
        <v>2002</v>
      </c>
      <c r="D244" s="5" t="inlineStr">
        <is>
          <t>Da lo mismo</t>
        </is>
      </c>
      <c r="E244" s="6" t="n">
        <v>0.262</v>
      </c>
      <c r="F244" s="7" t="n">
        <v>1000</v>
      </c>
    </row>
    <row r="245">
      <c r="A245" s="5" t="inlineStr">
        <is>
          <t>Apoyo democracia</t>
        </is>
      </c>
      <c r="B245" s="5" t="inlineStr">
        <is>
          <t>Brasil</t>
        </is>
      </c>
      <c r="C245" s="5" t="n">
        <v>2002</v>
      </c>
      <c r="D245" s="5" t="inlineStr">
        <is>
          <t>No sabe</t>
        </is>
      </c>
      <c r="E245" s="6" t="n">
        <v>0.189</v>
      </c>
      <c r="F245" s="7" t="n">
        <v>1000</v>
      </c>
    </row>
    <row r="246">
      <c r="A246" s="5" t="inlineStr">
        <is>
          <t>Apoyo democracia</t>
        </is>
      </c>
      <c r="B246" s="5" t="inlineStr">
        <is>
          <t>Brasil</t>
        </is>
      </c>
      <c r="C246" s="5" t="n">
        <v>2002</v>
      </c>
      <c r="D246" s="5" t="inlineStr">
        <is>
          <t>No contesta</t>
        </is>
      </c>
      <c r="E246" s="6" t="n">
        <v>0.035</v>
      </c>
      <c r="F246" s="7" t="n">
        <v>1000</v>
      </c>
    </row>
    <row r="247">
      <c r="A247" s="5" t="inlineStr">
        <is>
          <t>Apoyo democracia</t>
        </is>
      </c>
      <c r="B247" s="5" t="inlineStr">
        <is>
          <t>Brasil</t>
        </is>
      </c>
      <c r="C247" s="5" t="n">
        <v>2003</v>
      </c>
      <c r="D247" s="5" t="inlineStr">
        <is>
          <t>Democracia</t>
        </is>
      </c>
      <c r="E247" s="6" t="n">
        <v>0.347</v>
      </c>
      <c r="F247" s="7" t="n">
        <v>1200</v>
      </c>
    </row>
    <row r="248">
      <c r="A248" s="5" t="inlineStr">
        <is>
          <t>Apoyo democracia</t>
        </is>
      </c>
      <c r="B248" s="5" t="inlineStr">
        <is>
          <t>Brasil</t>
        </is>
      </c>
      <c r="C248" s="5" t="n">
        <v>2003</v>
      </c>
      <c r="D248" s="5" t="inlineStr">
        <is>
          <t>Gobierno Autoritario</t>
        </is>
      </c>
      <c r="E248" s="6" t="n">
        <v>0.188</v>
      </c>
      <c r="F248" s="7" t="n">
        <v>1200</v>
      </c>
    </row>
    <row r="249">
      <c r="A249" s="5" t="inlineStr">
        <is>
          <t>Apoyo democracia</t>
        </is>
      </c>
      <c r="B249" s="5" t="inlineStr">
        <is>
          <t>Brasil</t>
        </is>
      </c>
      <c r="C249" s="5" t="n">
        <v>2003</v>
      </c>
      <c r="D249" s="5" t="inlineStr">
        <is>
          <t>Da lo mismo</t>
        </is>
      </c>
      <c r="E249" s="6" t="n">
        <v>0.354</v>
      </c>
      <c r="F249" s="7" t="n">
        <v>1200</v>
      </c>
    </row>
    <row r="250">
      <c r="A250" s="5" t="inlineStr">
        <is>
          <t>Apoyo democracia</t>
        </is>
      </c>
      <c r="B250" s="5" t="inlineStr">
        <is>
          <t>Brasil</t>
        </is>
      </c>
      <c r="C250" s="5" t="n">
        <v>2003</v>
      </c>
      <c r="D250" s="5" t="inlineStr">
        <is>
          <t>No sabe</t>
        </is>
      </c>
      <c r="E250" s="6" t="n">
        <v>0.09699999999999999</v>
      </c>
      <c r="F250" s="7" t="n">
        <v>1200</v>
      </c>
    </row>
    <row r="251">
      <c r="A251" s="5" t="inlineStr">
        <is>
          <t>Apoyo democracia</t>
        </is>
      </c>
      <c r="B251" s="5" t="inlineStr">
        <is>
          <t>Brasil</t>
        </is>
      </c>
      <c r="C251" s="5" t="n">
        <v>2003</v>
      </c>
      <c r="D251" s="5" t="inlineStr">
        <is>
          <t>No contesta</t>
        </is>
      </c>
      <c r="E251" s="6" t="n">
        <v>0.014</v>
      </c>
      <c r="F251" s="7" t="n">
        <v>1200</v>
      </c>
    </row>
    <row r="252">
      <c r="A252" s="5" t="inlineStr">
        <is>
          <t>Apoyo democracia</t>
        </is>
      </c>
      <c r="B252" s="5" t="inlineStr">
        <is>
          <t>Brasil</t>
        </is>
      </c>
      <c r="C252" s="5" t="n">
        <v>2004</v>
      </c>
      <c r="D252" s="5" t="inlineStr">
        <is>
          <t>Democracia</t>
        </is>
      </c>
      <c r="E252" s="6" t="n">
        <v>0.411</v>
      </c>
      <c r="F252" s="7" t="n">
        <v>1204</v>
      </c>
    </row>
    <row r="253">
      <c r="A253" s="5" t="inlineStr">
        <is>
          <t>Apoyo democracia</t>
        </is>
      </c>
      <c r="B253" s="5" t="inlineStr">
        <is>
          <t>Brasil</t>
        </is>
      </c>
      <c r="C253" s="5" t="n">
        <v>2004</v>
      </c>
      <c r="D253" s="5" t="inlineStr">
        <is>
          <t>Gobierno Autoritario</t>
        </is>
      </c>
      <c r="E253" s="6" t="n">
        <v>0.176</v>
      </c>
      <c r="F253" s="7" t="n">
        <v>1204</v>
      </c>
    </row>
    <row r="254">
      <c r="A254" s="5" t="inlineStr">
        <is>
          <t>Apoyo democracia</t>
        </is>
      </c>
      <c r="B254" s="5" t="inlineStr">
        <is>
          <t>Brasil</t>
        </is>
      </c>
      <c r="C254" s="5" t="n">
        <v>2004</v>
      </c>
      <c r="D254" s="5" t="inlineStr">
        <is>
          <t>Da lo mismo</t>
        </is>
      </c>
      <c r="E254" s="6" t="n">
        <v>0.262</v>
      </c>
      <c r="F254" s="7" t="n">
        <v>1204</v>
      </c>
    </row>
    <row r="255">
      <c r="A255" s="5" t="inlineStr">
        <is>
          <t>Apoyo democracia</t>
        </is>
      </c>
      <c r="B255" s="5" t="inlineStr">
        <is>
          <t>Brasil</t>
        </is>
      </c>
      <c r="C255" s="5" t="n">
        <v>2004</v>
      </c>
      <c r="D255" s="5" t="inlineStr">
        <is>
          <t>No sabe</t>
        </is>
      </c>
      <c r="E255" s="6" t="n">
        <v>0.146</v>
      </c>
      <c r="F255" s="7" t="n">
        <v>1204</v>
      </c>
    </row>
    <row r="256">
      <c r="A256" s="5" t="inlineStr">
        <is>
          <t>Apoyo democracia</t>
        </is>
      </c>
      <c r="B256" s="5" t="inlineStr">
        <is>
          <t>Brasil</t>
        </is>
      </c>
      <c r="C256" s="5" t="n">
        <v>2004</v>
      </c>
      <c r="D256" s="5" t="inlineStr">
        <is>
          <t>No contesta</t>
        </is>
      </c>
      <c r="E256" s="6" t="n">
        <v>0.005</v>
      </c>
      <c r="F256" s="7" t="n">
        <v>1204</v>
      </c>
    </row>
    <row r="257">
      <c r="A257" s="5" t="inlineStr">
        <is>
          <t>Apoyo democracia</t>
        </is>
      </c>
      <c r="B257" s="5" t="inlineStr">
        <is>
          <t>Brasil</t>
        </is>
      </c>
      <c r="C257" s="5" t="n">
        <v>2005</v>
      </c>
      <c r="D257" s="5" t="inlineStr">
        <is>
          <t>Democracia</t>
        </is>
      </c>
      <c r="E257" s="6" t="n">
        <v>0.37</v>
      </c>
      <c r="F257" s="7" t="n">
        <v>1204</v>
      </c>
    </row>
    <row r="258">
      <c r="A258" s="5" t="inlineStr">
        <is>
          <t>Apoyo democracia</t>
        </is>
      </c>
      <c r="B258" s="5" t="inlineStr">
        <is>
          <t>Brasil</t>
        </is>
      </c>
      <c r="C258" s="5" t="n">
        <v>2005</v>
      </c>
      <c r="D258" s="5" t="inlineStr">
        <is>
          <t>Gobierno Autoritario</t>
        </is>
      </c>
      <c r="E258" s="6" t="n">
        <v>0.145</v>
      </c>
      <c r="F258" s="7" t="n">
        <v>1204</v>
      </c>
    </row>
    <row r="259">
      <c r="A259" s="5" t="inlineStr">
        <is>
          <t>Apoyo democracia</t>
        </is>
      </c>
      <c r="B259" s="5" t="inlineStr">
        <is>
          <t>Brasil</t>
        </is>
      </c>
      <c r="C259" s="5" t="n">
        <v>2005</v>
      </c>
      <c r="D259" s="5" t="inlineStr">
        <is>
          <t>Da lo mismo</t>
        </is>
      </c>
      <c r="E259" s="6" t="n">
        <v>0.278</v>
      </c>
      <c r="F259" s="7" t="n">
        <v>1204</v>
      </c>
    </row>
    <row r="260">
      <c r="A260" s="5" t="inlineStr">
        <is>
          <t>Apoyo democracia</t>
        </is>
      </c>
      <c r="B260" s="5" t="inlineStr">
        <is>
          <t>Brasil</t>
        </is>
      </c>
      <c r="C260" s="5" t="n">
        <v>2005</v>
      </c>
      <c r="D260" s="5" t="inlineStr">
        <is>
          <t>No sabe</t>
        </is>
      </c>
      <c r="E260" s="6" t="n">
        <v>0.193</v>
      </c>
      <c r="F260" s="7" t="n">
        <v>1204</v>
      </c>
    </row>
    <row r="261">
      <c r="A261" s="5" t="inlineStr">
        <is>
          <t>Apoyo democracia</t>
        </is>
      </c>
      <c r="B261" s="5" t="inlineStr">
        <is>
          <t>Brasil</t>
        </is>
      </c>
      <c r="C261" s="5" t="n">
        <v>2005</v>
      </c>
      <c r="D261" s="5" t="inlineStr">
        <is>
          <t>No contesta</t>
        </is>
      </c>
      <c r="E261" s="6" t="n">
        <v>0.013</v>
      </c>
      <c r="F261" s="7" t="n">
        <v>1204</v>
      </c>
    </row>
    <row r="262">
      <c r="A262" s="5" t="inlineStr">
        <is>
          <t>Apoyo democracia</t>
        </is>
      </c>
      <c r="B262" s="5" t="inlineStr">
        <is>
          <t>Brasil</t>
        </is>
      </c>
      <c r="C262" s="5" t="n">
        <v>2006</v>
      </c>
      <c r="D262" s="5" t="inlineStr">
        <is>
          <t>Democracia</t>
        </is>
      </c>
      <c r="E262" s="6" t="n">
        <v>0.461</v>
      </c>
      <c r="F262" s="7" t="n">
        <v>1204</v>
      </c>
    </row>
    <row r="263">
      <c r="A263" s="5" t="inlineStr">
        <is>
          <t>Apoyo democracia</t>
        </is>
      </c>
      <c r="B263" s="5" t="inlineStr">
        <is>
          <t>Brasil</t>
        </is>
      </c>
      <c r="C263" s="5" t="n">
        <v>2006</v>
      </c>
      <c r="D263" s="5" t="inlineStr">
        <is>
          <t>Gobierno Autoritario</t>
        </is>
      </c>
      <c r="E263" s="6" t="n">
        <v>0.181</v>
      </c>
      <c r="F263" s="7" t="n">
        <v>1204</v>
      </c>
    </row>
    <row r="264">
      <c r="A264" s="5" t="inlineStr">
        <is>
          <t>Apoyo democracia</t>
        </is>
      </c>
      <c r="B264" s="5" t="inlineStr">
        <is>
          <t>Brasil</t>
        </is>
      </c>
      <c r="C264" s="5" t="n">
        <v>2006</v>
      </c>
      <c r="D264" s="5" t="inlineStr">
        <is>
          <t>Da lo mismo</t>
        </is>
      </c>
      <c r="E264" s="6" t="n">
        <v>0.205</v>
      </c>
      <c r="F264" s="7" t="n">
        <v>1204</v>
      </c>
    </row>
    <row r="265">
      <c r="A265" s="5" t="inlineStr">
        <is>
          <t>Apoyo democracia</t>
        </is>
      </c>
      <c r="B265" s="5" t="inlineStr">
        <is>
          <t>Brasil</t>
        </is>
      </c>
      <c r="C265" s="5" t="n">
        <v>2006</v>
      </c>
      <c r="D265" s="5" t="inlineStr">
        <is>
          <t>No sabe</t>
        </is>
      </c>
      <c r="E265" s="6" t="n">
        <v>0.133</v>
      </c>
      <c r="F265" s="7" t="n">
        <v>1204</v>
      </c>
    </row>
    <row r="266">
      <c r="A266" s="5" t="inlineStr">
        <is>
          <t>Apoyo democracia</t>
        </is>
      </c>
      <c r="B266" s="5" t="inlineStr">
        <is>
          <t>Brasil</t>
        </is>
      </c>
      <c r="C266" s="5" t="n">
        <v>2006</v>
      </c>
      <c r="D266" s="5" t="inlineStr">
        <is>
          <t>No contesta</t>
        </is>
      </c>
      <c r="E266" s="6" t="n">
        <v>0.02</v>
      </c>
      <c r="F266" s="7" t="n">
        <v>1204</v>
      </c>
    </row>
    <row r="267">
      <c r="A267" s="5" t="inlineStr">
        <is>
          <t>Apoyo democracia</t>
        </is>
      </c>
      <c r="B267" s="5" t="inlineStr">
        <is>
          <t>Brasil</t>
        </is>
      </c>
      <c r="C267" s="5" t="n">
        <v>2007</v>
      </c>
      <c r="D267" s="5" t="inlineStr">
        <is>
          <t>Democracia</t>
        </is>
      </c>
      <c r="E267" s="6" t="n">
        <v>0.434</v>
      </c>
      <c r="F267" s="7" t="n">
        <v>1204</v>
      </c>
    </row>
    <row r="268">
      <c r="A268" s="5" t="inlineStr">
        <is>
          <t>Apoyo democracia</t>
        </is>
      </c>
      <c r="B268" s="5" t="inlineStr">
        <is>
          <t>Brasil</t>
        </is>
      </c>
      <c r="C268" s="5" t="n">
        <v>2007</v>
      </c>
      <c r="D268" s="5" t="inlineStr">
        <is>
          <t>Gobierno Autoritario</t>
        </is>
      </c>
      <c r="E268" s="6" t="n">
        <v>0.166</v>
      </c>
      <c r="F268" s="7" t="n">
        <v>1204</v>
      </c>
    </row>
    <row r="269">
      <c r="A269" s="5" t="inlineStr">
        <is>
          <t>Apoyo democracia</t>
        </is>
      </c>
      <c r="B269" s="5" t="inlineStr">
        <is>
          <t>Brasil</t>
        </is>
      </c>
      <c r="C269" s="5" t="n">
        <v>2007</v>
      </c>
      <c r="D269" s="5" t="inlineStr">
        <is>
          <t>Da lo mismo</t>
        </is>
      </c>
      <c r="E269" s="6" t="n">
        <v>0.259</v>
      </c>
      <c r="F269" s="7" t="n">
        <v>1204</v>
      </c>
    </row>
    <row r="270">
      <c r="A270" s="5" t="inlineStr">
        <is>
          <t>Apoyo democracia</t>
        </is>
      </c>
      <c r="B270" s="5" t="inlineStr">
        <is>
          <t>Brasil</t>
        </is>
      </c>
      <c r="C270" s="5" t="n">
        <v>2007</v>
      </c>
      <c r="D270" s="5" t="inlineStr">
        <is>
          <t>No sabe</t>
        </is>
      </c>
      <c r="E270" s="6" t="n">
        <v>0.126</v>
      </c>
      <c r="F270" s="7" t="n">
        <v>1204</v>
      </c>
    </row>
    <row r="271">
      <c r="A271" s="5" t="inlineStr">
        <is>
          <t>Apoyo democracia</t>
        </is>
      </c>
      <c r="B271" s="5" t="inlineStr">
        <is>
          <t>Brasil</t>
        </is>
      </c>
      <c r="C271" s="5" t="n">
        <v>2007</v>
      </c>
      <c r="D271" s="5" t="inlineStr">
        <is>
          <t>No contesta</t>
        </is>
      </c>
      <c r="E271" s="6" t="n">
        <v>0.015</v>
      </c>
      <c r="F271" s="7" t="n">
        <v>1204</v>
      </c>
    </row>
    <row r="272">
      <c r="A272" s="5" t="inlineStr">
        <is>
          <t>Apoyo democracia</t>
        </is>
      </c>
      <c r="B272" s="5" t="inlineStr">
        <is>
          <t>Brasil</t>
        </is>
      </c>
      <c r="C272" s="5" t="n">
        <v>2008</v>
      </c>
      <c r="D272" s="5" t="inlineStr">
        <is>
          <t>Democracia</t>
        </is>
      </c>
      <c r="E272" s="6" t="n">
        <v>0.469</v>
      </c>
      <c r="F272" s="7" t="n">
        <v>1204</v>
      </c>
    </row>
    <row r="273">
      <c r="A273" s="5" t="inlineStr">
        <is>
          <t>Apoyo democracia</t>
        </is>
      </c>
      <c r="B273" s="5" t="inlineStr">
        <is>
          <t>Brasil</t>
        </is>
      </c>
      <c r="C273" s="5" t="n">
        <v>2008</v>
      </c>
      <c r="D273" s="5" t="inlineStr">
        <is>
          <t>Gobierno Autoritario</t>
        </is>
      </c>
      <c r="E273" s="6" t="n">
        <v>0.192</v>
      </c>
      <c r="F273" s="7" t="n">
        <v>1204</v>
      </c>
    </row>
    <row r="274">
      <c r="A274" s="5" t="inlineStr">
        <is>
          <t>Apoyo democracia</t>
        </is>
      </c>
      <c r="B274" s="5" t="inlineStr">
        <is>
          <t>Brasil</t>
        </is>
      </c>
      <c r="C274" s="5" t="n">
        <v>2008</v>
      </c>
      <c r="D274" s="5" t="inlineStr">
        <is>
          <t>Da lo mismo</t>
        </is>
      </c>
      <c r="E274" s="6" t="n">
        <v>0.222</v>
      </c>
      <c r="F274" s="7" t="n">
        <v>1204</v>
      </c>
    </row>
    <row r="275">
      <c r="A275" s="5" t="inlineStr">
        <is>
          <t>Apoyo democracia</t>
        </is>
      </c>
      <c r="B275" s="5" t="inlineStr">
        <is>
          <t>Brasil</t>
        </is>
      </c>
      <c r="C275" s="5" t="n">
        <v>2008</v>
      </c>
      <c r="D275" s="5" t="inlineStr">
        <is>
          <t>No sabe</t>
        </is>
      </c>
      <c r="E275" s="6" t="n">
        <v>0.108</v>
      </c>
      <c r="F275" s="7" t="n">
        <v>1204</v>
      </c>
    </row>
    <row r="276">
      <c r="A276" s="5" t="inlineStr">
        <is>
          <t>Apoyo democracia</t>
        </is>
      </c>
      <c r="B276" s="5" t="inlineStr">
        <is>
          <t>Brasil</t>
        </is>
      </c>
      <c r="C276" s="5" t="n">
        <v>2008</v>
      </c>
      <c r="D276" s="5" t="inlineStr">
        <is>
          <t>No contesta</t>
        </is>
      </c>
      <c r="E276" s="6" t="n">
        <v>0.009000000000000001</v>
      </c>
      <c r="F276" s="7" t="n">
        <v>1204</v>
      </c>
    </row>
    <row r="277">
      <c r="A277" s="5" t="inlineStr">
        <is>
          <t>Apoyo democracia</t>
        </is>
      </c>
      <c r="B277" s="5" t="inlineStr">
        <is>
          <t>Brasil</t>
        </is>
      </c>
      <c r="C277" s="5" t="n">
        <v>2009</v>
      </c>
      <c r="D277" s="5" t="inlineStr">
        <is>
          <t>Democracia</t>
        </is>
      </c>
      <c r="E277" s="6" t="n">
        <v>0.551</v>
      </c>
      <c r="F277" s="7" t="n">
        <v>1204</v>
      </c>
    </row>
    <row r="278">
      <c r="A278" s="5" t="inlineStr">
        <is>
          <t>Apoyo democracia</t>
        </is>
      </c>
      <c r="B278" s="5" t="inlineStr">
        <is>
          <t>Brasil</t>
        </is>
      </c>
      <c r="C278" s="5" t="n">
        <v>2009</v>
      </c>
      <c r="D278" s="5" t="inlineStr">
        <is>
          <t>Gobierno Autoritario</t>
        </is>
      </c>
      <c r="E278" s="6" t="n">
        <v>0.179</v>
      </c>
      <c r="F278" s="7" t="n">
        <v>1204</v>
      </c>
    </row>
    <row r="279">
      <c r="A279" s="5" t="inlineStr">
        <is>
          <t>Apoyo democracia</t>
        </is>
      </c>
      <c r="B279" s="5" t="inlineStr">
        <is>
          <t>Brasil</t>
        </is>
      </c>
      <c r="C279" s="5" t="n">
        <v>2009</v>
      </c>
      <c r="D279" s="5" t="inlineStr">
        <is>
          <t>Da lo mismo</t>
        </is>
      </c>
      <c r="E279" s="6" t="n">
        <v>0.169</v>
      </c>
      <c r="F279" s="7" t="n">
        <v>1204</v>
      </c>
    </row>
    <row r="280">
      <c r="A280" s="5" t="inlineStr">
        <is>
          <t>Apoyo democracia</t>
        </is>
      </c>
      <c r="B280" s="5" t="inlineStr">
        <is>
          <t>Brasil</t>
        </is>
      </c>
      <c r="C280" s="5" t="n">
        <v>2009</v>
      </c>
      <c r="D280" s="5" t="inlineStr">
        <is>
          <t>No sabe</t>
        </is>
      </c>
      <c r="E280" s="6" t="n">
        <v>0.1</v>
      </c>
      <c r="F280" s="7" t="n">
        <v>1204</v>
      </c>
    </row>
    <row r="281">
      <c r="A281" s="5" t="inlineStr">
        <is>
          <t>Apoyo democracia</t>
        </is>
      </c>
      <c r="B281" s="5" t="inlineStr">
        <is>
          <t>Brasil</t>
        </is>
      </c>
      <c r="C281" s="5" t="n">
        <v>2009</v>
      </c>
      <c r="D281" s="5" t="inlineStr">
        <is>
          <t>No contesta</t>
        </is>
      </c>
      <c r="E281" s="6" t="n">
        <v>0.002</v>
      </c>
      <c r="F281" s="7" t="n">
        <v>1204</v>
      </c>
    </row>
    <row r="282">
      <c r="A282" s="5" t="inlineStr">
        <is>
          <t>Apoyo democracia</t>
        </is>
      </c>
      <c r="B282" s="5" t="inlineStr">
        <is>
          <t>Brasil</t>
        </is>
      </c>
      <c r="C282" s="5" t="n">
        <v>2010</v>
      </c>
      <c r="D282" s="5" t="inlineStr">
        <is>
          <t>Democracia</t>
        </is>
      </c>
      <c r="E282" s="6" t="n">
        <v>0.537</v>
      </c>
      <c r="F282" s="7" t="n">
        <v>1204</v>
      </c>
    </row>
    <row r="283">
      <c r="A283" s="5" t="inlineStr">
        <is>
          <t>Apoyo democracia</t>
        </is>
      </c>
      <c r="B283" s="5" t="inlineStr">
        <is>
          <t>Brasil</t>
        </is>
      </c>
      <c r="C283" s="5" t="n">
        <v>2010</v>
      </c>
      <c r="D283" s="5" t="inlineStr">
        <is>
          <t>Gobierno Autoritario</t>
        </is>
      </c>
      <c r="E283" s="6" t="n">
        <v>0.191</v>
      </c>
      <c r="F283" s="7" t="n">
        <v>1204</v>
      </c>
    </row>
    <row r="284">
      <c r="A284" s="5" t="inlineStr">
        <is>
          <t>Apoyo democracia</t>
        </is>
      </c>
      <c r="B284" s="5" t="inlineStr">
        <is>
          <t>Brasil</t>
        </is>
      </c>
      <c r="C284" s="5" t="n">
        <v>2010</v>
      </c>
      <c r="D284" s="5" t="inlineStr">
        <is>
          <t>Da lo mismo</t>
        </is>
      </c>
      <c r="E284" s="6" t="n">
        <v>0.154</v>
      </c>
      <c r="F284" s="7" t="n">
        <v>1204</v>
      </c>
    </row>
    <row r="285">
      <c r="A285" s="5" t="inlineStr">
        <is>
          <t>Apoyo democracia</t>
        </is>
      </c>
      <c r="B285" s="5" t="inlineStr">
        <is>
          <t>Brasil</t>
        </is>
      </c>
      <c r="C285" s="5" t="n">
        <v>2010</v>
      </c>
      <c r="D285" s="5" t="inlineStr">
        <is>
          <t>No sabe</t>
        </is>
      </c>
      <c r="E285" s="6" t="n">
        <v>0.113</v>
      </c>
      <c r="F285" s="7" t="n">
        <v>1204</v>
      </c>
    </row>
    <row r="286">
      <c r="A286" s="5" t="inlineStr">
        <is>
          <t>Apoyo democracia</t>
        </is>
      </c>
      <c r="B286" s="5" t="inlineStr">
        <is>
          <t>Brasil</t>
        </is>
      </c>
      <c r="C286" s="5" t="n">
        <v>2010</v>
      </c>
      <c r="D286" s="5" t="inlineStr">
        <is>
          <t>No contesta</t>
        </is>
      </c>
      <c r="E286" s="6" t="n">
        <v>0.005</v>
      </c>
      <c r="F286" s="7" t="n">
        <v>1204</v>
      </c>
    </row>
    <row r="287">
      <c r="A287" s="5" t="inlineStr">
        <is>
          <t>Apoyo democracia</t>
        </is>
      </c>
      <c r="B287" s="5" t="inlineStr">
        <is>
          <t>Brasil</t>
        </is>
      </c>
      <c r="C287" s="5" t="n">
        <v>2011</v>
      </c>
      <c r="D287" s="5" t="inlineStr">
        <is>
          <t>Democracia</t>
        </is>
      </c>
      <c r="E287" s="6" t="n">
        <v>0.449</v>
      </c>
      <c r="F287" s="7" t="n">
        <v>1204</v>
      </c>
    </row>
    <row r="288">
      <c r="A288" s="5" t="inlineStr">
        <is>
          <t>Apoyo democracia</t>
        </is>
      </c>
      <c r="B288" s="5" t="inlineStr">
        <is>
          <t>Brasil</t>
        </is>
      </c>
      <c r="C288" s="5" t="n">
        <v>2011</v>
      </c>
      <c r="D288" s="5" t="inlineStr">
        <is>
          <t>Gobierno Autoritario</t>
        </is>
      </c>
      <c r="E288" s="6" t="n">
        <v>0.194</v>
      </c>
      <c r="F288" s="7" t="n">
        <v>1204</v>
      </c>
    </row>
    <row r="289">
      <c r="A289" s="5" t="inlineStr">
        <is>
          <t>Apoyo democracia</t>
        </is>
      </c>
      <c r="B289" s="5" t="inlineStr">
        <is>
          <t>Brasil</t>
        </is>
      </c>
      <c r="C289" s="5" t="n">
        <v>2011</v>
      </c>
      <c r="D289" s="5" t="inlineStr">
        <is>
          <t>Da lo mismo</t>
        </is>
      </c>
      <c r="E289" s="6" t="n">
        <v>0.224</v>
      </c>
      <c r="F289" s="7" t="n">
        <v>1204</v>
      </c>
    </row>
    <row r="290">
      <c r="A290" s="5" t="inlineStr">
        <is>
          <t>Apoyo democracia</t>
        </is>
      </c>
      <c r="B290" s="5" t="inlineStr">
        <is>
          <t>Brasil</t>
        </is>
      </c>
      <c r="C290" s="5" t="n">
        <v>2011</v>
      </c>
      <c r="D290" s="5" t="inlineStr">
        <is>
          <t>No sabe</t>
        </is>
      </c>
      <c r="E290" s="6" t="n">
        <v>0.124</v>
      </c>
      <c r="F290" s="7" t="n">
        <v>1204</v>
      </c>
    </row>
    <row r="291">
      <c r="A291" s="5" t="inlineStr">
        <is>
          <t>Apoyo democracia</t>
        </is>
      </c>
      <c r="B291" s="5" t="inlineStr">
        <is>
          <t>Brasil</t>
        </is>
      </c>
      <c r="C291" s="5" t="n">
        <v>2011</v>
      </c>
      <c r="D291" s="5" t="inlineStr">
        <is>
          <t>No contesta</t>
        </is>
      </c>
      <c r="E291" s="6" t="n">
        <v>0.009000000000000001</v>
      </c>
      <c r="F291" s="7" t="n">
        <v>1204</v>
      </c>
    </row>
    <row r="292">
      <c r="A292" s="5" t="inlineStr">
        <is>
          <t>Apoyo democracia</t>
        </is>
      </c>
      <c r="B292" s="5" t="inlineStr">
        <is>
          <t>Brasil</t>
        </is>
      </c>
      <c r="C292" s="5" t="n">
        <v>2015</v>
      </c>
      <c r="D292" s="5" t="inlineStr">
        <is>
          <t>Democracia</t>
        </is>
      </c>
      <c r="E292" s="6" t="n">
        <v>0.544</v>
      </c>
      <c r="F292" s="7" t="n">
        <v>1250</v>
      </c>
    </row>
    <row r="293">
      <c r="A293" s="5" t="inlineStr">
        <is>
          <t>Apoyo democracia</t>
        </is>
      </c>
      <c r="B293" s="5" t="inlineStr">
        <is>
          <t>Brasil</t>
        </is>
      </c>
      <c r="C293" s="5" t="n">
        <v>2015</v>
      </c>
      <c r="D293" s="5" t="inlineStr">
        <is>
          <t>Gobierno Autoritario</t>
        </is>
      </c>
      <c r="E293" s="6" t="n">
        <v>0.165</v>
      </c>
      <c r="F293" s="7" t="n">
        <v>1250</v>
      </c>
    </row>
    <row r="294">
      <c r="A294" s="5" t="inlineStr">
        <is>
          <t>Apoyo democracia</t>
        </is>
      </c>
      <c r="B294" s="5" t="inlineStr">
        <is>
          <t>Brasil</t>
        </is>
      </c>
      <c r="C294" s="5" t="n">
        <v>2015</v>
      </c>
      <c r="D294" s="5" t="inlineStr">
        <is>
          <t>Da lo mismo</t>
        </is>
      </c>
      <c r="E294" s="6" t="n">
        <v>0.165</v>
      </c>
      <c r="F294" s="7" t="n">
        <v>1250</v>
      </c>
    </row>
    <row r="295">
      <c r="A295" s="5" t="inlineStr">
        <is>
          <t>Apoyo democracia</t>
        </is>
      </c>
      <c r="B295" s="5" t="inlineStr">
        <is>
          <t>Brasil</t>
        </is>
      </c>
      <c r="C295" s="5" t="n">
        <v>2015</v>
      </c>
      <c r="D295" s="5" t="inlineStr">
        <is>
          <t>No sabe</t>
        </is>
      </c>
      <c r="E295" s="6" t="n">
        <v>0.113</v>
      </c>
      <c r="F295" s="7" t="n">
        <v>1250</v>
      </c>
    </row>
    <row r="296">
      <c r="A296" s="5" t="inlineStr">
        <is>
          <t>Apoyo democracia</t>
        </is>
      </c>
      <c r="B296" s="5" t="inlineStr">
        <is>
          <t>Brasil</t>
        </is>
      </c>
      <c r="C296" s="5" t="n">
        <v>2015</v>
      </c>
      <c r="D296" s="5" t="inlineStr">
        <is>
          <t>No contesta</t>
        </is>
      </c>
      <c r="E296" s="6" t="n">
        <v>0.014</v>
      </c>
      <c r="F296" s="7" t="n">
        <v>1250</v>
      </c>
    </row>
    <row r="297">
      <c r="A297" s="5" t="inlineStr">
        <is>
          <t>Apoyo democracia</t>
        </is>
      </c>
      <c r="B297" s="5" t="inlineStr">
        <is>
          <t>Brasil</t>
        </is>
      </c>
      <c r="C297" s="5" t="n">
        <v>2016</v>
      </c>
      <c r="D297" s="5" t="inlineStr">
        <is>
          <t>Democracia</t>
        </is>
      </c>
      <c r="E297" s="6" t="n">
        <v>0.324</v>
      </c>
      <c r="F297" s="7" t="n">
        <v>1204</v>
      </c>
    </row>
    <row r="298">
      <c r="A298" s="5" t="inlineStr">
        <is>
          <t>Apoyo democracia</t>
        </is>
      </c>
      <c r="B298" s="5" t="inlineStr">
        <is>
          <t>Brasil</t>
        </is>
      </c>
      <c r="C298" s="5" t="n">
        <v>2016</v>
      </c>
      <c r="D298" s="5" t="inlineStr">
        <is>
          <t>Gobierno Autoritario</t>
        </is>
      </c>
      <c r="E298" s="6" t="n">
        <v>0.13</v>
      </c>
      <c r="F298" s="7" t="n">
        <v>1204</v>
      </c>
    </row>
    <row r="299">
      <c r="A299" s="5" t="inlineStr">
        <is>
          <t>Apoyo democracia</t>
        </is>
      </c>
      <c r="B299" s="5" t="inlineStr">
        <is>
          <t>Brasil</t>
        </is>
      </c>
      <c r="C299" s="5" t="n">
        <v>2016</v>
      </c>
      <c r="D299" s="5" t="inlineStr">
        <is>
          <t>Da lo mismo</t>
        </is>
      </c>
      <c r="E299" s="6" t="n">
        <v>0.418</v>
      </c>
      <c r="F299" s="7" t="n">
        <v>1204</v>
      </c>
    </row>
    <row r="300">
      <c r="A300" s="5" t="inlineStr">
        <is>
          <t>Apoyo democracia</t>
        </is>
      </c>
      <c r="B300" s="5" t="inlineStr">
        <is>
          <t>Brasil</t>
        </is>
      </c>
      <c r="C300" s="5" t="n">
        <v>2016</v>
      </c>
      <c r="D300" s="5" t="inlineStr">
        <is>
          <t>No sabe</t>
        </is>
      </c>
      <c r="E300" s="6" t="n">
        <v>0.115</v>
      </c>
      <c r="F300" s="7" t="n">
        <v>1204</v>
      </c>
    </row>
    <row r="301">
      <c r="A301" s="5" t="inlineStr">
        <is>
          <t>Apoyo democracia</t>
        </is>
      </c>
      <c r="B301" s="5" t="inlineStr">
        <is>
          <t>Brasil</t>
        </is>
      </c>
      <c r="C301" s="5" t="n">
        <v>2016</v>
      </c>
      <c r="D301" s="5" t="inlineStr">
        <is>
          <t>No contesta</t>
        </is>
      </c>
      <c r="E301" s="6" t="n">
        <v>0.013</v>
      </c>
      <c r="F301" s="7" t="n">
        <v>1204</v>
      </c>
    </row>
    <row r="302">
      <c r="A302" s="5" t="inlineStr">
        <is>
          <t>Apoyo democracia</t>
        </is>
      </c>
      <c r="B302" s="5" t="inlineStr">
        <is>
          <t>Brasil</t>
        </is>
      </c>
      <c r="C302" s="5" t="n">
        <v>2017</v>
      </c>
      <c r="D302" s="5" t="inlineStr">
        <is>
          <t>Democracia</t>
        </is>
      </c>
      <c r="E302" s="6" t="n">
        <v>0.426</v>
      </c>
      <c r="F302" s="7" t="n">
        <v>1200</v>
      </c>
    </row>
    <row r="303">
      <c r="A303" s="5" t="inlineStr">
        <is>
          <t>Apoyo democracia</t>
        </is>
      </c>
      <c r="B303" s="5" t="inlineStr">
        <is>
          <t>Brasil</t>
        </is>
      </c>
      <c r="C303" s="5" t="n">
        <v>2017</v>
      </c>
      <c r="D303" s="5" t="inlineStr">
        <is>
          <t>Gobierno Autoritario</t>
        </is>
      </c>
      <c r="E303" s="6" t="n">
        <v>0.17</v>
      </c>
      <c r="F303" s="7" t="n">
        <v>1200</v>
      </c>
    </row>
    <row r="304">
      <c r="A304" s="5" t="inlineStr">
        <is>
          <t>Apoyo democracia</t>
        </is>
      </c>
      <c r="B304" s="5" t="inlineStr">
        <is>
          <t>Brasil</t>
        </is>
      </c>
      <c r="C304" s="5" t="n">
        <v>2017</v>
      </c>
      <c r="D304" s="5" t="inlineStr">
        <is>
          <t>Da lo mismo</t>
        </is>
      </c>
      <c r="E304" s="6" t="n">
        <v>0.263</v>
      </c>
      <c r="F304" s="7" t="n">
        <v>1200</v>
      </c>
    </row>
    <row r="305">
      <c r="A305" s="5" t="inlineStr">
        <is>
          <t>Apoyo democracia</t>
        </is>
      </c>
      <c r="B305" s="5" t="inlineStr">
        <is>
          <t>Brasil</t>
        </is>
      </c>
      <c r="C305" s="5" t="n">
        <v>2017</v>
      </c>
      <c r="D305" s="5" t="inlineStr">
        <is>
          <t>No sabe</t>
        </is>
      </c>
      <c r="E305" s="6" t="n">
        <v>0.138</v>
      </c>
      <c r="F305" s="7" t="n">
        <v>1200</v>
      </c>
    </row>
    <row r="306">
      <c r="A306" s="5" t="inlineStr">
        <is>
          <t>Apoyo democracia</t>
        </is>
      </c>
      <c r="B306" s="5" t="inlineStr">
        <is>
          <t>Brasil</t>
        </is>
      </c>
      <c r="C306" s="5" t="n">
        <v>2017</v>
      </c>
      <c r="D306" s="5" t="inlineStr">
        <is>
          <t>No contesta</t>
        </is>
      </c>
      <c r="E306" s="6" t="n">
        <v>0.003</v>
      </c>
      <c r="F306" s="7" t="n">
        <v>1200</v>
      </c>
    </row>
    <row r="307">
      <c r="A307" s="5" t="inlineStr">
        <is>
          <t>Apoyo democracia</t>
        </is>
      </c>
      <c r="B307" s="5" t="inlineStr">
        <is>
          <t>Brasil</t>
        </is>
      </c>
      <c r="C307" s="5" t="n">
        <v>2018</v>
      </c>
      <c r="D307" s="5" t="inlineStr">
        <is>
          <t>Democracia</t>
        </is>
      </c>
      <c r="E307" s="6" t="n">
        <v>0.339</v>
      </c>
      <c r="F307" s="7" t="n">
        <v>1204</v>
      </c>
    </row>
    <row r="308">
      <c r="A308" s="5" t="inlineStr">
        <is>
          <t>Apoyo democracia</t>
        </is>
      </c>
      <c r="B308" s="5" t="inlineStr">
        <is>
          <t>Brasil</t>
        </is>
      </c>
      <c r="C308" s="5" t="n">
        <v>2018</v>
      </c>
      <c r="D308" s="5" t="inlineStr">
        <is>
          <t>Gobierno Autoritario</t>
        </is>
      </c>
      <c r="E308" s="6" t="n">
        <v>0.138</v>
      </c>
      <c r="F308" s="7" t="n">
        <v>1204</v>
      </c>
    </row>
    <row r="309">
      <c r="A309" s="5" t="inlineStr">
        <is>
          <t>Apoyo democracia</t>
        </is>
      </c>
      <c r="B309" s="5" t="inlineStr">
        <is>
          <t>Brasil</t>
        </is>
      </c>
      <c r="C309" s="5" t="n">
        <v>2018</v>
      </c>
      <c r="D309" s="5" t="inlineStr">
        <is>
          <t>Da lo mismo</t>
        </is>
      </c>
      <c r="E309" s="6" t="n">
        <v>0.405</v>
      </c>
      <c r="F309" s="7" t="n">
        <v>1204</v>
      </c>
    </row>
    <row r="310">
      <c r="A310" s="5" t="inlineStr">
        <is>
          <t>Apoyo democracia</t>
        </is>
      </c>
      <c r="B310" s="5" t="inlineStr">
        <is>
          <t>Brasil</t>
        </is>
      </c>
      <c r="C310" s="5" t="n">
        <v>2018</v>
      </c>
      <c r="D310" s="5" t="inlineStr">
        <is>
          <t>No sabe</t>
        </is>
      </c>
      <c r="E310" s="6" t="n">
        <v>0.104</v>
      </c>
      <c r="F310" s="7" t="n">
        <v>1204</v>
      </c>
    </row>
    <row r="311">
      <c r="A311" s="5" t="inlineStr">
        <is>
          <t>Apoyo democracia</t>
        </is>
      </c>
      <c r="B311" s="5" t="inlineStr">
        <is>
          <t>Brasil</t>
        </is>
      </c>
      <c r="C311" s="5" t="n">
        <v>2018</v>
      </c>
      <c r="D311" s="5" t="inlineStr">
        <is>
          <t>No contesta</t>
        </is>
      </c>
      <c r="E311" s="6" t="n">
        <v>0.014</v>
      </c>
      <c r="F311" s="7" t="n">
        <v>1204</v>
      </c>
    </row>
    <row r="312">
      <c r="A312" s="5" t="inlineStr">
        <is>
          <t>Apoyo democracia</t>
        </is>
      </c>
      <c r="B312" s="5" t="inlineStr">
        <is>
          <t>Brasil</t>
        </is>
      </c>
      <c r="C312" s="5" t="n">
        <v>2020</v>
      </c>
      <c r="D312" s="5" t="inlineStr">
        <is>
          <t>Democracia</t>
        </is>
      </c>
      <c r="E312" s="6" t="n">
        <v>0.397</v>
      </c>
      <c r="F312" s="7" t="n">
        <v>1204</v>
      </c>
    </row>
    <row r="313">
      <c r="A313" s="5" t="inlineStr">
        <is>
          <t>Apoyo democracia</t>
        </is>
      </c>
      <c r="B313" s="5" t="inlineStr">
        <is>
          <t>Brasil</t>
        </is>
      </c>
      <c r="C313" s="5" t="n">
        <v>2020</v>
      </c>
      <c r="D313" s="5" t="inlineStr">
        <is>
          <t>Gobierno Autoritario</t>
        </is>
      </c>
      <c r="E313" s="6" t="n">
        <v>0.114</v>
      </c>
      <c r="F313" s="7" t="n">
        <v>1204</v>
      </c>
    </row>
    <row r="314">
      <c r="A314" s="5" t="inlineStr">
        <is>
          <t>Apoyo democracia</t>
        </is>
      </c>
      <c r="B314" s="5" t="inlineStr">
        <is>
          <t>Brasil</t>
        </is>
      </c>
      <c r="C314" s="5" t="n">
        <v>2020</v>
      </c>
      <c r="D314" s="5" t="inlineStr">
        <is>
          <t>Da lo mismo</t>
        </is>
      </c>
      <c r="E314" s="6" t="n">
        <v>0.36</v>
      </c>
      <c r="F314" s="7" t="n">
        <v>1204</v>
      </c>
    </row>
    <row r="315">
      <c r="A315" s="5" t="inlineStr">
        <is>
          <t>Apoyo democracia</t>
        </is>
      </c>
      <c r="B315" s="5" t="inlineStr">
        <is>
          <t>Brasil</t>
        </is>
      </c>
      <c r="C315" s="5" t="n">
        <v>2020</v>
      </c>
      <c r="D315" s="5" t="inlineStr">
        <is>
          <t>No sabe</t>
        </is>
      </c>
      <c r="E315" s="6" t="n">
        <v>0.115</v>
      </c>
      <c r="F315" s="7" t="n">
        <v>1204</v>
      </c>
    </row>
    <row r="316">
      <c r="A316" s="5" t="inlineStr">
        <is>
          <t>Apoyo democracia</t>
        </is>
      </c>
      <c r="B316" s="5" t="inlineStr">
        <is>
          <t>Brasil</t>
        </is>
      </c>
      <c r="C316" s="5" t="n">
        <v>2020</v>
      </c>
      <c r="D316" s="5" t="inlineStr">
        <is>
          <t>No contesta</t>
        </is>
      </c>
      <c r="E316" s="6" t="n">
        <v>0.014</v>
      </c>
      <c r="F316" s="7" t="n">
        <v>1204</v>
      </c>
    </row>
    <row r="317">
      <c r="A317" s="5" t="inlineStr">
        <is>
          <t>Apoyo democracia</t>
        </is>
      </c>
      <c r="B317" s="5" t="inlineStr">
        <is>
          <t>Brasil</t>
        </is>
      </c>
      <c r="C317" s="5" t="n">
        <v>2024</v>
      </c>
      <c r="D317" s="5" t="inlineStr">
        <is>
          <t>Democracia</t>
        </is>
      </c>
      <c r="E317" s="6" t="n">
        <v>0.453</v>
      </c>
      <c r="F317" s="7" t="n">
        <v>1204</v>
      </c>
    </row>
    <row r="318">
      <c r="A318" s="5" t="inlineStr">
        <is>
          <t>Apoyo democracia</t>
        </is>
      </c>
      <c r="B318" s="5" t="inlineStr">
        <is>
          <t>Brasil</t>
        </is>
      </c>
      <c r="C318" s="5" t="n">
        <v>2024</v>
      </c>
      <c r="D318" s="5" t="inlineStr">
        <is>
          <t>Gobierno Autoritario</t>
        </is>
      </c>
      <c r="E318" s="6" t="n">
        <v>0.124</v>
      </c>
      <c r="F318" s="7" t="n">
        <v>1204</v>
      </c>
    </row>
    <row r="319">
      <c r="A319" s="5" t="inlineStr">
        <is>
          <t>Apoyo democracia</t>
        </is>
      </c>
      <c r="B319" s="5" t="inlineStr">
        <is>
          <t>Brasil</t>
        </is>
      </c>
      <c r="C319" s="5" t="n">
        <v>2024</v>
      </c>
      <c r="D319" s="5" t="inlineStr">
        <is>
          <t>Da lo mismo</t>
        </is>
      </c>
      <c r="E319" s="6" t="n">
        <v>0.314</v>
      </c>
      <c r="F319" s="7" t="n">
        <v>1204</v>
      </c>
    </row>
    <row r="320">
      <c r="A320" s="5" t="inlineStr">
        <is>
          <t>Apoyo democracia</t>
        </is>
      </c>
      <c r="B320" s="5" t="inlineStr">
        <is>
          <t>Brasil</t>
        </is>
      </c>
      <c r="C320" s="5" t="n">
        <v>2024</v>
      </c>
      <c r="D320" s="5" t="inlineStr">
        <is>
          <t>No sabe</t>
        </is>
      </c>
      <c r="E320" s="6" t="n">
        <v>0.092</v>
      </c>
      <c r="F320" s="7" t="n">
        <v>1204</v>
      </c>
    </row>
    <row r="321">
      <c r="A321" s="5" t="inlineStr">
        <is>
          <t>Apoyo democracia</t>
        </is>
      </c>
      <c r="B321" s="5" t="inlineStr">
        <is>
          <t>Brasil</t>
        </is>
      </c>
      <c r="C321" s="5" t="n">
        <v>2024</v>
      </c>
      <c r="D321" s="5" t="inlineStr">
        <is>
          <t>No contesta</t>
        </is>
      </c>
      <c r="E321" s="6" t="n">
        <v>0.017</v>
      </c>
      <c r="F321" s="7" t="n">
        <v>1204</v>
      </c>
    </row>
    <row r="322">
      <c r="A322" s="5" t="inlineStr">
        <is>
          <t>Apoyo democracia</t>
        </is>
      </c>
      <c r="B322" s="5" t="inlineStr">
        <is>
          <t>Chile</t>
        </is>
      </c>
      <c r="C322" s="5" t="n">
        <v>1995</v>
      </c>
      <c r="D322" s="5" t="inlineStr">
        <is>
          <t>Democracia</t>
        </is>
      </c>
      <c r="E322" s="6" t="n">
        <v>0.522</v>
      </c>
      <c r="F322" s="7" t="n">
        <v>1240</v>
      </c>
    </row>
    <row r="323">
      <c r="A323" s="5" t="inlineStr">
        <is>
          <t>Apoyo democracia</t>
        </is>
      </c>
      <c r="B323" s="5" t="inlineStr">
        <is>
          <t>Chile</t>
        </is>
      </c>
      <c r="C323" s="5" t="n">
        <v>1995</v>
      </c>
      <c r="D323" s="5" t="inlineStr">
        <is>
          <t>Gobierno Autoritario</t>
        </is>
      </c>
      <c r="E323" s="6" t="n">
        <v>0.185</v>
      </c>
      <c r="F323" s="7" t="n">
        <v>1240</v>
      </c>
    </row>
    <row r="324">
      <c r="A324" s="5" t="inlineStr">
        <is>
          <t>Apoyo democracia</t>
        </is>
      </c>
      <c r="B324" s="5" t="inlineStr">
        <is>
          <t>Chile</t>
        </is>
      </c>
      <c r="C324" s="5" t="n">
        <v>1995</v>
      </c>
      <c r="D324" s="5" t="inlineStr">
        <is>
          <t>Da lo mismo</t>
        </is>
      </c>
      <c r="E324" s="6" t="n">
        <v>0.253</v>
      </c>
      <c r="F324" s="7" t="n">
        <v>1240</v>
      </c>
    </row>
    <row r="325">
      <c r="A325" s="5" t="inlineStr">
        <is>
          <t>Apoyo democracia</t>
        </is>
      </c>
      <c r="B325" s="5" t="inlineStr">
        <is>
          <t>Chile</t>
        </is>
      </c>
      <c r="C325" s="5" t="n">
        <v>1995</v>
      </c>
      <c r="D325" s="5" t="inlineStr">
        <is>
          <t>No sabe</t>
        </is>
      </c>
      <c r="E325" s="6" t="n">
        <v>0.024</v>
      </c>
      <c r="F325" s="7" t="n">
        <v>1240</v>
      </c>
    </row>
    <row r="326">
      <c r="A326" s="5" t="inlineStr">
        <is>
          <t>Apoyo democracia</t>
        </is>
      </c>
      <c r="B326" s="5" t="inlineStr">
        <is>
          <t>Chile</t>
        </is>
      </c>
      <c r="C326" s="5" t="n">
        <v>1995</v>
      </c>
      <c r="D326" s="5" t="inlineStr">
        <is>
          <t>No contesta</t>
        </is>
      </c>
      <c r="E326" s="6" t="n">
        <v>0.017</v>
      </c>
      <c r="F326" s="7" t="n">
        <v>1240</v>
      </c>
    </row>
    <row r="327">
      <c r="A327" s="5" t="inlineStr">
        <is>
          <t>Apoyo democracia</t>
        </is>
      </c>
      <c r="B327" s="5" t="inlineStr">
        <is>
          <t>Chile</t>
        </is>
      </c>
      <c r="C327" s="5" t="n">
        <v>1996</v>
      </c>
      <c r="D327" s="5" t="inlineStr">
        <is>
          <t>Democracia</t>
        </is>
      </c>
      <c r="E327" s="6" t="n">
        <v>0.541</v>
      </c>
      <c r="F327" s="7" t="n">
        <v>1200</v>
      </c>
    </row>
    <row r="328">
      <c r="A328" s="5" t="inlineStr">
        <is>
          <t>Apoyo democracia</t>
        </is>
      </c>
      <c r="B328" s="5" t="inlineStr">
        <is>
          <t>Chile</t>
        </is>
      </c>
      <c r="C328" s="5" t="n">
        <v>1996</v>
      </c>
      <c r="D328" s="5" t="inlineStr">
        <is>
          <t>Gobierno Autoritario</t>
        </is>
      </c>
      <c r="E328" s="6" t="n">
        <v>0.194</v>
      </c>
      <c r="F328" s="7" t="n">
        <v>1200</v>
      </c>
    </row>
    <row r="329">
      <c r="A329" s="5" t="inlineStr">
        <is>
          <t>Apoyo democracia</t>
        </is>
      </c>
      <c r="B329" s="5" t="inlineStr">
        <is>
          <t>Chile</t>
        </is>
      </c>
      <c r="C329" s="5" t="n">
        <v>1996</v>
      </c>
      <c r="D329" s="5" t="inlineStr">
        <is>
          <t>Da lo mismo</t>
        </is>
      </c>
      <c r="E329" s="6" t="n">
        <v>0.233</v>
      </c>
      <c r="F329" s="7" t="n">
        <v>1200</v>
      </c>
    </row>
    <row r="330">
      <c r="A330" s="5" t="inlineStr">
        <is>
          <t>Apoyo democracia</t>
        </is>
      </c>
      <c r="B330" s="5" t="inlineStr">
        <is>
          <t>Chile</t>
        </is>
      </c>
      <c r="C330" s="5" t="n">
        <v>1996</v>
      </c>
      <c r="D330" s="5" t="inlineStr">
        <is>
          <t>No sabe</t>
        </is>
      </c>
      <c r="E330" s="6" t="n">
        <v>0.026</v>
      </c>
      <c r="F330" s="7" t="n">
        <v>1200</v>
      </c>
    </row>
    <row r="331">
      <c r="A331" s="5" t="inlineStr">
        <is>
          <t>Apoyo democracia</t>
        </is>
      </c>
      <c r="B331" s="5" t="inlineStr">
        <is>
          <t>Chile</t>
        </is>
      </c>
      <c r="C331" s="5" t="n">
        <v>1996</v>
      </c>
      <c r="D331" s="5" t="inlineStr">
        <is>
          <t>No contesta</t>
        </is>
      </c>
      <c r="E331" s="6" t="n">
        <v>0.005</v>
      </c>
      <c r="F331" s="7" t="n">
        <v>1200</v>
      </c>
    </row>
    <row r="332">
      <c r="A332" s="5" t="inlineStr">
        <is>
          <t>Apoyo democracia</t>
        </is>
      </c>
      <c r="B332" s="5" t="inlineStr">
        <is>
          <t>Chile</t>
        </is>
      </c>
      <c r="C332" s="5" t="n">
        <v>1997</v>
      </c>
      <c r="D332" s="5" t="inlineStr">
        <is>
          <t>Democracia</t>
        </is>
      </c>
      <c r="E332" s="6" t="n">
        <v>0.613</v>
      </c>
      <c r="F332" s="7" t="n">
        <v>1200</v>
      </c>
    </row>
    <row r="333">
      <c r="A333" s="5" t="inlineStr">
        <is>
          <t>Apoyo democracia</t>
        </is>
      </c>
      <c r="B333" s="5" t="inlineStr">
        <is>
          <t>Chile</t>
        </is>
      </c>
      <c r="C333" s="5" t="n">
        <v>1997</v>
      </c>
      <c r="D333" s="5" t="inlineStr">
        <is>
          <t>Gobierno Autoritario</t>
        </is>
      </c>
      <c r="E333" s="6" t="n">
        <v>0.161</v>
      </c>
      <c r="F333" s="7" t="n">
        <v>1200</v>
      </c>
    </row>
    <row r="334">
      <c r="A334" s="5" t="inlineStr">
        <is>
          <t>Apoyo democracia</t>
        </is>
      </c>
      <c r="B334" s="5" t="inlineStr">
        <is>
          <t>Chile</t>
        </is>
      </c>
      <c r="C334" s="5" t="n">
        <v>1997</v>
      </c>
      <c r="D334" s="5" t="inlineStr">
        <is>
          <t>Da lo mismo</t>
        </is>
      </c>
      <c r="E334" s="6" t="n">
        <v>0.202</v>
      </c>
      <c r="F334" s="7" t="n">
        <v>1200</v>
      </c>
    </row>
    <row r="335">
      <c r="A335" s="5" t="inlineStr">
        <is>
          <t>Apoyo democracia</t>
        </is>
      </c>
      <c r="B335" s="5" t="inlineStr">
        <is>
          <t>Chile</t>
        </is>
      </c>
      <c r="C335" s="5" t="n">
        <v>1997</v>
      </c>
      <c r="D335" s="5" t="inlineStr">
        <is>
          <t>No sabe</t>
        </is>
      </c>
      <c r="E335" s="6" t="n">
        <v>0.017</v>
      </c>
      <c r="F335" s="7" t="n">
        <v>1200</v>
      </c>
    </row>
    <row r="336">
      <c r="A336" s="5" t="inlineStr">
        <is>
          <t>Apoyo democracia</t>
        </is>
      </c>
      <c r="B336" s="5" t="inlineStr">
        <is>
          <t>Chile</t>
        </is>
      </c>
      <c r="C336" s="5" t="n">
        <v>1997</v>
      </c>
      <c r="D336" s="5" t="inlineStr">
        <is>
          <t>No contesta</t>
        </is>
      </c>
      <c r="E336" s="6" t="n">
        <v>0.006999999999999999</v>
      </c>
      <c r="F336" s="7" t="n">
        <v>1200</v>
      </c>
    </row>
    <row r="337">
      <c r="A337" s="5" t="inlineStr">
        <is>
          <t>Apoyo democracia</t>
        </is>
      </c>
      <c r="B337" s="5" t="inlineStr">
        <is>
          <t>Chile</t>
        </is>
      </c>
      <c r="C337" s="5" t="n">
        <v>1998</v>
      </c>
      <c r="D337" s="5" t="inlineStr">
        <is>
          <t>Democracia</t>
        </is>
      </c>
      <c r="E337" s="6" t="n">
        <v>0.527</v>
      </c>
      <c r="F337" s="7" t="n">
        <v>1200</v>
      </c>
    </row>
    <row r="338">
      <c r="A338" s="5" t="inlineStr">
        <is>
          <t>Apoyo democracia</t>
        </is>
      </c>
      <c r="B338" s="5" t="inlineStr">
        <is>
          <t>Chile</t>
        </is>
      </c>
      <c r="C338" s="5" t="n">
        <v>1998</v>
      </c>
      <c r="D338" s="5" t="inlineStr">
        <is>
          <t>Gobierno Autoritario</t>
        </is>
      </c>
      <c r="E338" s="6" t="n">
        <v>0.162</v>
      </c>
      <c r="F338" s="7" t="n">
        <v>1200</v>
      </c>
    </row>
    <row r="339">
      <c r="A339" s="5" t="inlineStr">
        <is>
          <t>Apoyo democracia</t>
        </is>
      </c>
      <c r="B339" s="5" t="inlineStr">
        <is>
          <t>Chile</t>
        </is>
      </c>
      <c r="C339" s="5" t="n">
        <v>1998</v>
      </c>
      <c r="D339" s="5" t="inlineStr">
        <is>
          <t>Da lo mismo</t>
        </is>
      </c>
      <c r="E339" s="6" t="n">
        <v>0.293</v>
      </c>
      <c r="F339" s="7" t="n">
        <v>1200</v>
      </c>
    </row>
    <row r="340">
      <c r="A340" s="5" t="inlineStr">
        <is>
          <t>Apoyo democracia</t>
        </is>
      </c>
      <c r="B340" s="5" t="inlineStr">
        <is>
          <t>Chile</t>
        </is>
      </c>
      <c r="C340" s="5" t="n">
        <v>1998</v>
      </c>
      <c r="D340" s="5" t="inlineStr">
        <is>
          <t>No sabe</t>
        </is>
      </c>
      <c r="E340" s="6" t="n">
        <v>0.01</v>
      </c>
      <c r="F340" s="7" t="n">
        <v>1200</v>
      </c>
    </row>
    <row r="341">
      <c r="A341" s="5" t="inlineStr">
        <is>
          <t>Apoyo democracia</t>
        </is>
      </c>
      <c r="B341" s="5" t="inlineStr">
        <is>
          <t>Chile</t>
        </is>
      </c>
      <c r="C341" s="5" t="n">
        <v>1998</v>
      </c>
      <c r="D341" s="5" t="inlineStr">
        <is>
          <t>No contesta</t>
        </is>
      </c>
      <c r="E341" s="6" t="n">
        <v>0.008</v>
      </c>
      <c r="F341" s="7" t="n">
        <v>1200</v>
      </c>
    </row>
    <row r="342">
      <c r="A342" s="5" t="inlineStr">
        <is>
          <t>Apoyo democracia</t>
        </is>
      </c>
      <c r="B342" s="5" t="inlineStr">
        <is>
          <t>Chile</t>
        </is>
      </c>
      <c r="C342" s="5" t="n">
        <v>2000</v>
      </c>
      <c r="D342" s="5" t="inlineStr">
        <is>
          <t>Democracia</t>
        </is>
      </c>
      <c r="E342" s="6" t="n">
        <v>0.535</v>
      </c>
      <c r="F342" s="7" t="n">
        <v>1183</v>
      </c>
    </row>
    <row r="343">
      <c r="A343" s="5" t="inlineStr">
        <is>
          <t>Apoyo democracia</t>
        </is>
      </c>
      <c r="B343" s="5" t="inlineStr">
        <is>
          <t>Chile</t>
        </is>
      </c>
      <c r="C343" s="5" t="n">
        <v>2000</v>
      </c>
      <c r="D343" s="5" t="inlineStr">
        <is>
          <t>Gobierno Autoritario</t>
        </is>
      </c>
      <c r="E343" s="6" t="n">
        <v>0.173</v>
      </c>
      <c r="F343" s="7" t="n">
        <v>1183</v>
      </c>
    </row>
    <row r="344">
      <c r="A344" s="5" t="inlineStr">
        <is>
          <t>Apoyo democracia</t>
        </is>
      </c>
      <c r="B344" s="5" t="inlineStr">
        <is>
          <t>Chile</t>
        </is>
      </c>
      <c r="C344" s="5" t="n">
        <v>2000</v>
      </c>
      <c r="D344" s="5" t="inlineStr">
        <is>
          <t>Da lo mismo</t>
        </is>
      </c>
      <c r="E344" s="6" t="n">
        <v>0.259</v>
      </c>
      <c r="F344" s="7" t="n">
        <v>1183</v>
      </c>
    </row>
    <row r="345">
      <c r="A345" s="5" t="inlineStr">
        <is>
          <t>Apoyo democracia</t>
        </is>
      </c>
      <c r="B345" s="5" t="inlineStr">
        <is>
          <t>Chile</t>
        </is>
      </c>
      <c r="C345" s="5" t="n">
        <v>2000</v>
      </c>
      <c r="D345" s="5" t="inlineStr">
        <is>
          <t>No sabe</t>
        </is>
      </c>
      <c r="E345" s="6" t="n">
        <v>0.026</v>
      </c>
      <c r="F345" s="7" t="n">
        <v>1183</v>
      </c>
    </row>
    <row r="346">
      <c r="A346" s="5" t="inlineStr">
        <is>
          <t>Apoyo democracia</t>
        </is>
      </c>
      <c r="B346" s="5" t="inlineStr">
        <is>
          <t>Chile</t>
        </is>
      </c>
      <c r="C346" s="5" t="n">
        <v>2000</v>
      </c>
      <c r="D346" s="5" t="inlineStr">
        <is>
          <t>No contesta</t>
        </is>
      </c>
      <c r="E346" s="6" t="n">
        <v>0.006999999999999999</v>
      </c>
      <c r="F346" s="7" t="n">
        <v>1183</v>
      </c>
    </row>
    <row r="347">
      <c r="A347" s="5" t="inlineStr">
        <is>
          <t>Apoyo democracia</t>
        </is>
      </c>
      <c r="B347" s="5" t="inlineStr">
        <is>
          <t>Chile</t>
        </is>
      </c>
      <c r="C347" s="5" t="n">
        <v>2001</v>
      </c>
      <c r="D347" s="5" t="inlineStr">
        <is>
          <t>Democracia</t>
        </is>
      </c>
      <c r="E347" s="6" t="n">
        <v>0.449</v>
      </c>
      <c r="F347" s="7" t="n">
        <v>1174</v>
      </c>
    </row>
    <row r="348">
      <c r="A348" s="5" t="inlineStr">
        <is>
          <t>Apoyo democracia</t>
        </is>
      </c>
      <c r="B348" s="5" t="inlineStr">
        <is>
          <t>Chile</t>
        </is>
      </c>
      <c r="C348" s="5" t="n">
        <v>2001</v>
      </c>
      <c r="D348" s="5" t="inlineStr">
        <is>
          <t>Gobierno Autoritario</t>
        </is>
      </c>
      <c r="E348" s="6" t="n">
        <v>0.193</v>
      </c>
      <c r="F348" s="7" t="n">
        <v>1174</v>
      </c>
    </row>
    <row r="349">
      <c r="A349" s="5" t="inlineStr">
        <is>
          <t>Apoyo democracia</t>
        </is>
      </c>
      <c r="B349" s="5" t="inlineStr">
        <is>
          <t>Chile</t>
        </is>
      </c>
      <c r="C349" s="5" t="n">
        <v>2001</v>
      </c>
      <c r="D349" s="5" t="inlineStr">
        <is>
          <t>Da lo mismo</t>
        </is>
      </c>
      <c r="E349" s="6" t="n">
        <v>0.282</v>
      </c>
      <c r="F349" s="7" t="n">
        <v>1174</v>
      </c>
    </row>
    <row r="350">
      <c r="A350" s="5" t="inlineStr">
        <is>
          <t>Apoyo democracia</t>
        </is>
      </c>
      <c r="B350" s="5" t="inlineStr">
        <is>
          <t>Chile</t>
        </is>
      </c>
      <c r="C350" s="5" t="n">
        <v>2001</v>
      </c>
      <c r="D350" s="5" t="inlineStr">
        <is>
          <t>No sabe</t>
        </is>
      </c>
      <c r="E350" s="6" t="n">
        <v>0.039</v>
      </c>
      <c r="F350" s="7" t="n">
        <v>1174</v>
      </c>
    </row>
    <row r="351">
      <c r="A351" s="5" t="inlineStr">
        <is>
          <t>Apoyo democracia</t>
        </is>
      </c>
      <c r="B351" s="5" t="inlineStr">
        <is>
          <t>Chile</t>
        </is>
      </c>
      <c r="C351" s="5" t="n">
        <v>2001</v>
      </c>
      <c r="D351" s="5" t="inlineStr">
        <is>
          <t>No contesta</t>
        </is>
      </c>
      <c r="E351" s="6" t="n">
        <v>0.03700000000000001</v>
      </c>
      <c r="F351" s="7" t="n">
        <v>1174</v>
      </c>
    </row>
    <row r="352">
      <c r="A352" s="5" t="inlineStr">
        <is>
          <t>Apoyo democracia</t>
        </is>
      </c>
      <c r="B352" s="5" t="inlineStr">
        <is>
          <t>Chile</t>
        </is>
      </c>
      <c r="C352" s="5" t="n">
        <v>2002</v>
      </c>
      <c r="D352" s="5" t="inlineStr">
        <is>
          <t>Democracia</t>
        </is>
      </c>
      <c r="E352" s="6" t="n">
        <v>0.504</v>
      </c>
      <c r="F352" s="7" t="n">
        <v>1196</v>
      </c>
    </row>
    <row r="353">
      <c r="A353" s="5" t="inlineStr">
        <is>
          <t>Apoyo democracia</t>
        </is>
      </c>
      <c r="B353" s="5" t="inlineStr">
        <is>
          <t>Chile</t>
        </is>
      </c>
      <c r="C353" s="5" t="n">
        <v>2002</v>
      </c>
      <c r="D353" s="5" t="inlineStr">
        <is>
          <t>Gobierno Autoritario</t>
        </is>
      </c>
      <c r="E353" s="6" t="n">
        <v>0.144</v>
      </c>
      <c r="F353" s="7" t="n">
        <v>1196</v>
      </c>
    </row>
    <row r="354">
      <c r="A354" s="5" t="inlineStr">
        <is>
          <t>Apoyo democracia</t>
        </is>
      </c>
      <c r="B354" s="5" t="inlineStr">
        <is>
          <t>Chile</t>
        </is>
      </c>
      <c r="C354" s="5" t="n">
        <v>2002</v>
      </c>
      <c r="D354" s="5" t="inlineStr">
        <is>
          <t>Da lo mismo</t>
        </is>
      </c>
      <c r="E354" s="6" t="n">
        <v>0.301</v>
      </c>
      <c r="F354" s="7" t="n">
        <v>1196</v>
      </c>
    </row>
    <row r="355">
      <c r="A355" s="5" t="inlineStr">
        <is>
          <t>Apoyo democracia</t>
        </is>
      </c>
      <c r="B355" s="5" t="inlineStr">
        <is>
          <t>Chile</t>
        </is>
      </c>
      <c r="C355" s="5" t="n">
        <v>2002</v>
      </c>
      <c r="D355" s="5" t="inlineStr">
        <is>
          <t>No sabe</t>
        </is>
      </c>
      <c r="E355" s="6" t="n">
        <v>0.039</v>
      </c>
      <c r="F355" s="7" t="n">
        <v>1196</v>
      </c>
    </row>
    <row r="356">
      <c r="A356" s="5" t="inlineStr">
        <is>
          <t>Apoyo democracia</t>
        </is>
      </c>
      <c r="B356" s="5" t="inlineStr">
        <is>
          <t>Chile</t>
        </is>
      </c>
      <c r="C356" s="5" t="n">
        <v>2002</v>
      </c>
      <c r="D356" s="5" t="inlineStr">
        <is>
          <t>No contesta</t>
        </is>
      </c>
      <c r="E356" s="6" t="n">
        <v>0.013</v>
      </c>
      <c r="F356" s="7" t="n">
        <v>1196</v>
      </c>
    </row>
    <row r="357">
      <c r="A357" s="5" t="inlineStr">
        <is>
          <t>Apoyo democracia</t>
        </is>
      </c>
      <c r="B357" s="5" t="inlineStr">
        <is>
          <t>Chile</t>
        </is>
      </c>
      <c r="C357" s="5" t="n">
        <v>2003</v>
      </c>
      <c r="D357" s="5" t="inlineStr">
        <is>
          <t>Democracia</t>
        </is>
      </c>
      <c r="E357" s="6" t="n">
        <v>0.505</v>
      </c>
      <c r="F357" s="7" t="n">
        <v>1200</v>
      </c>
    </row>
    <row r="358">
      <c r="A358" s="5" t="inlineStr">
        <is>
          <t>Apoyo democracia</t>
        </is>
      </c>
      <c r="B358" s="5" t="inlineStr">
        <is>
          <t>Chile</t>
        </is>
      </c>
      <c r="C358" s="5" t="n">
        <v>2003</v>
      </c>
      <c r="D358" s="5" t="inlineStr">
        <is>
          <t>Gobierno Autoritario</t>
        </is>
      </c>
      <c r="E358" s="6" t="n">
        <v>0.14</v>
      </c>
      <c r="F358" s="7" t="n">
        <v>1200</v>
      </c>
    </row>
    <row r="359">
      <c r="A359" s="5" t="inlineStr">
        <is>
          <t>Apoyo democracia</t>
        </is>
      </c>
      <c r="B359" s="5" t="inlineStr">
        <is>
          <t>Chile</t>
        </is>
      </c>
      <c r="C359" s="5" t="n">
        <v>2003</v>
      </c>
      <c r="D359" s="5" t="inlineStr">
        <is>
          <t>Da lo mismo</t>
        </is>
      </c>
      <c r="E359" s="6" t="n">
        <v>0.316</v>
      </c>
      <c r="F359" s="7" t="n">
        <v>1200</v>
      </c>
    </row>
    <row r="360">
      <c r="A360" s="5" t="inlineStr">
        <is>
          <t>Apoyo democracia</t>
        </is>
      </c>
      <c r="B360" s="5" t="inlineStr">
        <is>
          <t>Chile</t>
        </is>
      </c>
      <c r="C360" s="5" t="n">
        <v>2003</v>
      </c>
      <c r="D360" s="5" t="inlineStr">
        <is>
          <t>No sabe</t>
        </is>
      </c>
      <c r="E360" s="6" t="n">
        <v>0.026</v>
      </c>
      <c r="F360" s="7" t="n">
        <v>1200</v>
      </c>
    </row>
    <row r="361">
      <c r="A361" s="5" t="inlineStr">
        <is>
          <t>Apoyo democracia</t>
        </is>
      </c>
      <c r="B361" s="5" t="inlineStr">
        <is>
          <t>Chile</t>
        </is>
      </c>
      <c r="C361" s="5" t="n">
        <v>2003</v>
      </c>
      <c r="D361" s="5" t="inlineStr">
        <is>
          <t>No contesta</t>
        </is>
      </c>
      <c r="E361" s="6" t="n">
        <v>0.013</v>
      </c>
      <c r="F361" s="7" t="n">
        <v>1200</v>
      </c>
    </row>
    <row r="362">
      <c r="A362" s="5" t="inlineStr">
        <is>
          <t>Apoyo democracia</t>
        </is>
      </c>
      <c r="B362" s="5" t="inlineStr">
        <is>
          <t>Chile</t>
        </is>
      </c>
      <c r="C362" s="5" t="n">
        <v>2004</v>
      </c>
      <c r="D362" s="5" t="inlineStr">
        <is>
          <t>Democracia</t>
        </is>
      </c>
      <c r="E362" s="6" t="n">
        <v>0.5670000000000001</v>
      </c>
      <c r="F362" s="7" t="n">
        <v>1200</v>
      </c>
    </row>
    <row r="363">
      <c r="A363" s="5" t="inlineStr">
        <is>
          <t>Apoyo democracia</t>
        </is>
      </c>
      <c r="B363" s="5" t="inlineStr">
        <is>
          <t>Chile</t>
        </is>
      </c>
      <c r="C363" s="5" t="n">
        <v>2004</v>
      </c>
      <c r="D363" s="5" t="inlineStr">
        <is>
          <t>Gobierno Autoritario</t>
        </is>
      </c>
      <c r="E363" s="6" t="n">
        <v>0.138</v>
      </c>
      <c r="F363" s="7" t="n">
        <v>1200</v>
      </c>
    </row>
    <row r="364">
      <c r="A364" s="5" t="inlineStr">
        <is>
          <t>Apoyo democracia</t>
        </is>
      </c>
      <c r="B364" s="5" t="inlineStr">
        <is>
          <t>Chile</t>
        </is>
      </c>
      <c r="C364" s="5" t="n">
        <v>2004</v>
      </c>
      <c r="D364" s="5" t="inlineStr">
        <is>
          <t>Da lo mismo</t>
        </is>
      </c>
      <c r="E364" s="6" t="n">
        <v>0.265</v>
      </c>
      <c r="F364" s="7" t="n">
        <v>1200</v>
      </c>
    </row>
    <row r="365">
      <c r="A365" s="5" t="inlineStr">
        <is>
          <t>Apoyo democracia</t>
        </is>
      </c>
      <c r="B365" s="5" t="inlineStr">
        <is>
          <t>Chile</t>
        </is>
      </c>
      <c r="C365" s="5" t="n">
        <v>2004</v>
      </c>
      <c r="D365" s="5" t="inlineStr">
        <is>
          <t>No sabe</t>
        </is>
      </c>
      <c r="E365" s="6" t="n">
        <v>0.025</v>
      </c>
      <c r="F365" s="7" t="n">
        <v>1200</v>
      </c>
    </row>
    <row r="366">
      <c r="A366" s="5" t="inlineStr">
        <is>
          <t>Apoyo democracia</t>
        </is>
      </c>
      <c r="B366" s="5" t="inlineStr">
        <is>
          <t>Chile</t>
        </is>
      </c>
      <c r="C366" s="5" t="n">
        <v>2004</v>
      </c>
      <c r="D366" s="5" t="inlineStr">
        <is>
          <t>No contesta</t>
        </is>
      </c>
      <c r="E366" s="6" t="n">
        <v>0.005</v>
      </c>
      <c r="F366" s="7" t="n">
        <v>1200</v>
      </c>
    </row>
    <row r="367">
      <c r="A367" s="5" t="inlineStr">
        <is>
          <t>Apoyo democracia</t>
        </is>
      </c>
      <c r="B367" s="5" t="inlineStr">
        <is>
          <t>Chile</t>
        </is>
      </c>
      <c r="C367" s="5" t="n">
        <v>2005</v>
      </c>
      <c r="D367" s="5" t="inlineStr">
        <is>
          <t>Democracia</t>
        </is>
      </c>
      <c r="E367" s="6" t="n">
        <v>0.588</v>
      </c>
      <c r="F367" s="7" t="n">
        <v>1200</v>
      </c>
    </row>
    <row r="368">
      <c r="A368" s="5" t="inlineStr">
        <is>
          <t>Apoyo democracia</t>
        </is>
      </c>
      <c r="B368" s="5" t="inlineStr">
        <is>
          <t>Chile</t>
        </is>
      </c>
      <c r="C368" s="5" t="n">
        <v>2005</v>
      </c>
      <c r="D368" s="5" t="inlineStr">
        <is>
          <t>Gobierno Autoritario</t>
        </is>
      </c>
      <c r="E368" s="6" t="n">
        <v>0.107</v>
      </c>
      <c r="F368" s="7" t="n">
        <v>1200</v>
      </c>
    </row>
    <row r="369">
      <c r="A369" s="5" t="inlineStr">
        <is>
          <t>Apoyo democracia</t>
        </is>
      </c>
      <c r="B369" s="5" t="inlineStr">
        <is>
          <t>Chile</t>
        </is>
      </c>
      <c r="C369" s="5" t="n">
        <v>2005</v>
      </c>
      <c r="D369" s="5" t="inlineStr">
        <is>
          <t>Da lo mismo</t>
        </is>
      </c>
      <c r="E369" s="6" t="n">
        <v>0.246</v>
      </c>
      <c r="F369" s="7" t="n">
        <v>1200</v>
      </c>
    </row>
    <row r="370">
      <c r="A370" s="5" t="inlineStr">
        <is>
          <t>Apoyo democracia</t>
        </is>
      </c>
      <c r="B370" s="5" t="inlineStr">
        <is>
          <t>Chile</t>
        </is>
      </c>
      <c r="C370" s="5" t="n">
        <v>2005</v>
      </c>
      <c r="D370" s="5" t="inlineStr">
        <is>
          <t>No sabe</t>
        </is>
      </c>
      <c r="E370" s="6" t="n">
        <v>0.05</v>
      </c>
      <c r="F370" s="7" t="n">
        <v>1200</v>
      </c>
    </row>
    <row r="371">
      <c r="A371" s="5" t="inlineStr">
        <is>
          <t>Apoyo democracia</t>
        </is>
      </c>
      <c r="B371" s="5" t="inlineStr">
        <is>
          <t>Chile</t>
        </is>
      </c>
      <c r="C371" s="5" t="n">
        <v>2005</v>
      </c>
      <c r="D371" s="5" t="inlineStr">
        <is>
          <t>No contesta</t>
        </is>
      </c>
      <c r="E371" s="6" t="n">
        <v>0.009000000000000001</v>
      </c>
      <c r="F371" s="7" t="n">
        <v>1200</v>
      </c>
    </row>
    <row r="372">
      <c r="A372" s="5" t="inlineStr">
        <is>
          <t>Apoyo democracia</t>
        </is>
      </c>
      <c r="B372" s="5" t="inlineStr">
        <is>
          <t>Chile</t>
        </is>
      </c>
      <c r="C372" s="5" t="n">
        <v>2006</v>
      </c>
      <c r="D372" s="5" t="inlineStr">
        <is>
          <t>Democracia</t>
        </is>
      </c>
      <c r="E372" s="6" t="n">
        <v>0.5649999999999999</v>
      </c>
      <c r="F372" s="7" t="n">
        <v>1200</v>
      </c>
    </row>
    <row r="373">
      <c r="A373" s="5" t="inlineStr">
        <is>
          <t>Apoyo democracia</t>
        </is>
      </c>
      <c r="B373" s="5" t="inlineStr">
        <is>
          <t>Chile</t>
        </is>
      </c>
      <c r="C373" s="5" t="n">
        <v>2006</v>
      </c>
      <c r="D373" s="5" t="inlineStr">
        <is>
          <t>Gobierno Autoritario</t>
        </is>
      </c>
      <c r="E373" s="6" t="n">
        <v>0.134</v>
      </c>
      <c r="F373" s="7" t="n">
        <v>1200</v>
      </c>
    </row>
    <row r="374">
      <c r="A374" s="5" t="inlineStr">
        <is>
          <t>Apoyo democracia</t>
        </is>
      </c>
      <c r="B374" s="5" t="inlineStr">
        <is>
          <t>Chile</t>
        </is>
      </c>
      <c r="C374" s="5" t="n">
        <v>2006</v>
      </c>
      <c r="D374" s="5" t="inlineStr">
        <is>
          <t>Da lo mismo</t>
        </is>
      </c>
      <c r="E374" s="6" t="n">
        <v>0.259</v>
      </c>
      <c r="F374" s="7" t="n">
        <v>1200</v>
      </c>
    </row>
    <row r="375">
      <c r="A375" s="5" t="inlineStr">
        <is>
          <t>Apoyo democracia</t>
        </is>
      </c>
      <c r="B375" s="5" t="inlineStr">
        <is>
          <t>Chile</t>
        </is>
      </c>
      <c r="C375" s="5" t="n">
        <v>2006</v>
      </c>
      <c r="D375" s="5" t="inlineStr">
        <is>
          <t>No sabe</t>
        </is>
      </c>
      <c r="E375" s="6" t="n">
        <v>0.036</v>
      </c>
      <c r="F375" s="7" t="n">
        <v>1200</v>
      </c>
    </row>
    <row r="376">
      <c r="A376" s="5" t="inlineStr">
        <is>
          <t>Apoyo democracia</t>
        </is>
      </c>
      <c r="B376" s="5" t="inlineStr">
        <is>
          <t>Chile</t>
        </is>
      </c>
      <c r="C376" s="5" t="n">
        <v>2006</v>
      </c>
      <c r="D376" s="5" t="inlineStr">
        <is>
          <t>No contesta</t>
        </is>
      </c>
      <c r="E376" s="6" t="n">
        <v>0.006</v>
      </c>
      <c r="F376" s="7" t="n">
        <v>1200</v>
      </c>
    </row>
    <row r="377">
      <c r="A377" s="5" t="inlineStr">
        <is>
          <t>Apoyo democracia</t>
        </is>
      </c>
      <c r="B377" s="5" t="inlineStr">
        <is>
          <t>Chile</t>
        </is>
      </c>
      <c r="C377" s="5" t="n">
        <v>2007</v>
      </c>
      <c r="D377" s="5" t="inlineStr">
        <is>
          <t>Democracia</t>
        </is>
      </c>
      <c r="E377" s="6" t="n">
        <v>0.457</v>
      </c>
      <c r="F377" s="7" t="n">
        <v>1200</v>
      </c>
    </row>
    <row r="378">
      <c r="A378" s="5" t="inlineStr">
        <is>
          <t>Apoyo democracia</t>
        </is>
      </c>
      <c r="B378" s="5" t="inlineStr">
        <is>
          <t>Chile</t>
        </is>
      </c>
      <c r="C378" s="5" t="n">
        <v>2007</v>
      </c>
      <c r="D378" s="5" t="inlineStr">
        <is>
          <t>Gobierno Autoritario</t>
        </is>
      </c>
      <c r="E378" s="6" t="n">
        <v>0.207</v>
      </c>
      <c r="F378" s="7" t="n">
        <v>1200</v>
      </c>
    </row>
    <row r="379">
      <c r="A379" s="5" t="inlineStr">
        <is>
          <t>Apoyo democracia</t>
        </is>
      </c>
      <c r="B379" s="5" t="inlineStr">
        <is>
          <t>Chile</t>
        </is>
      </c>
      <c r="C379" s="5" t="n">
        <v>2007</v>
      </c>
      <c r="D379" s="5" t="inlineStr">
        <is>
          <t>Da lo mismo</t>
        </is>
      </c>
      <c r="E379" s="6" t="n">
        <v>0.291</v>
      </c>
      <c r="F379" s="7" t="n">
        <v>1200</v>
      </c>
    </row>
    <row r="380">
      <c r="A380" s="5" t="inlineStr">
        <is>
          <t>Apoyo democracia</t>
        </is>
      </c>
      <c r="B380" s="5" t="inlineStr">
        <is>
          <t>Chile</t>
        </is>
      </c>
      <c r="C380" s="5" t="n">
        <v>2007</v>
      </c>
      <c r="D380" s="5" t="inlineStr">
        <is>
          <t>No sabe</t>
        </is>
      </c>
      <c r="E380" s="6" t="n">
        <v>0.036</v>
      </c>
      <c r="F380" s="7" t="n">
        <v>1200</v>
      </c>
    </row>
    <row r="381">
      <c r="A381" s="5" t="inlineStr">
        <is>
          <t>Apoyo democracia</t>
        </is>
      </c>
      <c r="B381" s="5" t="inlineStr">
        <is>
          <t>Chile</t>
        </is>
      </c>
      <c r="C381" s="5" t="n">
        <v>2007</v>
      </c>
      <c r="D381" s="5" t="inlineStr">
        <is>
          <t>No contesta</t>
        </is>
      </c>
      <c r="E381" s="6" t="n">
        <v>0.009000000000000001</v>
      </c>
      <c r="F381" s="7" t="n">
        <v>1200</v>
      </c>
    </row>
    <row r="382">
      <c r="A382" s="5" t="inlineStr">
        <is>
          <t>Apoyo democracia</t>
        </is>
      </c>
      <c r="B382" s="5" t="inlineStr">
        <is>
          <t>Chile</t>
        </is>
      </c>
      <c r="C382" s="5" t="n">
        <v>2008</v>
      </c>
      <c r="D382" s="5" t="inlineStr">
        <is>
          <t>Democracia</t>
        </is>
      </c>
      <c r="E382" s="6" t="n">
        <v>0.507</v>
      </c>
      <c r="F382" s="7" t="n">
        <v>1200</v>
      </c>
    </row>
    <row r="383">
      <c r="A383" s="5" t="inlineStr">
        <is>
          <t>Apoyo democracia</t>
        </is>
      </c>
      <c r="B383" s="5" t="inlineStr">
        <is>
          <t>Chile</t>
        </is>
      </c>
      <c r="C383" s="5" t="n">
        <v>2008</v>
      </c>
      <c r="D383" s="5" t="inlineStr">
        <is>
          <t>Gobierno Autoritario</t>
        </is>
      </c>
      <c r="E383" s="6" t="n">
        <v>0.137</v>
      </c>
      <c r="F383" s="7" t="n">
        <v>1200</v>
      </c>
    </row>
    <row r="384">
      <c r="A384" s="5" t="inlineStr">
        <is>
          <t>Apoyo democracia</t>
        </is>
      </c>
      <c r="B384" s="5" t="inlineStr">
        <is>
          <t>Chile</t>
        </is>
      </c>
      <c r="C384" s="5" t="n">
        <v>2008</v>
      </c>
      <c r="D384" s="5" t="inlineStr">
        <is>
          <t>Da lo mismo</t>
        </is>
      </c>
      <c r="E384" s="6" t="n">
        <v>0.299</v>
      </c>
      <c r="F384" s="7" t="n">
        <v>1200</v>
      </c>
    </row>
    <row r="385">
      <c r="A385" s="5" t="inlineStr">
        <is>
          <t>Apoyo democracia</t>
        </is>
      </c>
      <c r="B385" s="5" t="inlineStr">
        <is>
          <t>Chile</t>
        </is>
      </c>
      <c r="C385" s="5" t="n">
        <v>2008</v>
      </c>
      <c r="D385" s="5" t="inlineStr">
        <is>
          <t>No sabe</t>
        </is>
      </c>
      <c r="E385" s="6" t="n">
        <v>0.053</v>
      </c>
      <c r="F385" s="7" t="n">
        <v>1200</v>
      </c>
    </row>
    <row r="386">
      <c r="A386" s="5" t="inlineStr">
        <is>
          <t>Apoyo democracia</t>
        </is>
      </c>
      <c r="B386" s="5" t="inlineStr">
        <is>
          <t>Chile</t>
        </is>
      </c>
      <c r="C386" s="5" t="n">
        <v>2008</v>
      </c>
      <c r="D386" s="5" t="inlineStr">
        <is>
          <t>No contesta</t>
        </is>
      </c>
      <c r="E386" s="6" t="n">
        <v>0.005</v>
      </c>
      <c r="F386" s="7" t="n">
        <v>1200</v>
      </c>
    </row>
    <row r="387">
      <c r="A387" s="5" t="inlineStr">
        <is>
          <t>Apoyo democracia</t>
        </is>
      </c>
      <c r="B387" s="5" t="inlineStr">
        <is>
          <t>Chile</t>
        </is>
      </c>
      <c r="C387" s="5" t="n">
        <v>2009</v>
      </c>
      <c r="D387" s="5" t="inlineStr">
        <is>
          <t>Democracia</t>
        </is>
      </c>
      <c r="E387" s="6" t="n">
        <v>0.589</v>
      </c>
      <c r="F387" s="7" t="n">
        <v>1200</v>
      </c>
    </row>
    <row r="388">
      <c r="A388" s="5" t="inlineStr">
        <is>
          <t>Apoyo democracia</t>
        </is>
      </c>
      <c r="B388" s="5" t="inlineStr">
        <is>
          <t>Chile</t>
        </is>
      </c>
      <c r="C388" s="5" t="n">
        <v>2009</v>
      </c>
      <c r="D388" s="5" t="inlineStr">
        <is>
          <t>Gobierno Autoritario</t>
        </is>
      </c>
      <c r="E388" s="6" t="n">
        <v>0.101</v>
      </c>
      <c r="F388" s="7" t="n">
        <v>1200</v>
      </c>
    </row>
    <row r="389">
      <c r="A389" s="5" t="inlineStr">
        <is>
          <t>Apoyo democracia</t>
        </is>
      </c>
      <c r="B389" s="5" t="inlineStr">
        <is>
          <t>Chile</t>
        </is>
      </c>
      <c r="C389" s="5" t="n">
        <v>2009</v>
      </c>
      <c r="D389" s="5" t="inlineStr">
        <is>
          <t>Da lo mismo</t>
        </is>
      </c>
      <c r="E389" s="6" t="n">
        <v>0.254</v>
      </c>
      <c r="F389" s="7" t="n">
        <v>1200</v>
      </c>
    </row>
    <row r="390">
      <c r="A390" s="5" t="inlineStr">
        <is>
          <t>Apoyo democracia</t>
        </is>
      </c>
      <c r="B390" s="5" t="inlineStr">
        <is>
          <t>Chile</t>
        </is>
      </c>
      <c r="C390" s="5" t="n">
        <v>2009</v>
      </c>
      <c r="D390" s="5" t="inlineStr">
        <is>
          <t>No sabe</t>
        </is>
      </c>
      <c r="E390" s="6" t="n">
        <v>0.046</v>
      </c>
      <c r="F390" s="7" t="n">
        <v>1200</v>
      </c>
    </row>
    <row r="391">
      <c r="A391" s="5" t="inlineStr">
        <is>
          <t>Apoyo democracia</t>
        </is>
      </c>
      <c r="B391" s="5" t="inlineStr">
        <is>
          <t>Chile</t>
        </is>
      </c>
      <c r="C391" s="5" t="n">
        <v>2009</v>
      </c>
      <c r="D391" s="5" t="inlineStr">
        <is>
          <t>No contesta</t>
        </is>
      </c>
      <c r="E391" s="6" t="n">
        <v>0.009000000000000001</v>
      </c>
      <c r="F391" s="7" t="n">
        <v>1200</v>
      </c>
    </row>
    <row r="392">
      <c r="A392" s="5" t="inlineStr">
        <is>
          <t>Apoyo democracia</t>
        </is>
      </c>
      <c r="B392" s="5" t="inlineStr">
        <is>
          <t>Chile</t>
        </is>
      </c>
      <c r="C392" s="5" t="n">
        <v>2010</v>
      </c>
      <c r="D392" s="5" t="inlineStr">
        <is>
          <t>Democracia</t>
        </is>
      </c>
      <c r="E392" s="6" t="n">
        <v>0.628</v>
      </c>
      <c r="F392" s="7" t="n">
        <v>1200</v>
      </c>
    </row>
    <row r="393">
      <c r="A393" s="5" t="inlineStr">
        <is>
          <t>Apoyo democracia</t>
        </is>
      </c>
      <c r="B393" s="5" t="inlineStr">
        <is>
          <t>Chile</t>
        </is>
      </c>
      <c r="C393" s="5" t="n">
        <v>2010</v>
      </c>
      <c r="D393" s="5" t="inlineStr">
        <is>
          <t>Gobierno Autoritario</t>
        </is>
      </c>
      <c r="E393" s="6" t="n">
        <v>0.111</v>
      </c>
      <c r="F393" s="7" t="n">
        <v>1200</v>
      </c>
    </row>
    <row r="394">
      <c r="A394" s="5" t="inlineStr">
        <is>
          <t>Apoyo democracia</t>
        </is>
      </c>
      <c r="B394" s="5" t="inlineStr">
        <is>
          <t>Chile</t>
        </is>
      </c>
      <c r="C394" s="5" t="n">
        <v>2010</v>
      </c>
      <c r="D394" s="5" t="inlineStr">
        <is>
          <t>Da lo mismo</t>
        </is>
      </c>
      <c r="E394" s="6" t="n">
        <v>0.223</v>
      </c>
      <c r="F394" s="7" t="n">
        <v>1200</v>
      </c>
    </row>
    <row r="395">
      <c r="A395" s="5" t="inlineStr">
        <is>
          <t>Apoyo democracia</t>
        </is>
      </c>
      <c r="B395" s="5" t="inlineStr">
        <is>
          <t>Chile</t>
        </is>
      </c>
      <c r="C395" s="5" t="n">
        <v>2010</v>
      </c>
      <c r="D395" s="5" t="inlineStr">
        <is>
          <t>No sabe</t>
        </is>
      </c>
      <c r="E395" s="6" t="n">
        <v>0.034</v>
      </c>
      <c r="F395" s="7" t="n">
        <v>1200</v>
      </c>
    </row>
    <row r="396">
      <c r="A396" s="5" t="inlineStr">
        <is>
          <t>Apoyo democracia</t>
        </is>
      </c>
      <c r="B396" s="5" t="inlineStr">
        <is>
          <t>Chile</t>
        </is>
      </c>
      <c r="C396" s="5" t="n">
        <v>2010</v>
      </c>
      <c r="D396" s="5" t="inlineStr">
        <is>
          <t>No contesta</t>
        </is>
      </c>
      <c r="E396" s="6" t="n">
        <v>0.005</v>
      </c>
      <c r="F396" s="7" t="n">
        <v>1200</v>
      </c>
    </row>
    <row r="397">
      <c r="A397" s="5" t="inlineStr">
        <is>
          <t>Apoyo democracia</t>
        </is>
      </c>
      <c r="B397" s="5" t="inlineStr">
        <is>
          <t>Chile</t>
        </is>
      </c>
      <c r="C397" s="5" t="n">
        <v>2011</v>
      </c>
      <c r="D397" s="5" t="inlineStr">
        <is>
          <t>Democracia</t>
        </is>
      </c>
      <c r="E397" s="6" t="n">
        <v>0.614</v>
      </c>
      <c r="F397" s="7" t="n">
        <v>1200</v>
      </c>
    </row>
    <row r="398">
      <c r="A398" s="5" t="inlineStr">
        <is>
          <t>Apoyo democracia</t>
        </is>
      </c>
      <c r="B398" s="5" t="inlineStr">
        <is>
          <t>Chile</t>
        </is>
      </c>
      <c r="C398" s="5" t="n">
        <v>2011</v>
      </c>
      <c r="D398" s="5" t="inlineStr">
        <is>
          <t>Gobierno Autoritario</t>
        </is>
      </c>
      <c r="E398" s="6" t="n">
        <v>0.141</v>
      </c>
      <c r="F398" s="7" t="n">
        <v>1200</v>
      </c>
    </row>
    <row r="399">
      <c r="A399" s="5" t="inlineStr">
        <is>
          <t>Apoyo democracia</t>
        </is>
      </c>
      <c r="B399" s="5" t="inlineStr">
        <is>
          <t>Chile</t>
        </is>
      </c>
      <c r="C399" s="5" t="n">
        <v>2011</v>
      </c>
      <c r="D399" s="5" t="inlineStr">
        <is>
          <t>Da lo mismo</t>
        </is>
      </c>
      <c r="E399" s="6" t="n">
        <v>0.216</v>
      </c>
      <c r="F399" s="7" t="n">
        <v>1200</v>
      </c>
    </row>
    <row r="400">
      <c r="A400" s="5" t="inlineStr">
        <is>
          <t>Apoyo democracia</t>
        </is>
      </c>
      <c r="B400" s="5" t="inlineStr">
        <is>
          <t>Chile</t>
        </is>
      </c>
      <c r="C400" s="5" t="n">
        <v>2011</v>
      </c>
      <c r="D400" s="5" t="inlineStr">
        <is>
          <t>No sabe</t>
        </is>
      </c>
      <c r="E400" s="6" t="n">
        <v>0.023</v>
      </c>
      <c r="F400" s="7" t="n">
        <v>1200</v>
      </c>
    </row>
    <row r="401">
      <c r="A401" s="5" t="inlineStr">
        <is>
          <t>Apoyo democracia</t>
        </is>
      </c>
      <c r="B401" s="5" t="inlineStr">
        <is>
          <t>Chile</t>
        </is>
      </c>
      <c r="C401" s="5" t="n">
        <v>2011</v>
      </c>
      <c r="D401" s="5" t="inlineStr">
        <is>
          <t>No contesta</t>
        </is>
      </c>
      <c r="E401" s="6" t="n">
        <v>0.005</v>
      </c>
      <c r="F401" s="7" t="n">
        <v>1200</v>
      </c>
    </row>
    <row r="402">
      <c r="A402" s="5" t="inlineStr">
        <is>
          <t>Apoyo democracia</t>
        </is>
      </c>
      <c r="B402" s="5" t="inlineStr">
        <is>
          <t>Chile</t>
        </is>
      </c>
      <c r="C402" s="5" t="n">
        <v>2016</v>
      </c>
      <c r="D402" s="5" t="inlineStr">
        <is>
          <t>Democracia</t>
        </is>
      </c>
      <c r="E402" s="6" t="n">
        <v>0.53</v>
      </c>
      <c r="F402" s="7" t="n">
        <v>1200</v>
      </c>
    </row>
    <row r="403">
      <c r="A403" s="5" t="inlineStr">
        <is>
          <t>Apoyo democracia</t>
        </is>
      </c>
      <c r="B403" s="5" t="inlineStr">
        <is>
          <t>Chile</t>
        </is>
      </c>
      <c r="C403" s="5" t="n">
        <v>2016</v>
      </c>
      <c r="D403" s="5" t="inlineStr">
        <is>
          <t>Gobierno Autoritario</t>
        </is>
      </c>
      <c r="E403" s="6" t="n">
        <v>0.183</v>
      </c>
      <c r="F403" s="7" t="n">
        <v>1200</v>
      </c>
    </row>
    <row r="404">
      <c r="A404" s="5" t="inlineStr">
        <is>
          <t>Apoyo democracia</t>
        </is>
      </c>
      <c r="B404" s="5" t="inlineStr">
        <is>
          <t>Chile</t>
        </is>
      </c>
      <c r="C404" s="5" t="n">
        <v>2016</v>
      </c>
      <c r="D404" s="5" t="inlineStr">
        <is>
          <t>Da lo mismo</t>
        </is>
      </c>
      <c r="E404" s="6" t="n">
        <v>0.252</v>
      </c>
      <c r="F404" s="7" t="n">
        <v>1200</v>
      </c>
    </row>
    <row r="405">
      <c r="A405" s="5" t="inlineStr">
        <is>
          <t>Apoyo democracia</t>
        </is>
      </c>
      <c r="B405" s="5" t="inlineStr">
        <is>
          <t>Chile</t>
        </is>
      </c>
      <c r="C405" s="5" t="n">
        <v>2016</v>
      </c>
      <c r="D405" s="5" t="inlineStr">
        <is>
          <t>No sabe</t>
        </is>
      </c>
      <c r="E405" s="6" t="n">
        <v>0.023</v>
      </c>
      <c r="F405" s="7" t="n">
        <v>1200</v>
      </c>
    </row>
    <row r="406">
      <c r="A406" s="5" t="inlineStr">
        <is>
          <t>Apoyo democracia</t>
        </is>
      </c>
      <c r="B406" s="5" t="inlineStr">
        <is>
          <t>Chile</t>
        </is>
      </c>
      <c r="C406" s="5" t="n">
        <v>2016</v>
      </c>
      <c r="D406" s="5" t="inlineStr">
        <is>
          <t>No contesta</t>
        </is>
      </c>
      <c r="E406" s="6" t="n">
        <v>0.012</v>
      </c>
      <c r="F406" s="7" t="n">
        <v>1200</v>
      </c>
    </row>
    <row r="407">
      <c r="A407" s="5" t="inlineStr">
        <is>
          <t>Apoyo democracia</t>
        </is>
      </c>
      <c r="B407" s="5" t="inlineStr">
        <is>
          <t>Chile</t>
        </is>
      </c>
      <c r="C407" s="5" t="n">
        <v>2017</v>
      </c>
      <c r="D407" s="5" t="inlineStr">
        <is>
          <t>Democracia</t>
        </is>
      </c>
      <c r="E407" s="6" t="n">
        <v>0.5479999999999999</v>
      </c>
      <c r="F407" s="7" t="n">
        <v>1201</v>
      </c>
    </row>
    <row r="408">
      <c r="A408" s="5" t="inlineStr">
        <is>
          <t>Apoyo democracia</t>
        </is>
      </c>
      <c r="B408" s="5" t="inlineStr">
        <is>
          <t>Chile</t>
        </is>
      </c>
      <c r="C408" s="5" t="n">
        <v>2017</v>
      </c>
      <c r="D408" s="5" t="inlineStr">
        <is>
          <t>Gobierno Autoritario</t>
        </is>
      </c>
      <c r="E408" s="6" t="n">
        <v>0.16</v>
      </c>
      <c r="F408" s="7" t="n">
        <v>1201</v>
      </c>
    </row>
    <row r="409">
      <c r="A409" s="5" t="inlineStr">
        <is>
          <t>Apoyo democracia</t>
        </is>
      </c>
      <c r="B409" s="5" t="inlineStr">
        <is>
          <t>Chile</t>
        </is>
      </c>
      <c r="C409" s="5" t="n">
        <v>2017</v>
      </c>
      <c r="D409" s="5" t="inlineStr">
        <is>
          <t>Da lo mismo</t>
        </is>
      </c>
      <c r="E409" s="6" t="n">
        <v>0.211</v>
      </c>
      <c r="F409" s="7" t="n">
        <v>1201</v>
      </c>
    </row>
    <row r="410">
      <c r="A410" s="5" t="inlineStr">
        <is>
          <t>Apoyo democracia</t>
        </is>
      </c>
      <c r="B410" s="5" t="inlineStr">
        <is>
          <t>Chile</t>
        </is>
      </c>
      <c r="C410" s="5" t="n">
        <v>2017</v>
      </c>
      <c r="D410" s="5" t="inlineStr">
        <is>
          <t>No sabe</t>
        </is>
      </c>
      <c r="E410" s="6" t="n">
        <v>0.078</v>
      </c>
      <c r="F410" s="7" t="n">
        <v>1201</v>
      </c>
    </row>
    <row r="411">
      <c r="A411" s="5" t="inlineStr">
        <is>
          <t>Apoyo democracia</t>
        </is>
      </c>
      <c r="B411" s="5" t="inlineStr">
        <is>
          <t>Chile</t>
        </is>
      </c>
      <c r="C411" s="5" t="n">
        <v>2017</v>
      </c>
      <c r="D411" s="5" t="inlineStr">
        <is>
          <t>No contesta</t>
        </is>
      </c>
      <c r="E411" s="6" t="n">
        <v>0.004</v>
      </c>
      <c r="F411" s="7" t="n">
        <v>1201</v>
      </c>
    </row>
    <row r="412">
      <c r="A412" s="5" t="inlineStr">
        <is>
          <t>Apoyo democracia</t>
        </is>
      </c>
      <c r="B412" s="5" t="inlineStr">
        <is>
          <t>Chile</t>
        </is>
      </c>
      <c r="C412" s="5" t="n">
        <v>2018</v>
      </c>
      <c r="D412" s="5" t="inlineStr">
        <is>
          <t>Democracia</t>
        </is>
      </c>
      <c r="E412" s="6" t="n">
        <v>0.585</v>
      </c>
      <c r="F412" s="7" t="n">
        <v>1200</v>
      </c>
    </row>
    <row r="413">
      <c r="A413" s="5" t="inlineStr">
        <is>
          <t>Apoyo democracia</t>
        </is>
      </c>
      <c r="B413" s="5" t="inlineStr">
        <is>
          <t>Chile</t>
        </is>
      </c>
      <c r="C413" s="5" t="n">
        <v>2018</v>
      </c>
      <c r="D413" s="5" t="inlineStr">
        <is>
          <t>Gobierno Autoritario</t>
        </is>
      </c>
      <c r="E413" s="6" t="n">
        <v>0.225</v>
      </c>
      <c r="F413" s="7" t="n">
        <v>1200</v>
      </c>
    </row>
    <row r="414">
      <c r="A414" s="5" t="inlineStr">
        <is>
          <t>Apoyo democracia</t>
        </is>
      </c>
      <c r="B414" s="5" t="inlineStr">
        <is>
          <t>Chile</t>
        </is>
      </c>
      <c r="C414" s="5" t="n">
        <v>2018</v>
      </c>
      <c r="D414" s="5" t="inlineStr">
        <is>
          <t>Da lo mismo</t>
        </is>
      </c>
      <c r="E414" s="6" t="n">
        <v>0.15</v>
      </c>
      <c r="F414" s="7" t="n">
        <v>1200</v>
      </c>
    </row>
    <row r="415">
      <c r="A415" s="5" t="inlineStr">
        <is>
          <t>Apoyo democracia</t>
        </is>
      </c>
      <c r="B415" s="5" t="inlineStr">
        <is>
          <t>Chile</t>
        </is>
      </c>
      <c r="C415" s="5" t="n">
        <v>2018</v>
      </c>
      <c r="D415" s="5" t="inlineStr">
        <is>
          <t>No sabe</t>
        </is>
      </c>
      <c r="E415" s="6" t="n">
        <v>0.019</v>
      </c>
      <c r="F415" s="7" t="n">
        <v>1200</v>
      </c>
    </row>
    <row r="416">
      <c r="A416" s="5" t="inlineStr">
        <is>
          <t>Apoyo democracia</t>
        </is>
      </c>
      <c r="B416" s="5" t="inlineStr">
        <is>
          <t>Chile</t>
        </is>
      </c>
      <c r="C416" s="5" t="n">
        <v>2018</v>
      </c>
      <c r="D416" s="5" t="inlineStr">
        <is>
          <t>No contesta</t>
        </is>
      </c>
      <c r="E416" s="6" t="n">
        <v>0.021</v>
      </c>
      <c r="F416" s="7" t="n">
        <v>1200</v>
      </c>
    </row>
    <row r="417">
      <c r="A417" s="5" t="inlineStr">
        <is>
          <t>Apoyo democracia</t>
        </is>
      </c>
      <c r="B417" s="5" t="inlineStr">
        <is>
          <t>Chile</t>
        </is>
      </c>
      <c r="C417" s="5" t="n">
        <v>2020</v>
      </c>
      <c r="D417" s="5" t="inlineStr">
        <is>
          <t>Democracia</t>
        </is>
      </c>
      <c r="E417" s="6" t="n">
        <v>0.604</v>
      </c>
      <c r="F417" s="7" t="n">
        <v>1200</v>
      </c>
    </row>
    <row r="418">
      <c r="A418" s="5" t="inlineStr">
        <is>
          <t>Apoyo democracia</t>
        </is>
      </c>
      <c r="B418" s="5" t="inlineStr">
        <is>
          <t>Chile</t>
        </is>
      </c>
      <c r="C418" s="5" t="n">
        <v>2020</v>
      </c>
      <c r="D418" s="5" t="inlineStr">
        <is>
          <t>Gobierno Autoritario</t>
        </is>
      </c>
      <c r="E418" s="6" t="n">
        <v>0.121</v>
      </c>
      <c r="F418" s="7" t="n">
        <v>1200</v>
      </c>
    </row>
    <row r="419">
      <c r="A419" s="5" t="inlineStr">
        <is>
          <t>Apoyo democracia</t>
        </is>
      </c>
      <c r="B419" s="5" t="inlineStr">
        <is>
          <t>Chile</t>
        </is>
      </c>
      <c r="C419" s="5" t="n">
        <v>2020</v>
      </c>
      <c r="D419" s="5" t="inlineStr">
        <is>
          <t>Da lo mismo</t>
        </is>
      </c>
      <c r="E419" s="6" t="n">
        <v>0.211</v>
      </c>
      <c r="F419" s="7" t="n">
        <v>1200</v>
      </c>
    </row>
    <row r="420">
      <c r="A420" s="5" t="inlineStr">
        <is>
          <t>Apoyo democracia</t>
        </is>
      </c>
      <c r="B420" s="5" t="inlineStr">
        <is>
          <t>Chile</t>
        </is>
      </c>
      <c r="C420" s="5" t="n">
        <v>2020</v>
      </c>
      <c r="D420" s="5" t="inlineStr">
        <is>
          <t>No sabe</t>
        </is>
      </c>
      <c r="E420" s="6" t="n">
        <v>0.053</v>
      </c>
      <c r="F420" s="7" t="n">
        <v>1200</v>
      </c>
    </row>
    <row r="421">
      <c r="A421" s="5" t="inlineStr">
        <is>
          <t>Apoyo democracia</t>
        </is>
      </c>
      <c r="B421" s="5" t="inlineStr">
        <is>
          <t>Chile</t>
        </is>
      </c>
      <c r="C421" s="5" t="n">
        <v>2020</v>
      </c>
      <c r="D421" s="5" t="inlineStr">
        <is>
          <t>No contesta</t>
        </is>
      </c>
      <c r="E421" s="6" t="n">
        <v>0.01</v>
      </c>
      <c r="F421" s="7" t="n">
        <v>1200</v>
      </c>
    </row>
    <row r="422">
      <c r="A422" s="5" t="inlineStr">
        <is>
          <t>Apoyo democracia</t>
        </is>
      </c>
      <c r="B422" s="5" t="inlineStr">
        <is>
          <t>Chile</t>
        </is>
      </c>
      <c r="C422" s="5" t="n">
        <v>2024</v>
      </c>
      <c r="D422" s="5" t="inlineStr">
        <is>
          <t>Democracia</t>
        </is>
      </c>
      <c r="E422" s="6" t="n">
        <v>0.605</v>
      </c>
      <c r="F422" s="7" t="n">
        <v>1200</v>
      </c>
    </row>
    <row r="423">
      <c r="A423" s="5" t="inlineStr">
        <is>
          <t>Apoyo democracia</t>
        </is>
      </c>
      <c r="B423" s="5" t="inlineStr">
        <is>
          <t>Chile</t>
        </is>
      </c>
      <c r="C423" s="5" t="n">
        <v>2024</v>
      </c>
      <c r="D423" s="5" t="inlineStr">
        <is>
          <t>Gobierno Autoritario</t>
        </is>
      </c>
      <c r="E423" s="6" t="n">
        <v>0.135</v>
      </c>
      <c r="F423" s="7" t="n">
        <v>1200</v>
      </c>
    </row>
    <row r="424">
      <c r="A424" s="5" t="inlineStr">
        <is>
          <t>Apoyo democracia</t>
        </is>
      </c>
      <c r="B424" s="5" t="inlineStr">
        <is>
          <t>Chile</t>
        </is>
      </c>
      <c r="C424" s="5" t="n">
        <v>2024</v>
      </c>
      <c r="D424" s="5" t="inlineStr">
        <is>
          <t>Da lo mismo</t>
        </is>
      </c>
      <c r="E424" s="6" t="n">
        <v>0.224</v>
      </c>
      <c r="F424" s="7" t="n">
        <v>1200</v>
      </c>
    </row>
    <row r="425">
      <c r="A425" s="5" t="inlineStr">
        <is>
          <t>Apoyo democracia</t>
        </is>
      </c>
      <c r="B425" s="5" t="inlineStr">
        <is>
          <t>Chile</t>
        </is>
      </c>
      <c r="C425" s="5" t="n">
        <v>2024</v>
      </c>
      <c r="D425" s="5" t="inlineStr">
        <is>
          <t>No sabe</t>
        </is>
      </c>
      <c r="E425" s="6" t="n">
        <v>0.035</v>
      </c>
      <c r="F425" s="7" t="n">
        <v>1200</v>
      </c>
    </row>
    <row r="426">
      <c r="A426" s="5" t="inlineStr">
        <is>
          <t>Apoyo democracia</t>
        </is>
      </c>
      <c r="B426" s="5" t="inlineStr">
        <is>
          <t>Chile</t>
        </is>
      </c>
      <c r="C426" s="5" t="n">
        <v>2024</v>
      </c>
      <c r="D426" s="5" t="inlineStr">
        <is>
          <t>No contesta</t>
        </is>
      </c>
      <c r="E426" s="6" t="n">
        <v>0.001</v>
      </c>
      <c r="F426" s="7" t="n">
        <v>1200</v>
      </c>
    </row>
    <row r="427">
      <c r="A427" s="5" t="inlineStr">
        <is>
          <t>Apoyo democracia</t>
        </is>
      </c>
      <c r="B427" s="5" t="inlineStr">
        <is>
          <t>Colombia</t>
        </is>
      </c>
      <c r="C427" s="5" t="n">
        <v>1996</v>
      </c>
      <c r="D427" s="5" t="inlineStr">
        <is>
          <t>Democracia</t>
        </is>
      </c>
      <c r="E427" s="6" t="n">
        <v>0.6</v>
      </c>
      <c r="F427" s="7" t="n">
        <v>1202</v>
      </c>
    </row>
    <row r="428">
      <c r="A428" s="5" t="inlineStr">
        <is>
          <t>Apoyo democracia</t>
        </is>
      </c>
      <c r="B428" s="5" t="inlineStr">
        <is>
          <t>Colombia</t>
        </is>
      </c>
      <c r="C428" s="5" t="n">
        <v>1996</v>
      </c>
      <c r="D428" s="5" t="inlineStr">
        <is>
          <t>Gobierno Autoritario</t>
        </is>
      </c>
      <c r="E428" s="6" t="n">
        <v>0.204</v>
      </c>
      <c r="F428" s="7" t="n">
        <v>1202</v>
      </c>
    </row>
    <row r="429">
      <c r="A429" s="5" t="inlineStr">
        <is>
          <t>Apoyo democracia</t>
        </is>
      </c>
      <c r="B429" s="5" t="inlineStr">
        <is>
          <t>Colombia</t>
        </is>
      </c>
      <c r="C429" s="5" t="n">
        <v>1996</v>
      </c>
      <c r="D429" s="5" t="inlineStr">
        <is>
          <t>Da lo mismo</t>
        </is>
      </c>
      <c r="E429" s="6" t="n">
        <v>0.179</v>
      </c>
      <c r="F429" s="7" t="n">
        <v>1202</v>
      </c>
    </row>
    <row r="430">
      <c r="A430" s="5" t="inlineStr">
        <is>
          <t>Apoyo democracia</t>
        </is>
      </c>
      <c r="B430" s="5" t="inlineStr">
        <is>
          <t>Colombia</t>
        </is>
      </c>
      <c r="C430" s="5" t="n">
        <v>1996</v>
      </c>
      <c r="D430" s="5" t="inlineStr">
        <is>
          <t>No sabe</t>
        </is>
      </c>
      <c r="E430" s="6" t="n">
        <v>0.011</v>
      </c>
      <c r="F430" s="7" t="n">
        <v>1202</v>
      </c>
    </row>
    <row r="431">
      <c r="A431" s="5" t="inlineStr">
        <is>
          <t>Apoyo democracia</t>
        </is>
      </c>
      <c r="B431" s="5" t="inlineStr">
        <is>
          <t>Colombia</t>
        </is>
      </c>
      <c r="C431" s="5" t="n">
        <v>1996</v>
      </c>
      <c r="D431" s="5" t="inlineStr">
        <is>
          <t>No contesta</t>
        </is>
      </c>
      <c r="E431" s="6" t="n">
        <v>0.006999999999999999</v>
      </c>
      <c r="F431" s="7" t="n">
        <v>1202</v>
      </c>
    </row>
    <row r="432">
      <c r="A432" s="5" t="inlineStr">
        <is>
          <t>Apoyo democracia</t>
        </is>
      </c>
      <c r="B432" s="5" t="inlineStr">
        <is>
          <t>Colombia</t>
        </is>
      </c>
      <c r="C432" s="5" t="n">
        <v>1997</v>
      </c>
      <c r="D432" s="5" t="inlineStr">
        <is>
          <t>Democracia</t>
        </is>
      </c>
      <c r="E432" s="6" t="n">
        <v>0.6870000000000001</v>
      </c>
      <c r="F432" s="7" t="n">
        <v>1200</v>
      </c>
    </row>
    <row r="433">
      <c r="A433" s="5" t="inlineStr">
        <is>
          <t>Apoyo democracia</t>
        </is>
      </c>
      <c r="B433" s="5" t="inlineStr">
        <is>
          <t>Colombia</t>
        </is>
      </c>
      <c r="C433" s="5" t="n">
        <v>1997</v>
      </c>
      <c r="D433" s="5" t="inlineStr">
        <is>
          <t>Gobierno Autoritario</t>
        </is>
      </c>
      <c r="E433" s="6" t="n">
        <v>0.128</v>
      </c>
      <c r="F433" s="7" t="n">
        <v>1200</v>
      </c>
    </row>
    <row r="434">
      <c r="A434" s="5" t="inlineStr">
        <is>
          <t>Apoyo democracia</t>
        </is>
      </c>
      <c r="B434" s="5" t="inlineStr">
        <is>
          <t>Colombia</t>
        </is>
      </c>
      <c r="C434" s="5" t="n">
        <v>1997</v>
      </c>
      <c r="D434" s="5" t="inlineStr">
        <is>
          <t>Da lo mismo</t>
        </is>
      </c>
      <c r="E434" s="6" t="n">
        <v>0.152</v>
      </c>
      <c r="F434" s="7" t="n">
        <v>1200</v>
      </c>
    </row>
    <row r="435">
      <c r="A435" s="5" t="inlineStr">
        <is>
          <t>Apoyo democracia</t>
        </is>
      </c>
      <c r="B435" s="5" t="inlineStr">
        <is>
          <t>Colombia</t>
        </is>
      </c>
      <c r="C435" s="5" t="n">
        <v>1997</v>
      </c>
      <c r="D435" s="5" t="inlineStr">
        <is>
          <t>No sabe</t>
        </is>
      </c>
      <c r="E435" s="6" t="n">
        <v>0.027</v>
      </c>
      <c r="F435" s="7" t="n">
        <v>1200</v>
      </c>
    </row>
    <row r="436">
      <c r="A436" s="5" t="inlineStr">
        <is>
          <t>Apoyo democracia</t>
        </is>
      </c>
      <c r="B436" s="5" t="inlineStr">
        <is>
          <t>Colombia</t>
        </is>
      </c>
      <c r="C436" s="5" t="n">
        <v>1997</v>
      </c>
      <c r="D436" s="5" t="inlineStr">
        <is>
          <t>No contesta</t>
        </is>
      </c>
      <c r="E436" s="6" t="n">
        <v>0.005</v>
      </c>
      <c r="F436" s="7" t="n">
        <v>1200</v>
      </c>
    </row>
    <row r="437">
      <c r="A437" s="5" t="inlineStr">
        <is>
          <t>Apoyo democracia</t>
        </is>
      </c>
      <c r="B437" s="5" t="inlineStr">
        <is>
          <t>Colombia</t>
        </is>
      </c>
      <c r="C437" s="5" t="n">
        <v>1998</v>
      </c>
      <c r="D437" s="5" t="inlineStr">
        <is>
          <t>Democracia</t>
        </is>
      </c>
      <c r="E437" s="6" t="n">
        <v>0.5479999999999999</v>
      </c>
      <c r="F437" s="7" t="n">
        <v>1200</v>
      </c>
    </row>
    <row r="438">
      <c r="A438" s="5" t="inlineStr">
        <is>
          <t>Apoyo democracia</t>
        </is>
      </c>
      <c r="B438" s="5" t="inlineStr">
        <is>
          <t>Colombia</t>
        </is>
      </c>
      <c r="C438" s="5" t="n">
        <v>1998</v>
      </c>
      <c r="D438" s="5" t="inlineStr">
        <is>
          <t>Gobierno Autoritario</t>
        </is>
      </c>
      <c r="E438" s="6" t="n">
        <v>0.168</v>
      </c>
      <c r="F438" s="7" t="n">
        <v>1200</v>
      </c>
    </row>
    <row r="439">
      <c r="A439" s="5" t="inlineStr">
        <is>
          <t>Apoyo democracia</t>
        </is>
      </c>
      <c r="B439" s="5" t="inlineStr">
        <is>
          <t>Colombia</t>
        </is>
      </c>
      <c r="C439" s="5" t="n">
        <v>1998</v>
      </c>
      <c r="D439" s="5" t="inlineStr">
        <is>
          <t>Da lo mismo</t>
        </is>
      </c>
      <c r="E439" s="6" t="n">
        <v>0.203</v>
      </c>
      <c r="F439" s="7" t="n">
        <v>1200</v>
      </c>
    </row>
    <row r="440">
      <c r="A440" s="5" t="inlineStr">
        <is>
          <t>Apoyo democracia</t>
        </is>
      </c>
      <c r="B440" s="5" t="inlineStr">
        <is>
          <t>Colombia</t>
        </is>
      </c>
      <c r="C440" s="5" t="n">
        <v>1998</v>
      </c>
      <c r="D440" s="5" t="inlineStr">
        <is>
          <t>No sabe</t>
        </is>
      </c>
      <c r="E440" s="6" t="n">
        <v>0.068</v>
      </c>
      <c r="F440" s="7" t="n">
        <v>1200</v>
      </c>
    </row>
    <row r="441">
      <c r="A441" s="5" t="inlineStr">
        <is>
          <t>Apoyo democracia</t>
        </is>
      </c>
      <c r="B441" s="5" t="inlineStr">
        <is>
          <t>Colombia</t>
        </is>
      </c>
      <c r="C441" s="5" t="n">
        <v>1998</v>
      </c>
      <c r="D441" s="5" t="inlineStr">
        <is>
          <t>No contesta</t>
        </is>
      </c>
      <c r="E441" s="6" t="n">
        <v>0.013</v>
      </c>
      <c r="F441" s="7" t="n">
        <v>1200</v>
      </c>
    </row>
    <row r="442">
      <c r="A442" s="5" t="inlineStr">
        <is>
          <t>Apoyo democracia</t>
        </is>
      </c>
      <c r="B442" s="5" t="inlineStr">
        <is>
          <t>Colombia</t>
        </is>
      </c>
      <c r="C442" s="5" t="n">
        <v>2000</v>
      </c>
      <c r="D442" s="5" t="inlineStr">
        <is>
          <t>Democracia</t>
        </is>
      </c>
      <c r="E442" s="6" t="n">
        <v>0.5</v>
      </c>
      <c r="F442" s="7" t="n">
        <v>1200</v>
      </c>
    </row>
    <row r="443">
      <c r="A443" s="5" t="inlineStr">
        <is>
          <t>Apoyo democracia</t>
        </is>
      </c>
      <c r="B443" s="5" t="inlineStr">
        <is>
          <t>Colombia</t>
        </is>
      </c>
      <c r="C443" s="5" t="n">
        <v>2000</v>
      </c>
      <c r="D443" s="5" t="inlineStr">
        <is>
          <t>Gobierno Autoritario</t>
        </is>
      </c>
      <c r="E443" s="6" t="n">
        <v>0.234</v>
      </c>
      <c r="F443" s="7" t="n">
        <v>1200</v>
      </c>
    </row>
    <row r="444">
      <c r="A444" s="5" t="inlineStr">
        <is>
          <t>Apoyo democracia</t>
        </is>
      </c>
      <c r="B444" s="5" t="inlineStr">
        <is>
          <t>Colombia</t>
        </is>
      </c>
      <c r="C444" s="5" t="n">
        <v>2000</v>
      </c>
      <c r="D444" s="5" t="inlineStr">
        <is>
          <t>Da lo mismo</t>
        </is>
      </c>
      <c r="E444" s="6" t="n">
        <v>0.193</v>
      </c>
      <c r="F444" s="7" t="n">
        <v>1200</v>
      </c>
    </row>
    <row r="445">
      <c r="A445" s="5" t="inlineStr">
        <is>
          <t>Apoyo democracia</t>
        </is>
      </c>
      <c r="B445" s="5" t="inlineStr">
        <is>
          <t>Colombia</t>
        </is>
      </c>
      <c r="C445" s="5" t="n">
        <v>2000</v>
      </c>
      <c r="D445" s="5" t="inlineStr">
        <is>
          <t>No sabe</t>
        </is>
      </c>
      <c r="E445" s="6" t="n">
        <v>0.058</v>
      </c>
      <c r="F445" s="7" t="n">
        <v>1200</v>
      </c>
    </row>
    <row r="446">
      <c r="A446" s="5" t="inlineStr">
        <is>
          <t>Apoyo democracia</t>
        </is>
      </c>
      <c r="B446" s="5" t="inlineStr">
        <is>
          <t>Colombia</t>
        </is>
      </c>
      <c r="C446" s="5" t="n">
        <v>2000</v>
      </c>
      <c r="D446" s="5" t="inlineStr">
        <is>
          <t>No contesta</t>
        </is>
      </c>
      <c r="E446" s="6" t="n">
        <v>0.015</v>
      </c>
      <c r="F446" s="7" t="n">
        <v>1200</v>
      </c>
    </row>
    <row r="447">
      <c r="A447" s="5" t="inlineStr">
        <is>
          <t>Apoyo democracia</t>
        </is>
      </c>
      <c r="B447" s="5" t="inlineStr">
        <is>
          <t>Colombia</t>
        </is>
      </c>
      <c r="C447" s="5" t="n">
        <v>2001</v>
      </c>
      <c r="D447" s="5" t="inlineStr">
        <is>
          <t>Democracia</t>
        </is>
      </c>
      <c r="E447" s="6" t="n">
        <v>0.36</v>
      </c>
      <c r="F447" s="7" t="n">
        <v>1199</v>
      </c>
    </row>
    <row r="448">
      <c r="A448" s="5" t="inlineStr">
        <is>
          <t>Apoyo democracia</t>
        </is>
      </c>
      <c r="B448" s="5" t="inlineStr">
        <is>
          <t>Colombia</t>
        </is>
      </c>
      <c r="C448" s="5" t="n">
        <v>2001</v>
      </c>
      <c r="D448" s="5" t="inlineStr">
        <is>
          <t>Gobierno Autoritario</t>
        </is>
      </c>
      <c r="E448" s="6" t="n">
        <v>0.159</v>
      </c>
      <c r="F448" s="7" t="n">
        <v>1199</v>
      </c>
    </row>
    <row r="449">
      <c r="A449" s="5" t="inlineStr">
        <is>
          <t>Apoyo democracia</t>
        </is>
      </c>
      <c r="B449" s="5" t="inlineStr">
        <is>
          <t>Colombia</t>
        </is>
      </c>
      <c r="C449" s="5" t="n">
        <v>2001</v>
      </c>
      <c r="D449" s="5" t="inlineStr">
        <is>
          <t>Da lo mismo</t>
        </is>
      </c>
      <c r="E449" s="6" t="n">
        <v>0.222</v>
      </c>
      <c r="F449" s="7" t="n">
        <v>1199</v>
      </c>
    </row>
    <row r="450">
      <c r="A450" s="5" t="inlineStr">
        <is>
          <t>Apoyo democracia</t>
        </is>
      </c>
      <c r="B450" s="5" t="inlineStr">
        <is>
          <t>Colombia</t>
        </is>
      </c>
      <c r="C450" s="5" t="n">
        <v>2001</v>
      </c>
      <c r="D450" s="5" t="inlineStr">
        <is>
          <t>No sabe</t>
        </is>
      </c>
      <c r="E450" s="6" t="n">
        <v>0.241</v>
      </c>
      <c r="F450" s="7" t="n">
        <v>1199</v>
      </c>
    </row>
    <row r="451">
      <c r="A451" s="5" t="inlineStr">
        <is>
          <t>Apoyo democracia</t>
        </is>
      </c>
      <c r="B451" s="5" t="inlineStr">
        <is>
          <t>Colombia</t>
        </is>
      </c>
      <c r="C451" s="5" t="n">
        <v>2001</v>
      </c>
      <c r="D451" s="5" t="inlineStr">
        <is>
          <t>No contesta</t>
        </is>
      </c>
      <c r="E451" s="6" t="n">
        <v>0.018</v>
      </c>
      <c r="F451" s="7" t="n">
        <v>1199</v>
      </c>
    </row>
    <row r="452">
      <c r="A452" s="5" t="inlineStr">
        <is>
          <t>Apoyo democracia</t>
        </is>
      </c>
      <c r="B452" s="5" t="inlineStr">
        <is>
          <t>Colombia</t>
        </is>
      </c>
      <c r="C452" s="5" t="n">
        <v>2002</v>
      </c>
      <c r="D452" s="5" t="inlineStr">
        <is>
          <t>Democracia</t>
        </is>
      </c>
      <c r="E452" s="6" t="n">
        <v>0.387</v>
      </c>
      <c r="F452" s="7" t="n">
        <v>1200</v>
      </c>
    </row>
    <row r="453">
      <c r="A453" s="5" t="inlineStr">
        <is>
          <t>Apoyo democracia</t>
        </is>
      </c>
      <c r="B453" s="5" t="inlineStr">
        <is>
          <t>Colombia</t>
        </is>
      </c>
      <c r="C453" s="5" t="n">
        <v>2002</v>
      </c>
      <c r="D453" s="5" t="inlineStr">
        <is>
          <t>Gobierno Autoritario</t>
        </is>
      </c>
      <c r="E453" s="6" t="n">
        <v>0.107</v>
      </c>
      <c r="F453" s="7" t="n">
        <v>1200</v>
      </c>
    </row>
    <row r="454">
      <c r="A454" s="5" t="inlineStr">
        <is>
          <t>Apoyo democracia</t>
        </is>
      </c>
      <c r="B454" s="5" t="inlineStr">
        <is>
          <t>Colombia</t>
        </is>
      </c>
      <c r="C454" s="5" t="n">
        <v>2002</v>
      </c>
      <c r="D454" s="5" t="inlineStr">
        <is>
          <t>Da lo mismo</t>
        </is>
      </c>
      <c r="E454" s="6" t="n">
        <v>0.246</v>
      </c>
      <c r="F454" s="7" t="n">
        <v>1200</v>
      </c>
    </row>
    <row r="455">
      <c r="A455" s="5" t="inlineStr">
        <is>
          <t>Apoyo democracia</t>
        </is>
      </c>
      <c r="B455" s="5" t="inlineStr">
        <is>
          <t>Colombia</t>
        </is>
      </c>
      <c r="C455" s="5" t="n">
        <v>2002</v>
      </c>
      <c r="D455" s="5" t="inlineStr">
        <is>
          <t>No sabe</t>
        </is>
      </c>
      <c r="E455" s="6" t="n">
        <v>0.224</v>
      </c>
      <c r="F455" s="7" t="n">
        <v>1200</v>
      </c>
    </row>
    <row r="456">
      <c r="A456" s="5" t="inlineStr">
        <is>
          <t>Apoyo democracia</t>
        </is>
      </c>
      <c r="B456" s="5" t="inlineStr">
        <is>
          <t>Colombia</t>
        </is>
      </c>
      <c r="C456" s="5" t="n">
        <v>2002</v>
      </c>
      <c r="D456" s="5" t="inlineStr">
        <is>
          <t>No contesta</t>
        </is>
      </c>
      <c r="E456" s="6" t="n">
        <v>0.036</v>
      </c>
      <c r="F456" s="7" t="n">
        <v>1200</v>
      </c>
    </row>
    <row r="457">
      <c r="A457" s="5" t="inlineStr">
        <is>
          <t>Apoyo democracia</t>
        </is>
      </c>
      <c r="B457" s="5" t="inlineStr">
        <is>
          <t>Colombia</t>
        </is>
      </c>
      <c r="C457" s="5" t="n">
        <v>2003</v>
      </c>
      <c r="D457" s="5" t="inlineStr">
        <is>
          <t>Democracia</t>
        </is>
      </c>
      <c r="E457" s="6" t="n">
        <v>0.456</v>
      </c>
      <c r="F457" s="7" t="n">
        <v>1200</v>
      </c>
    </row>
    <row r="458">
      <c r="A458" s="5" t="inlineStr">
        <is>
          <t>Apoyo democracia</t>
        </is>
      </c>
      <c r="B458" s="5" t="inlineStr">
        <is>
          <t>Colombia</t>
        </is>
      </c>
      <c r="C458" s="5" t="n">
        <v>2003</v>
      </c>
      <c r="D458" s="5" t="inlineStr">
        <is>
          <t>Gobierno Autoritario</t>
        </is>
      </c>
      <c r="E458" s="6" t="n">
        <v>0.137</v>
      </c>
      <c r="F458" s="7" t="n">
        <v>1200</v>
      </c>
    </row>
    <row r="459">
      <c r="A459" s="5" t="inlineStr">
        <is>
          <t>Apoyo democracia</t>
        </is>
      </c>
      <c r="B459" s="5" t="inlineStr">
        <is>
          <t>Colombia</t>
        </is>
      </c>
      <c r="C459" s="5" t="n">
        <v>2003</v>
      </c>
      <c r="D459" s="5" t="inlineStr">
        <is>
          <t>Da lo mismo</t>
        </is>
      </c>
      <c r="E459" s="6" t="n">
        <v>0.233</v>
      </c>
      <c r="F459" s="7" t="n">
        <v>1200</v>
      </c>
    </row>
    <row r="460">
      <c r="A460" s="5" t="inlineStr">
        <is>
          <t>Apoyo democracia</t>
        </is>
      </c>
      <c r="B460" s="5" t="inlineStr">
        <is>
          <t>Colombia</t>
        </is>
      </c>
      <c r="C460" s="5" t="n">
        <v>2003</v>
      </c>
      <c r="D460" s="5" t="inlineStr">
        <is>
          <t>No sabe</t>
        </is>
      </c>
      <c r="E460" s="6" t="n">
        <v>0.153</v>
      </c>
      <c r="F460" s="7" t="n">
        <v>1200</v>
      </c>
    </row>
    <row r="461">
      <c r="A461" s="5" t="inlineStr">
        <is>
          <t>Apoyo democracia</t>
        </is>
      </c>
      <c r="B461" s="5" t="inlineStr">
        <is>
          <t>Colombia</t>
        </is>
      </c>
      <c r="C461" s="5" t="n">
        <v>2003</v>
      </c>
      <c r="D461" s="5" t="inlineStr">
        <is>
          <t>No contesta</t>
        </is>
      </c>
      <c r="E461" s="6" t="n">
        <v>0.021</v>
      </c>
      <c r="F461" s="7" t="n">
        <v>1200</v>
      </c>
    </row>
    <row r="462">
      <c r="A462" s="5" t="inlineStr">
        <is>
          <t>Apoyo democracia</t>
        </is>
      </c>
      <c r="B462" s="5" t="inlineStr">
        <is>
          <t>Colombia</t>
        </is>
      </c>
      <c r="C462" s="5" t="n">
        <v>2004</v>
      </c>
      <c r="D462" s="5" t="inlineStr">
        <is>
          <t>Democracia</t>
        </is>
      </c>
      <c r="E462" s="6" t="n">
        <v>0.461</v>
      </c>
      <c r="F462" s="7" t="n">
        <v>1200</v>
      </c>
    </row>
    <row r="463">
      <c r="A463" s="5" t="inlineStr">
        <is>
          <t>Apoyo democracia</t>
        </is>
      </c>
      <c r="B463" s="5" t="inlineStr">
        <is>
          <t>Colombia</t>
        </is>
      </c>
      <c r="C463" s="5" t="n">
        <v>2004</v>
      </c>
      <c r="D463" s="5" t="inlineStr">
        <is>
          <t>Gobierno Autoritario</t>
        </is>
      </c>
      <c r="E463" s="6" t="n">
        <v>0.122</v>
      </c>
      <c r="F463" s="7" t="n">
        <v>1200</v>
      </c>
    </row>
    <row r="464">
      <c r="A464" s="5" t="inlineStr">
        <is>
          <t>Apoyo democracia</t>
        </is>
      </c>
      <c r="B464" s="5" t="inlineStr">
        <is>
          <t>Colombia</t>
        </is>
      </c>
      <c r="C464" s="5" t="n">
        <v>2004</v>
      </c>
      <c r="D464" s="5" t="inlineStr">
        <is>
          <t>Da lo mismo</t>
        </is>
      </c>
      <c r="E464" s="6" t="n">
        <v>0.283</v>
      </c>
      <c r="F464" s="7" t="n">
        <v>1200</v>
      </c>
    </row>
    <row r="465">
      <c r="A465" s="5" t="inlineStr">
        <is>
          <t>Apoyo democracia</t>
        </is>
      </c>
      <c r="B465" s="5" t="inlineStr">
        <is>
          <t>Colombia</t>
        </is>
      </c>
      <c r="C465" s="5" t="n">
        <v>2004</v>
      </c>
      <c r="D465" s="5" t="inlineStr">
        <is>
          <t>No sabe</t>
        </is>
      </c>
      <c r="E465" s="6" t="n">
        <v>0.123</v>
      </c>
      <c r="F465" s="7" t="n">
        <v>1200</v>
      </c>
    </row>
    <row r="466">
      <c r="A466" s="5" t="inlineStr">
        <is>
          <t>Apoyo democracia</t>
        </is>
      </c>
      <c r="B466" s="5" t="inlineStr">
        <is>
          <t>Colombia</t>
        </is>
      </c>
      <c r="C466" s="5" t="n">
        <v>2004</v>
      </c>
      <c r="D466" s="5" t="inlineStr">
        <is>
          <t>No contesta</t>
        </is>
      </c>
      <c r="E466" s="6" t="n">
        <v>0.011</v>
      </c>
      <c r="F466" s="7" t="n">
        <v>1200</v>
      </c>
    </row>
    <row r="467">
      <c r="A467" s="5" t="inlineStr">
        <is>
          <t>Apoyo democracia</t>
        </is>
      </c>
      <c r="B467" s="5" t="inlineStr">
        <is>
          <t>Colombia</t>
        </is>
      </c>
      <c r="C467" s="5" t="n">
        <v>2005</v>
      </c>
      <c r="D467" s="5" t="inlineStr">
        <is>
          <t>Democracia</t>
        </is>
      </c>
      <c r="E467" s="6" t="n">
        <v>0.463</v>
      </c>
      <c r="F467" s="7" t="n">
        <v>1200</v>
      </c>
    </row>
    <row r="468">
      <c r="A468" s="5" t="inlineStr">
        <is>
          <t>Apoyo democracia</t>
        </is>
      </c>
      <c r="B468" s="5" t="inlineStr">
        <is>
          <t>Colombia</t>
        </is>
      </c>
      <c r="C468" s="5" t="n">
        <v>2005</v>
      </c>
      <c r="D468" s="5" t="inlineStr">
        <is>
          <t>Gobierno Autoritario</t>
        </is>
      </c>
      <c r="E468" s="6" t="n">
        <v>0.108</v>
      </c>
      <c r="F468" s="7" t="n">
        <v>1200</v>
      </c>
    </row>
    <row r="469">
      <c r="A469" s="5" t="inlineStr">
        <is>
          <t>Apoyo democracia</t>
        </is>
      </c>
      <c r="B469" s="5" t="inlineStr">
        <is>
          <t>Colombia</t>
        </is>
      </c>
      <c r="C469" s="5" t="n">
        <v>2005</v>
      </c>
      <c r="D469" s="5" t="inlineStr">
        <is>
          <t>Da lo mismo</t>
        </is>
      </c>
      <c r="E469" s="6" t="n">
        <v>0.324</v>
      </c>
      <c r="F469" s="7" t="n">
        <v>1200</v>
      </c>
    </row>
    <row r="470">
      <c r="A470" s="5" t="inlineStr">
        <is>
          <t>Apoyo democracia</t>
        </is>
      </c>
      <c r="B470" s="5" t="inlineStr">
        <is>
          <t>Colombia</t>
        </is>
      </c>
      <c r="C470" s="5" t="n">
        <v>2005</v>
      </c>
      <c r="D470" s="5" t="inlineStr">
        <is>
          <t>No sabe</t>
        </is>
      </c>
      <c r="E470" s="6" t="n">
        <v>0.09699999999999999</v>
      </c>
      <c r="F470" s="7" t="n">
        <v>1200</v>
      </c>
    </row>
    <row r="471">
      <c r="A471" s="5" t="inlineStr">
        <is>
          <t>Apoyo democracia</t>
        </is>
      </c>
      <c r="B471" s="5" t="inlineStr">
        <is>
          <t>Colombia</t>
        </is>
      </c>
      <c r="C471" s="5" t="n">
        <v>2005</v>
      </c>
      <c r="D471" s="5" t="inlineStr">
        <is>
          <t>No contesta</t>
        </is>
      </c>
      <c r="E471" s="6" t="n">
        <v>0.008</v>
      </c>
      <c r="F471" s="7" t="n">
        <v>1200</v>
      </c>
    </row>
    <row r="472">
      <c r="A472" s="5" t="inlineStr">
        <is>
          <t>Apoyo democracia</t>
        </is>
      </c>
      <c r="B472" s="5" t="inlineStr">
        <is>
          <t>Colombia</t>
        </is>
      </c>
      <c r="C472" s="5" t="n">
        <v>2006</v>
      </c>
      <c r="D472" s="5" t="inlineStr">
        <is>
          <t>Democracia</t>
        </is>
      </c>
      <c r="E472" s="6" t="n">
        <v>0.517</v>
      </c>
      <c r="F472" s="7" t="n">
        <v>1200</v>
      </c>
    </row>
    <row r="473">
      <c r="A473" s="5" t="inlineStr">
        <is>
          <t>Apoyo democracia</t>
        </is>
      </c>
      <c r="B473" s="5" t="inlineStr">
        <is>
          <t>Colombia</t>
        </is>
      </c>
      <c r="C473" s="5" t="n">
        <v>2006</v>
      </c>
      <c r="D473" s="5" t="inlineStr">
        <is>
          <t>Gobierno Autoritario</t>
        </is>
      </c>
      <c r="E473" s="6" t="n">
        <v>0.152</v>
      </c>
      <c r="F473" s="7" t="n">
        <v>1200</v>
      </c>
    </row>
    <row r="474">
      <c r="A474" s="5" t="inlineStr">
        <is>
          <t>Apoyo democracia</t>
        </is>
      </c>
      <c r="B474" s="5" t="inlineStr">
        <is>
          <t>Colombia</t>
        </is>
      </c>
      <c r="C474" s="5" t="n">
        <v>2006</v>
      </c>
      <c r="D474" s="5" t="inlineStr">
        <is>
          <t>Da lo mismo</t>
        </is>
      </c>
      <c r="E474" s="6" t="n">
        <v>0.254</v>
      </c>
      <c r="F474" s="7" t="n">
        <v>1200</v>
      </c>
    </row>
    <row r="475">
      <c r="A475" s="5" t="inlineStr">
        <is>
          <t>Apoyo democracia</t>
        </is>
      </c>
      <c r="B475" s="5" t="inlineStr">
        <is>
          <t>Colombia</t>
        </is>
      </c>
      <c r="C475" s="5" t="n">
        <v>2006</v>
      </c>
      <c r="D475" s="5" t="inlineStr">
        <is>
          <t>No sabe</t>
        </is>
      </c>
      <c r="E475" s="6" t="n">
        <v>0.07200000000000001</v>
      </c>
      <c r="F475" s="7" t="n">
        <v>1200</v>
      </c>
    </row>
    <row r="476">
      <c r="A476" s="5" t="inlineStr">
        <is>
          <t>Apoyo democracia</t>
        </is>
      </c>
      <c r="B476" s="5" t="inlineStr">
        <is>
          <t>Colombia</t>
        </is>
      </c>
      <c r="C476" s="5" t="n">
        <v>2006</v>
      </c>
      <c r="D476" s="5" t="inlineStr">
        <is>
          <t>No contesta</t>
        </is>
      </c>
      <c r="E476" s="6" t="n">
        <v>0.005</v>
      </c>
      <c r="F476" s="7" t="n">
        <v>1200</v>
      </c>
    </row>
    <row r="477">
      <c r="A477" s="5" t="inlineStr">
        <is>
          <t>Apoyo democracia</t>
        </is>
      </c>
      <c r="B477" s="5" t="inlineStr">
        <is>
          <t>Colombia</t>
        </is>
      </c>
      <c r="C477" s="5" t="n">
        <v>2007</v>
      </c>
      <c r="D477" s="5" t="inlineStr">
        <is>
          <t>Democracia</t>
        </is>
      </c>
      <c r="E477" s="6" t="n">
        <v>0.484</v>
      </c>
      <c r="F477" s="7" t="n">
        <v>1200</v>
      </c>
    </row>
    <row r="478">
      <c r="A478" s="5" t="inlineStr">
        <is>
          <t>Apoyo democracia</t>
        </is>
      </c>
      <c r="B478" s="5" t="inlineStr">
        <is>
          <t>Colombia</t>
        </is>
      </c>
      <c r="C478" s="5" t="n">
        <v>2007</v>
      </c>
      <c r="D478" s="5" t="inlineStr">
        <is>
          <t>Gobierno Autoritario</t>
        </is>
      </c>
      <c r="E478" s="6" t="n">
        <v>0.126</v>
      </c>
      <c r="F478" s="7" t="n">
        <v>1200</v>
      </c>
    </row>
    <row r="479">
      <c r="A479" s="5" t="inlineStr">
        <is>
          <t>Apoyo democracia</t>
        </is>
      </c>
      <c r="B479" s="5" t="inlineStr">
        <is>
          <t>Colombia</t>
        </is>
      </c>
      <c r="C479" s="5" t="n">
        <v>2007</v>
      </c>
      <c r="D479" s="5" t="inlineStr">
        <is>
          <t>Da lo mismo</t>
        </is>
      </c>
      <c r="E479" s="6" t="n">
        <v>0.315</v>
      </c>
      <c r="F479" s="7" t="n">
        <v>1200</v>
      </c>
    </row>
    <row r="480">
      <c r="A480" s="5" t="inlineStr">
        <is>
          <t>Apoyo democracia</t>
        </is>
      </c>
      <c r="B480" s="5" t="inlineStr">
        <is>
          <t>Colombia</t>
        </is>
      </c>
      <c r="C480" s="5" t="n">
        <v>2007</v>
      </c>
      <c r="D480" s="5" t="inlineStr">
        <is>
          <t>No sabe</t>
        </is>
      </c>
      <c r="E480" s="6" t="n">
        <v>0.07000000000000001</v>
      </c>
      <c r="F480" s="7" t="n">
        <v>1200</v>
      </c>
    </row>
    <row r="481">
      <c r="A481" s="5" t="inlineStr">
        <is>
          <t>Apoyo democracia</t>
        </is>
      </c>
      <c r="B481" s="5" t="inlineStr">
        <is>
          <t>Colombia</t>
        </is>
      </c>
      <c r="C481" s="5" t="n">
        <v>2007</v>
      </c>
      <c r="D481" s="5" t="inlineStr">
        <is>
          <t>No contesta</t>
        </is>
      </c>
      <c r="E481" s="6" t="n">
        <v>0.005</v>
      </c>
      <c r="F481" s="7" t="n">
        <v>1200</v>
      </c>
    </row>
    <row r="482">
      <c r="A482" s="5" t="inlineStr">
        <is>
          <t>Apoyo democracia</t>
        </is>
      </c>
      <c r="B482" s="5" t="inlineStr">
        <is>
          <t>Colombia</t>
        </is>
      </c>
      <c r="C482" s="5" t="n">
        <v>2008</v>
      </c>
      <c r="D482" s="5" t="inlineStr">
        <is>
          <t>Democracia</t>
        </is>
      </c>
      <c r="E482" s="6" t="n">
        <v>0.5629999999999999</v>
      </c>
      <c r="F482" s="7" t="n">
        <v>1200</v>
      </c>
    </row>
    <row r="483">
      <c r="A483" s="5" t="inlineStr">
        <is>
          <t>Apoyo democracia</t>
        </is>
      </c>
      <c r="B483" s="5" t="inlineStr">
        <is>
          <t>Colombia</t>
        </is>
      </c>
      <c r="C483" s="5" t="n">
        <v>2008</v>
      </c>
      <c r="D483" s="5" t="inlineStr">
        <is>
          <t>Gobierno Autoritario</t>
        </is>
      </c>
      <c r="E483" s="6" t="n">
        <v>0.092</v>
      </c>
      <c r="F483" s="7" t="n">
        <v>1200</v>
      </c>
    </row>
    <row r="484">
      <c r="A484" s="5" t="inlineStr">
        <is>
          <t>Apoyo democracia</t>
        </is>
      </c>
      <c r="B484" s="5" t="inlineStr">
        <is>
          <t>Colombia</t>
        </is>
      </c>
      <c r="C484" s="5" t="n">
        <v>2008</v>
      </c>
      <c r="D484" s="5" t="inlineStr">
        <is>
          <t>Da lo mismo</t>
        </is>
      </c>
      <c r="E484" s="6" t="n">
        <v>0.258</v>
      </c>
      <c r="F484" s="7" t="n">
        <v>1200</v>
      </c>
    </row>
    <row r="485">
      <c r="A485" s="5" t="inlineStr">
        <is>
          <t>Apoyo democracia</t>
        </is>
      </c>
      <c r="B485" s="5" t="inlineStr">
        <is>
          <t>Colombia</t>
        </is>
      </c>
      <c r="C485" s="5" t="n">
        <v>2008</v>
      </c>
      <c r="D485" s="5" t="inlineStr">
        <is>
          <t>No sabe</t>
        </is>
      </c>
      <c r="E485" s="6" t="n">
        <v>0.083</v>
      </c>
      <c r="F485" s="7" t="n">
        <v>1200</v>
      </c>
    </row>
    <row r="486">
      <c r="A486" s="5" t="inlineStr">
        <is>
          <t>Apoyo democracia</t>
        </is>
      </c>
      <c r="B486" s="5" t="inlineStr">
        <is>
          <t>Colombia</t>
        </is>
      </c>
      <c r="C486" s="5" t="n">
        <v>2008</v>
      </c>
      <c r="D486" s="5" t="inlineStr">
        <is>
          <t>No contesta</t>
        </is>
      </c>
      <c r="E486" s="6" t="n">
        <v>0.004</v>
      </c>
      <c r="F486" s="7" t="n">
        <v>1200</v>
      </c>
    </row>
    <row r="487">
      <c r="A487" s="5" t="inlineStr">
        <is>
          <t>Apoyo democracia</t>
        </is>
      </c>
      <c r="B487" s="5" t="inlineStr">
        <is>
          <t>Colombia</t>
        </is>
      </c>
      <c r="C487" s="5" t="n">
        <v>2009</v>
      </c>
      <c r="D487" s="5" t="inlineStr">
        <is>
          <t>Democracia</t>
        </is>
      </c>
      <c r="E487" s="6" t="n">
        <v>0.4970000000000001</v>
      </c>
      <c r="F487" s="7" t="n">
        <v>1200</v>
      </c>
    </row>
    <row r="488">
      <c r="A488" s="5" t="inlineStr">
        <is>
          <t>Apoyo democracia</t>
        </is>
      </c>
      <c r="B488" s="5" t="inlineStr">
        <is>
          <t>Colombia</t>
        </is>
      </c>
      <c r="C488" s="5" t="n">
        <v>2009</v>
      </c>
      <c r="D488" s="5" t="inlineStr">
        <is>
          <t>Gobierno Autoritario</t>
        </is>
      </c>
      <c r="E488" s="6" t="n">
        <v>0.137</v>
      </c>
      <c r="F488" s="7" t="n">
        <v>1200</v>
      </c>
    </row>
    <row r="489">
      <c r="A489" s="5" t="inlineStr">
        <is>
          <t>Apoyo democracia</t>
        </is>
      </c>
      <c r="B489" s="5" t="inlineStr">
        <is>
          <t>Colombia</t>
        </is>
      </c>
      <c r="C489" s="5" t="n">
        <v>2009</v>
      </c>
      <c r="D489" s="5" t="inlineStr">
        <is>
          <t>Da lo mismo</t>
        </is>
      </c>
      <c r="E489" s="6" t="n">
        <v>0.244</v>
      </c>
      <c r="F489" s="7" t="n">
        <v>1200</v>
      </c>
    </row>
    <row r="490">
      <c r="A490" s="5" t="inlineStr">
        <is>
          <t>Apoyo democracia</t>
        </is>
      </c>
      <c r="B490" s="5" t="inlineStr">
        <is>
          <t>Colombia</t>
        </is>
      </c>
      <c r="C490" s="5" t="n">
        <v>2009</v>
      </c>
      <c r="D490" s="5" t="inlineStr">
        <is>
          <t>No sabe</t>
        </is>
      </c>
      <c r="E490" s="6" t="n">
        <v>0.116</v>
      </c>
      <c r="F490" s="7" t="n">
        <v>1200</v>
      </c>
    </row>
    <row r="491">
      <c r="A491" s="5" t="inlineStr">
        <is>
          <t>Apoyo democracia</t>
        </is>
      </c>
      <c r="B491" s="5" t="inlineStr">
        <is>
          <t>Colombia</t>
        </is>
      </c>
      <c r="C491" s="5" t="n">
        <v>2009</v>
      </c>
      <c r="D491" s="5" t="inlineStr">
        <is>
          <t>No contesta</t>
        </is>
      </c>
      <c r="E491" s="6" t="n">
        <v>0.006</v>
      </c>
      <c r="F491" s="7" t="n">
        <v>1200</v>
      </c>
    </row>
    <row r="492">
      <c r="A492" s="5" t="inlineStr">
        <is>
          <t>Apoyo democracia</t>
        </is>
      </c>
      <c r="B492" s="5" t="inlineStr">
        <is>
          <t>Colombia</t>
        </is>
      </c>
      <c r="C492" s="5" t="n">
        <v>2010</v>
      </c>
      <c r="D492" s="5" t="inlineStr">
        <is>
          <t>Democracia</t>
        </is>
      </c>
      <c r="E492" s="6" t="n">
        <v>0.597</v>
      </c>
      <c r="F492" s="7" t="n">
        <v>1200</v>
      </c>
    </row>
    <row r="493">
      <c r="A493" s="5" t="inlineStr">
        <is>
          <t>Apoyo democracia</t>
        </is>
      </c>
      <c r="B493" s="5" t="inlineStr">
        <is>
          <t>Colombia</t>
        </is>
      </c>
      <c r="C493" s="5" t="n">
        <v>2010</v>
      </c>
      <c r="D493" s="5" t="inlineStr">
        <is>
          <t>Gobierno Autoritario</t>
        </is>
      </c>
      <c r="E493" s="6" t="n">
        <v>0.096</v>
      </c>
      <c r="F493" s="7" t="n">
        <v>1200</v>
      </c>
    </row>
    <row r="494">
      <c r="A494" s="5" t="inlineStr">
        <is>
          <t>Apoyo democracia</t>
        </is>
      </c>
      <c r="B494" s="5" t="inlineStr">
        <is>
          <t>Colombia</t>
        </is>
      </c>
      <c r="C494" s="5" t="n">
        <v>2010</v>
      </c>
      <c r="D494" s="5" t="inlineStr">
        <is>
          <t>Da lo mismo</t>
        </is>
      </c>
      <c r="E494" s="6" t="n">
        <v>0.226</v>
      </c>
      <c r="F494" s="7" t="n">
        <v>1200</v>
      </c>
    </row>
    <row r="495">
      <c r="A495" s="5" t="inlineStr">
        <is>
          <t>Apoyo democracia</t>
        </is>
      </c>
      <c r="B495" s="5" t="inlineStr">
        <is>
          <t>Colombia</t>
        </is>
      </c>
      <c r="C495" s="5" t="n">
        <v>2010</v>
      </c>
      <c r="D495" s="5" t="inlineStr">
        <is>
          <t>No sabe</t>
        </is>
      </c>
      <c r="E495" s="6" t="n">
        <v>0.076</v>
      </c>
      <c r="F495" s="7" t="n">
        <v>1200</v>
      </c>
    </row>
    <row r="496">
      <c r="A496" s="5" t="inlineStr">
        <is>
          <t>Apoyo democracia</t>
        </is>
      </c>
      <c r="B496" s="5" t="inlineStr">
        <is>
          <t>Colombia</t>
        </is>
      </c>
      <c r="C496" s="5" t="n">
        <v>2010</v>
      </c>
      <c r="D496" s="5" t="inlineStr">
        <is>
          <t>No contesta</t>
        </is>
      </c>
      <c r="E496" s="6" t="n">
        <v>0.005</v>
      </c>
      <c r="F496" s="7" t="n">
        <v>1200</v>
      </c>
    </row>
    <row r="497">
      <c r="A497" s="5" t="inlineStr">
        <is>
          <t>Apoyo democracia</t>
        </is>
      </c>
      <c r="B497" s="5" t="inlineStr">
        <is>
          <t>Colombia</t>
        </is>
      </c>
      <c r="C497" s="5" t="n">
        <v>2011</v>
      </c>
      <c r="D497" s="5" t="inlineStr">
        <is>
          <t>Democracia</t>
        </is>
      </c>
      <c r="E497" s="6" t="n">
        <v>0.547</v>
      </c>
      <c r="F497" s="7" t="n">
        <v>1200</v>
      </c>
    </row>
    <row r="498">
      <c r="A498" s="5" t="inlineStr">
        <is>
          <t>Apoyo democracia</t>
        </is>
      </c>
      <c r="B498" s="5" t="inlineStr">
        <is>
          <t>Colombia</t>
        </is>
      </c>
      <c r="C498" s="5" t="n">
        <v>2011</v>
      </c>
      <c r="D498" s="5" t="inlineStr">
        <is>
          <t>Gobierno Autoritario</t>
        </is>
      </c>
      <c r="E498" s="6" t="n">
        <v>0.113</v>
      </c>
      <c r="F498" s="7" t="n">
        <v>1200</v>
      </c>
    </row>
    <row r="499">
      <c r="A499" s="5" t="inlineStr">
        <is>
          <t>Apoyo democracia</t>
        </is>
      </c>
      <c r="B499" s="5" t="inlineStr">
        <is>
          <t>Colombia</t>
        </is>
      </c>
      <c r="C499" s="5" t="n">
        <v>2011</v>
      </c>
      <c r="D499" s="5" t="inlineStr">
        <is>
          <t>Da lo mismo</t>
        </is>
      </c>
      <c r="E499" s="6" t="n">
        <v>0.269</v>
      </c>
      <c r="F499" s="7" t="n">
        <v>1200</v>
      </c>
    </row>
    <row r="500">
      <c r="A500" s="5" t="inlineStr">
        <is>
          <t>Apoyo democracia</t>
        </is>
      </c>
      <c r="B500" s="5" t="inlineStr">
        <is>
          <t>Colombia</t>
        </is>
      </c>
      <c r="C500" s="5" t="n">
        <v>2011</v>
      </c>
      <c r="D500" s="5" t="inlineStr">
        <is>
          <t>No sabe</t>
        </is>
      </c>
      <c r="E500" s="6" t="n">
        <v>0.068</v>
      </c>
      <c r="F500" s="7" t="n">
        <v>1200</v>
      </c>
    </row>
    <row r="501">
      <c r="A501" s="5" t="inlineStr">
        <is>
          <t>Apoyo democracia</t>
        </is>
      </c>
      <c r="B501" s="5" t="inlineStr">
        <is>
          <t>Colombia</t>
        </is>
      </c>
      <c r="C501" s="5" t="n">
        <v>2011</v>
      </c>
      <c r="D501" s="5" t="inlineStr">
        <is>
          <t>No contesta</t>
        </is>
      </c>
      <c r="E501" s="6" t="n">
        <v>0.004</v>
      </c>
      <c r="F501" s="7" t="n">
        <v>1200</v>
      </c>
    </row>
    <row r="502">
      <c r="A502" s="5" t="inlineStr">
        <is>
          <t>Apoyo democracia</t>
        </is>
      </c>
      <c r="B502" s="5" t="inlineStr">
        <is>
          <t>Colombia</t>
        </is>
      </c>
      <c r="C502" s="5" t="n">
        <v>2016</v>
      </c>
      <c r="D502" s="5" t="inlineStr">
        <is>
          <t>Democracia</t>
        </is>
      </c>
      <c r="E502" s="6" t="n">
        <v>0.5579999999999999</v>
      </c>
      <c r="F502" s="7" t="n">
        <v>1200</v>
      </c>
    </row>
    <row r="503">
      <c r="A503" s="5" t="inlineStr">
        <is>
          <t>Apoyo democracia</t>
        </is>
      </c>
      <c r="B503" s="5" t="inlineStr">
        <is>
          <t>Colombia</t>
        </is>
      </c>
      <c r="C503" s="5" t="n">
        <v>2016</v>
      </c>
      <c r="D503" s="5" t="inlineStr">
        <is>
          <t>Gobierno Autoritario</t>
        </is>
      </c>
      <c r="E503" s="6" t="n">
        <v>0.08699999999999999</v>
      </c>
      <c r="F503" s="7" t="n">
        <v>1200</v>
      </c>
    </row>
    <row r="504">
      <c r="A504" s="5" t="inlineStr">
        <is>
          <t>Apoyo democracia</t>
        </is>
      </c>
      <c r="B504" s="5" t="inlineStr">
        <is>
          <t>Colombia</t>
        </is>
      </c>
      <c r="C504" s="5" t="n">
        <v>2016</v>
      </c>
      <c r="D504" s="5" t="inlineStr">
        <is>
          <t>Da lo mismo</t>
        </is>
      </c>
      <c r="E504" s="6" t="n">
        <v>0.305</v>
      </c>
      <c r="F504" s="7" t="n">
        <v>1200</v>
      </c>
    </row>
    <row r="505">
      <c r="A505" s="5" t="inlineStr">
        <is>
          <t>Apoyo democracia</t>
        </is>
      </c>
      <c r="B505" s="5" t="inlineStr">
        <is>
          <t>Colombia</t>
        </is>
      </c>
      <c r="C505" s="5" t="n">
        <v>2016</v>
      </c>
      <c r="D505" s="5" t="inlineStr">
        <is>
          <t>No sabe</t>
        </is>
      </c>
      <c r="E505" s="6" t="n">
        <v>0.046</v>
      </c>
      <c r="F505" s="7" t="n">
        <v>1200</v>
      </c>
    </row>
    <row r="506">
      <c r="A506" s="5" t="inlineStr">
        <is>
          <t>Apoyo democracia</t>
        </is>
      </c>
      <c r="B506" s="5" t="inlineStr">
        <is>
          <t>Colombia</t>
        </is>
      </c>
      <c r="C506" s="5" t="n">
        <v>2016</v>
      </c>
      <c r="D506" s="5" t="inlineStr">
        <is>
          <t>No contesta</t>
        </is>
      </c>
      <c r="E506" s="6" t="n">
        <v>0.005</v>
      </c>
      <c r="F506" s="7" t="n">
        <v>1200</v>
      </c>
    </row>
    <row r="507">
      <c r="A507" s="5" t="inlineStr">
        <is>
          <t>Apoyo democracia</t>
        </is>
      </c>
      <c r="B507" s="5" t="inlineStr">
        <is>
          <t>Colombia</t>
        </is>
      </c>
      <c r="C507" s="5" t="n">
        <v>2017</v>
      </c>
      <c r="D507" s="5" t="inlineStr">
        <is>
          <t>Democracia</t>
        </is>
      </c>
      <c r="E507" s="6" t="n">
        <v>0.591</v>
      </c>
      <c r="F507" s="7" t="n">
        <v>1200</v>
      </c>
    </row>
    <row r="508">
      <c r="A508" s="5" t="inlineStr">
        <is>
          <t>Apoyo democracia</t>
        </is>
      </c>
      <c r="B508" s="5" t="inlineStr">
        <is>
          <t>Colombia</t>
        </is>
      </c>
      <c r="C508" s="5" t="n">
        <v>2017</v>
      </c>
      <c r="D508" s="5" t="inlineStr">
        <is>
          <t>Gobierno Autoritario</t>
        </is>
      </c>
      <c r="E508" s="6" t="n">
        <v>0.08599999999999999</v>
      </c>
      <c r="F508" s="7" t="n">
        <v>1200</v>
      </c>
    </row>
    <row r="509">
      <c r="A509" s="5" t="inlineStr">
        <is>
          <t>Apoyo democracia</t>
        </is>
      </c>
      <c r="B509" s="5" t="inlineStr">
        <is>
          <t>Colombia</t>
        </is>
      </c>
      <c r="C509" s="5" t="n">
        <v>2017</v>
      </c>
      <c r="D509" s="5" t="inlineStr">
        <is>
          <t>Da lo mismo</t>
        </is>
      </c>
      <c r="E509" s="6" t="n">
        <v>0.259</v>
      </c>
      <c r="F509" s="7" t="n">
        <v>1200</v>
      </c>
    </row>
    <row r="510">
      <c r="A510" s="5" t="inlineStr">
        <is>
          <t>Apoyo democracia</t>
        </is>
      </c>
      <c r="B510" s="5" t="inlineStr">
        <is>
          <t>Colombia</t>
        </is>
      </c>
      <c r="C510" s="5" t="n">
        <v>2017</v>
      </c>
      <c r="D510" s="5" t="inlineStr">
        <is>
          <t>No sabe</t>
        </is>
      </c>
      <c r="E510" s="6" t="n">
        <v>0.05</v>
      </c>
      <c r="F510" s="7" t="n">
        <v>1200</v>
      </c>
    </row>
    <row r="511">
      <c r="A511" s="5" t="inlineStr">
        <is>
          <t>Apoyo democracia</t>
        </is>
      </c>
      <c r="B511" s="5" t="inlineStr">
        <is>
          <t>Colombia</t>
        </is>
      </c>
      <c r="C511" s="5" t="n">
        <v>2017</v>
      </c>
      <c r="D511" s="5" t="inlineStr">
        <is>
          <t>No contesta</t>
        </is>
      </c>
      <c r="E511" s="6" t="n">
        <v>0.014</v>
      </c>
      <c r="F511" s="7" t="n">
        <v>1200</v>
      </c>
    </row>
    <row r="512">
      <c r="A512" s="5" t="inlineStr">
        <is>
          <t>Apoyo democracia</t>
        </is>
      </c>
      <c r="B512" s="5" t="inlineStr">
        <is>
          <t>Colombia</t>
        </is>
      </c>
      <c r="C512" s="5" t="n">
        <v>2018</v>
      </c>
      <c r="D512" s="5" t="inlineStr">
        <is>
          <t>Democracia</t>
        </is>
      </c>
      <c r="E512" s="6" t="n">
        <v>0.535</v>
      </c>
      <c r="F512" s="7" t="n">
        <v>1200</v>
      </c>
    </row>
    <row r="513">
      <c r="A513" s="5" t="inlineStr">
        <is>
          <t>Apoyo democracia</t>
        </is>
      </c>
      <c r="B513" s="5" t="inlineStr">
        <is>
          <t>Colombia</t>
        </is>
      </c>
      <c r="C513" s="5" t="n">
        <v>2018</v>
      </c>
      <c r="D513" s="5" t="inlineStr">
        <is>
          <t>Gobierno Autoritario</t>
        </is>
      </c>
      <c r="E513" s="6" t="n">
        <v>0.104</v>
      </c>
      <c r="F513" s="7" t="n">
        <v>1200</v>
      </c>
    </row>
    <row r="514">
      <c r="A514" s="5" t="inlineStr">
        <is>
          <t>Apoyo democracia</t>
        </is>
      </c>
      <c r="B514" s="5" t="inlineStr">
        <is>
          <t>Colombia</t>
        </is>
      </c>
      <c r="C514" s="5" t="n">
        <v>2018</v>
      </c>
      <c r="D514" s="5" t="inlineStr">
        <is>
          <t>Da lo mismo</t>
        </is>
      </c>
      <c r="E514" s="6" t="n">
        <v>0.284</v>
      </c>
      <c r="F514" s="7" t="n">
        <v>1200</v>
      </c>
    </row>
    <row r="515">
      <c r="A515" s="5" t="inlineStr">
        <is>
          <t>Apoyo democracia</t>
        </is>
      </c>
      <c r="B515" s="5" t="inlineStr">
        <is>
          <t>Colombia</t>
        </is>
      </c>
      <c r="C515" s="5" t="n">
        <v>2018</v>
      </c>
      <c r="D515" s="5" t="inlineStr">
        <is>
          <t>No sabe</t>
        </is>
      </c>
      <c r="E515" s="6" t="n">
        <v>0.07000000000000001</v>
      </c>
      <c r="F515" s="7" t="n">
        <v>1200</v>
      </c>
    </row>
    <row r="516">
      <c r="A516" s="5" t="inlineStr">
        <is>
          <t>Apoyo democracia</t>
        </is>
      </c>
      <c r="B516" s="5" t="inlineStr">
        <is>
          <t>Colombia</t>
        </is>
      </c>
      <c r="C516" s="5" t="n">
        <v>2018</v>
      </c>
      <c r="D516" s="5" t="inlineStr">
        <is>
          <t>No contesta</t>
        </is>
      </c>
      <c r="E516" s="6" t="n">
        <v>0.008</v>
      </c>
      <c r="F516" s="7" t="n">
        <v>1200</v>
      </c>
    </row>
    <row r="517">
      <c r="A517" s="5" t="inlineStr">
        <is>
          <t>Apoyo democracia</t>
        </is>
      </c>
      <c r="B517" s="5" t="inlineStr">
        <is>
          <t>Colombia</t>
        </is>
      </c>
      <c r="C517" s="5" t="n">
        <v>2020</v>
      </c>
      <c r="D517" s="5" t="inlineStr">
        <is>
          <t>Democracia</t>
        </is>
      </c>
      <c r="E517" s="6" t="n">
        <v>0.431</v>
      </c>
      <c r="F517" s="7" t="n">
        <v>1199</v>
      </c>
    </row>
    <row r="518">
      <c r="A518" s="5" t="inlineStr">
        <is>
          <t>Apoyo democracia</t>
        </is>
      </c>
      <c r="B518" s="5" t="inlineStr">
        <is>
          <t>Colombia</t>
        </is>
      </c>
      <c r="C518" s="5" t="n">
        <v>2020</v>
      </c>
      <c r="D518" s="5" t="inlineStr">
        <is>
          <t>Gobierno Autoritario</t>
        </is>
      </c>
      <c r="E518" s="6" t="n">
        <v>0.107</v>
      </c>
      <c r="F518" s="7" t="n">
        <v>1199</v>
      </c>
    </row>
    <row r="519">
      <c r="A519" s="5" t="inlineStr">
        <is>
          <t>Apoyo democracia</t>
        </is>
      </c>
      <c r="B519" s="5" t="inlineStr">
        <is>
          <t>Colombia</t>
        </is>
      </c>
      <c r="C519" s="5" t="n">
        <v>2020</v>
      </c>
      <c r="D519" s="5" t="inlineStr">
        <is>
          <t>Da lo mismo</t>
        </is>
      </c>
      <c r="E519" s="6" t="n">
        <v>0.332</v>
      </c>
      <c r="F519" s="7" t="n">
        <v>1199</v>
      </c>
    </row>
    <row r="520">
      <c r="A520" s="5" t="inlineStr">
        <is>
          <t>Apoyo democracia</t>
        </is>
      </c>
      <c r="B520" s="5" t="inlineStr">
        <is>
          <t>Colombia</t>
        </is>
      </c>
      <c r="C520" s="5" t="n">
        <v>2020</v>
      </c>
      <c r="D520" s="5" t="inlineStr">
        <is>
          <t>No sabe</t>
        </is>
      </c>
      <c r="E520" s="6" t="n">
        <v>0.104</v>
      </c>
      <c r="F520" s="7" t="n">
        <v>1199</v>
      </c>
    </row>
    <row r="521">
      <c r="A521" s="5" t="inlineStr">
        <is>
          <t>Apoyo democracia</t>
        </is>
      </c>
      <c r="B521" s="5" t="inlineStr">
        <is>
          <t>Colombia</t>
        </is>
      </c>
      <c r="C521" s="5" t="n">
        <v>2020</v>
      </c>
      <c r="D521" s="5" t="inlineStr">
        <is>
          <t>No contesta</t>
        </is>
      </c>
      <c r="E521" s="6" t="n">
        <v>0.025</v>
      </c>
      <c r="F521" s="7" t="n">
        <v>1199</v>
      </c>
    </row>
    <row r="522">
      <c r="A522" s="5" t="inlineStr">
        <is>
          <t>Apoyo democracia</t>
        </is>
      </c>
      <c r="B522" s="5" t="inlineStr">
        <is>
          <t>Colombia</t>
        </is>
      </c>
      <c r="C522" s="5" t="n">
        <v>2024</v>
      </c>
      <c r="D522" s="5" t="inlineStr">
        <is>
          <t>Democracia</t>
        </is>
      </c>
      <c r="E522" s="6" t="n">
        <v>0.482</v>
      </c>
      <c r="F522" s="7" t="n">
        <v>1200</v>
      </c>
    </row>
    <row r="523">
      <c r="A523" s="5" t="inlineStr">
        <is>
          <t>Apoyo democracia</t>
        </is>
      </c>
      <c r="B523" s="5" t="inlineStr">
        <is>
          <t>Colombia</t>
        </is>
      </c>
      <c r="C523" s="5" t="n">
        <v>2024</v>
      </c>
      <c r="D523" s="5" t="inlineStr">
        <is>
          <t>Gobierno Autoritario</t>
        </is>
      </c>
      <c r="E523" s="6" t="n">
        <v>0.148</v>
      </c>
      <c r="F523" s="7" t="n">
        <v>1200</v>
      </c>
    </row>
    <row r="524">
      <c r="A524" s="5" t="inlineStr">
        <is>
          <t>Apoyo democracia</t>
        </is>
      </c>
      <c r="B524" s="5" t="inlineStr">
        <is>
          <t>Colombia</t>
        </is>
      </c>
      <c r="C524" s="5" t="n">
        <v>2024</v>
      </c>
      <c r="D524" s="5" t="inlineStr">
        <is>
          <t>Da lo mismo</t>
        </is>
      </c>
      <c r="E524" s="6" t="n">
        <v>0.289</v>
      </c>
      <c r="F524" s="7" t="n">
        <v>1200</v>
      </c>
    </row>
    <row r="525">
      <c r="A525" s="5" t="inlineStr">
        <is>
          <t>Apoyo democracia</t>
        </is>
      </c>
      <c r="B525" s="5" t="inlineStr">
        <is>
          <t>Colombia</t>
        </is>
      </c>
      <c r="C525" s="5" t="n">
        <v>2024</v>
      </c>
      <c r="D525" s="5" t="inlineStr">
        <is>
          <t>No sabe</t>
        </is>
      </c>
      <c r="E525" s="6" t="n">
        <v>0.07400000000000001</v>
      </c>
      <c r="F525" s="7" t="n">
        <v>1200</v>
      </c>
    </row>
    <row r="526">
      <c r="A526" s="5" t="inlineStr">
        <is>
          <t>Apoyo democracia</t>
        </is>
      </c>
      <c r="B526" s="5" t="inlineStr">
        <is>
          <t>Colombia</t>
        </is>
      </c>
      <c r="C526" s="5" t="n">
        <v>2024</v>
      </c>
      <c r="D526" s="5" t="inlineStr">
        <is>
          <t>No contesta</t>
        </is>
      </c>
      <c r="E526" s="6" t="n">
        <v>0.008</v>
      </c>
      <c r="F526" s="7" t="n">
        <v>1200</v>
      </c>
    </row>
    <row r="527">
      <c r="A527" s="5" t="inlineStr">
        <is>
          <t>Apoyo democracia</t>
        </is>
      </c>
      <c r="B527" s="5" t="inlineStr">
        <is>
          <t>Costa Rica</t>
        </is>
      </c>
      <c r="C527" s="5" t="n">
        <v>1996</v>
      </c>
      <c r="D527" s="5" t="inlineStr">
        <is>
          <t>Democracia</t>
        </is>
      </c>
      <c r="E527" s="6" t="n">
        <v>0.8029999999999999</v>
      </c>
      <c r="F527" s="7" t="n">
        <v>1001</v>
      </c>
    </row>
    <row r="528">
      <c r="A528" s="5" t="inlineStr">
        <is>
          <t>Apoyo democracia</t>
        </is>
      </c>
      <c r="B528" s="5" t="inlineStr">
        <is>
          <t>Costa Rica</t>
        </is>
      </c>
      <c r="C528" s="5" t="n">
        <v>1996</v>
      </c>
      <c r="D528" s="5" t="inlineStr">
        <is>
          <t>Gobierno Autoritario</t>
        </is>
      </c>
      <c r="E528" s="6" t="n">
        <v>0.068</v>
      </c>
      <c r="F528" s="7" t="n">
        <v>1001</v>
      </c>
    </row>
    <row r="529">
      <c r="A529" s="5" t="inlineStr">
        <is>
          <t>Apoyo democracia</t>
        </is>
      </c>
      <c r="B529" s="5" t="inlineStr">
        <is>
          <t>Costa Rica</t>
        </is>
      </c>
      <c r="C529" s="5" t="n">
        <v>1996</v>
      </c>
      <c r="D529" s="5" t="inlineStr">
        <is>
          <t>Da lo mismo</t>
        </is>
      </c>
      <c r="E529" s="6" t="n">
        <v>0.08</v>
      </c>
      <c r="F529" s="7" t="n">
        <v>1001</v>
      </c>
    </row>
    <row r="530">
      <c r="A530" s="5" t="inlineStr">
        <is>
          <t>Apoyo democracia</t>
        </is>
      </c>
      <c r="B530" s="5" t="inlineStr">
        <is>
          <t>Costa Rica</t>
        </is>
      </c>
      <c r="C530" s="5" t="n">
        <v>1996</v>
      </c>
      <c r="D530" s="5" t="inlineStr">
        <is>
          <t>No sabe</t>
        </is>
      </c>
      <c r="E530" s="6" t="n">
        <v>0.029</v>
      </c>
      <c r="F530" s="7" t="n">
        <v>1001</v>
      </c>
    </row>
    <row r="531">
      <c r="A531" s="5" t="inlineStr">
        <is>
          <t>Apoyo democracia</t>
        </is>
      </c>
      <c r="B531" s="5" t="inlineStr">
        <is>
          <t>Costa Rica</t>
        </is>
      </c>
      <c r="C531" s="5" t="n">
        <v>1996</v>
      </c>
      <c r="D531" s="5" t="inlineStr">
        <is>
          <t>No contesta</t>
        </is>
      </c>
      <c r="E531" s="6" t="n">
        <v>0.02</v>
      </c>
      <c r="F531" s="7" t="n">
        <v>1001</v>
      </c>
    </row>
    <row r="532">
      <c r="A532" s="5" t="inlineStr">
        <is>
          <t>Apoyo democracia</t>
        </is>
      </c>
      <c r="B532" s="5" t="inlineStr">
        <is>
          <t>Costa Rica</t>
        </is>
      </c>
      <c r="C532" s="5" t="n">
        <v>1997</v>
      </c>
      <c r="D532" s="5" t="inlineStr">
        <is>
          <t>Democracia</t>
        </is>
      </c>
      <c r="E532" s="6" t="n">
        <v>0.826</v>
      </c>
      <c r="F532" s="7" t="n">
        <v>1007</v>
      </c>
    </row>
    <row r="533">
      <c r="A533" s="5" t="inlineStr">
        <is>
          <t>Apoyo democracia</t>
        </is>
      </c>
      <c r="B533" s="5" t="inlineStr">
        <is>
          <t>Costa Rica</t>
        </is>
      </c>
      <c r="C533" s="5" t="n">
        <v>1997</v>
      </c>
      <c r="D533" s="5" t="inlineStr">
        <is>
          <t>Gobierno Autoritario</t>
        </is>
      </c>
      <c r="E533" s="6" t="n">
        <v>0.08900000000000001</v>
      </c>
      <c r="F533" s="7" t="n">
        <v>1007</v>
      </c>
    </row>
    <row r="534">
      <c r="A534" s="5" t="inlineStr">
        <is>
          <t>Apoyo democracia</t>
        </is>
      </c>
      <c r="B534" s="5" t="inlineStr">
        <is>
          <t>Costa Rica</t>
        </is>
      </c>
      <c r="C534" s="5" t="n">
        <v>1997</v>
      </c>
      <c r="D534" s="5" t="inlineStr">
        <is>
          <t>Da lo mismo</t>
        </is>
      </c>
      <c r="E534" s="6" t="n">
        <v>0.061</v>
      </c>
      <c r="F534" s="7" t="n">
        <v>1007</v>
      </c>
    </row>
    <row r="535">
      <c r="A535" s="5" t="inlineStr">
        <is>
          <t>Apoyo democracia</t>
        </is>
      </c>
      <c r="B535" s="5" t="inlineStr">
        <is>
          <t>Costa Rica</t>
        </is>
      </c>
      <c r="C535" s="5" t="n">
        <v>1997</v>
      </c>
      <c r="D535" s="5" t="inlineStr">
        <is>
          <t>No sabe</t>
        </is>
      </c>
      <c r="E535" s="6" t="n">
        <v>0.01</v>
      </c>
      <c r="F535" s="7" t="n">
        <v>1007</v>
      </c>
    </row>
    <row r="536">
      <c r="A536" s="5" t="inlineStr">
        <is>
          <t>Apoyo democracia</t>
        </is>
      </c>
      <c r="B536" s="5" t="inlineStr">
        <is>
          <t>Costa Rica</t>
        </is>
      </c>
      <c r="C536" s="5" t="n">
        <v>1997</v>
      </c>
      <c r="D536" s="5" t="inlineStr">
        <is>
          <t>No contesta</t>
        </is>
      </c>
      <c r="E536" s="6" t="n">
        <v>0.014</v>
      </c>
      <c r="F536" s="7" t="n">
        <v>1007</v>
      </c>
    </row>
    <row r="537">
      <c r="A537" s="5" t="inlineStr">
        <is>
          <t>Apoyo democracia</t>
        </is>
      </c>
      <c r="B537" s="5" t="inlineStr">
        <is>
          <t>Costa Rica</t>
        </is>
      </c>
      <c r="C537" s="5" t="n">
        <v>1998</v>
      </c>
      <c r="D537" s="5" t="inlineStr">
        <is>
          <t>Democracia</t>
        </is>
      </c>
      <c r="E537" s="6" t="n">
        <v>0.6899999999999999</v>
      </c>
      <c r="F537" s="7" t="n">
        <v>1000</v>
      </c>
    </row>
    <row r="538">
      <c r="A538" s="5" t="inlineStr">
        <is>
          <t>Apoyo democracia</t>
        </is>
      </c>
      <c r="B538" s="5" t="inlineStr">
        <is>
          <t>Costa Rica</t>
        </is>
      </c>
      <c r="C538" s="5" t="n">
        <v>1998</v>
      </c>
      <c r="D538" s="5" t="inlineStr">
        <is>
          <t>Gobierno Autoritario</t>
        </is>
      </c>
      <c r="E538" s="6" t="n">
        <v>0.213</v>
      </c>
      <c r="F538" s="7" t="n">
        <v>1000</v>
      </c>
    </row>
    <row r="539">
      <c r="A539" s="5" t="inlineStr">
        <is>
          <t>Apoyo democracia</t>
        </is>
      </c>
      <c r="B539" s="5" t="inlineStr">
        <is>
          <t>Costa Rica</t>
        </is>
      </c>
      <c r="C539" s="5" t="n">
        <v>1998</v>
      </c>
      <c r="D539" s="5" t="inlineStr">
        <is>
          <t>Da lo mismo</t>
        </is>
      </c>
      <c r="E539" s="6" t="n">
        <v>0.049</v>
      </c>
      <c r="F539" s="7" t="n">
        <v>1000</v>
      </c>
    </row>
    <row r="540">
      <c r="A540" s="5" t="inlineStr">
        <is>
          <t>Apoyo democracia</t>
        </is>
      </c>
      <c r="B540" s="5" t="inlineStr">
        <is>
          <t>Costa Rica</t>
        </is>
      </c>
      <c r="C540" s="5" t="n">
        <v>1998</v>
      </c>
      <c r="D540" s="5" t="inlineStr">
        <is>
          <t>No sabe</t>
        </is>
      </c>
      <c r="E540" s="6" t="n">
        <v>0.021</v>
      </c>
      <c r="F540" s="7" t="n">
        <v>1000</v>
      </c>
    </row>
    <row r="541">
      <c r="A541" s="5" t="inlineStr">
        <is>
          <t>Apoyo democracia</t>
        </is>
      </c>
      <c r="B541" s="5" t="inlineStr">
        <is>
          <t>Costa Rica</t>
        </is>
      </c>
      <c r="C541" s="5" t="n">
        <v>1998</v>
      </c>
      <c r="D541" s="5" t="inlineStr">
        <is>
          <t>No contesta</t>
        </is>
      </c>
      <c r="E541" s="6" t="n">
        <v>0.027</v>
      </c>
      <c r="F541" s="7" t="n">
        <v>1000</v>
      </c>
    </row>
    <row r="542">
      <c r="A542" s="5" t="inlineStr">
        <is>
          <t>Apoyo democracia</t>
        </is>
      </c>
      <c r="B542" s="5" t="inlineStr">
        <is>
          <t>Costa Rica</t>
        </is>
      </c>
      <c r="C542" s="5" t="n">
        <v>2000</v>
      </c>
      <c r="D542" s="5" t="inlineStr">
        <is>
          <t>Democracia</t>
        </is>
      </c>
      <c r="E542" s="6" t="n">
        <v>0.83</v>
      </c>
      <c r="F542" s="7" t="n">
        <v>981</v>
      </c>
    </row>
    <row r="543">
      <c r="A543" s="5" t="inlineStr">
        <is>
          <t>Apoyo democracia</t>
        </is>
      </c>
      <c r="B543" s="5" t="inlineStr">
        <is>
          <t>Costa Rica</t>
        </is>
      </c>
      <c r="C543" s="5" t="n">
        <v>2000</v>
      </c>
      <c r="D543" s="5" t="inlineStr">
        <is>
          <t>Gobierno Autoritario</t>
        </is>
      </c>
      <c r="E543" s="6" t="n">
        <v>0.05599999999999999</v>
      </c>
      <c r="F543" s="7" t="n">
        <v>981</v>
      </c>
    </row>
    <row r="544">
      <c r="A544" s="5" t="inlineStr">
        <is>
          <t>Apoyo democracia</t>
        </is>
      </c>
      <c r="B544" s="5" t="inlineStr">
        <is>
          <t>Costa Rica</t>
        </is>
      </c>
      <c r="C544" s="5" t="n">
        <v>2000</v>
      </c>
      <c r="D544" s="5" t="inlineStr">
        <is>
          <t>Da lo mismo</t>
        </is>
      </c>
      <c r="E544" s="6" t="n">
        <v>0.062</v>
      </c>
      <c r="F544" s="7" t="n">
        <v>981</v>
      </c>
    </row>
    <row r="545">
      <c r="A545" s="5" t="inlineStr">
        <is>
          <t>Apoyo democracia</t>
        </is>
      </c>
      <c r="B545" s="5" t="inlineStr">
        <is>
          <t>Costa Rica</t>
        </is>
      </c>
      <c r="C545" s="5" t="n">
        <v>2000</v>
      </c>
      <c r="D545" s="5" t="inlineStr">
        <is>
          <t>No sabe</t>
        </is>
      </c>
      <c r="E545" s="6" t="n">
        <v>0.031</v>
      </c>
      <c r="F545" s="7" t="n">
        <v>981</v>
      </c>
    </row>
    <row r="546">
      <c r="A546" s="5" t="inlineStr">
        <is>
          <t>Apoyo democracia</t>
        </is>
      </c>
      <c r="B546" s="5" t="inlineStr">
        <is>
          <t>Costa Rica</t>
        </is>
      </c>
      <c r="C546" s="5" t="n">
        <v>2000</v>
      </c>
      <c r="D546" s="5" t="inlineStr">
        <is>
          <t>No contesta</t>
        </is>
      </c>
      <c r="E546" s="6" t="n">
        <v>0.021</v>
      </c>
      <c r="F546" s="7" t="n">
        <v>981</v>
      </c>
    </row>
    <row r="547">
      <c r="A547" s="5" t="inlineStr">
        <is>
          <t>Apoyo democracia</t>
        </is>
      </c>
      <c r="B547" s="5" t="inlineStr">
        <is>
          <t>Costa Rica</t>
        </is>
      </c>
      <c r="C547" s="5" t="n">
        <v>2001</v>
      </c>
      <c r="D547" s="5" t="inlineStr">
        <is>
          <t>Democracia</t>
        </is>
      </c>
      <c r="E547" s="6" t="n">
        <v>0.7140000000000001</v>
      </c>
      <c r="F547" s="7" t="n">
        <v>1000</v>
      </c>
    </row>
    <row r="548">
      <c r="A548" s="5" t="inlineStr">
        <is>
          <t>Apoyo democracia</t>
        </is>
      </c>
      <c r="B548" s="5" t="inlineStr">
        <is>
          <t>Costa Rica</t>
        </is>
      </c>
      <c r="C548" s="5" t="n">
        <v>2001</v>
      </c>
      <c r="D548" s="5" t="inlineStr">
        <is>
          <t>Gobierno Autoritario</t>
        </is>
      </c>
      <c r="E548" s="6" t="n">
        <v>0.08199999999999999</v>
      </c>
      <c r="F548" s="7" t="n">
        <v>1000</v>
      </c>
    </row>
    <row r="549">
      <c r="A549" s="5" t="inlineStr">
        <is>
          <t>Apoyo democracia</t>
        </is>
      </c>
      <c r="B549" s="5" t="inlineStr">
        <is>
          <t>Costa Rica</t>
        </is>
      </c>
      <c r="C549" s="5" t="n">
        <v>2001</v>
      </c>
      <c r="D549" s="5" t="inlineStr">
        <is>
          <t>Da lo mismo</t>
        </is>
      </c>
      <c r="E549" s="6" t="n">
        <v>0.125</v>
      </c>
      <c r="F549" s="7" t="n">
        <v>1000</v>
      </c>
    </row>
    <row r="550">
      <c r="A550" s="5" t="inlineStr">
        <is>
          <t>Apoyo democracia</t>
        </is>
      </c>
      <c r="B550" s="5" t="inlineStr">
        <is>
          <t>Costa Rica</t>
        </is>
      </c>
      <c r="C550" s="5" t="n">
        <v>2001</v>
      </c>
      <c r="D550" s="5" t="inlineStr">
        <is>
          <t>No sabe</t>
        </is>
      </c>
      <c r="E550" s="6" t="n">
        <v>0.066</v>
      </c>
      <c r="F550" s="7" t="n">
        <v>1000</v>
      </c>
    </row>
    <row r="551">
      <c r="A551" s="5" t="inlineStr">
        <is>
          <t>Apoyo democracia</t>
        </is>
      </c>
      <c r="B551" s="5" t="inlineStr">
        <is>
          <t>Costa Rica</t>
        </is>
      </c>
      <c r="C551" s="5" t="n">
        <v>2001</v>
      </c>
      <c r="D551" s="5" t="inlineStr">
        <is>
          <t>No contesta</t>
        </is>
      </c>
      <c r="E551" s="6" t="n">
        <v>0.013</v>
      </c>
      <c r="F551" s="7" t="n">
        <v>1000</v>
      </c>
    </row>
    <row r="552">
      <c r="A552" s="5" t="inlineStr">
        <is>
          <t>Apoyo democracia</t>
        </is>
      </c>
      <c r="B552" s="5" t="inlineStr">
        <is>
          <t>Costa Rica</t>
        </is>
      </c>
      <c r="C552" s="5" t="n">
        <v>2002</v>
      </c>
      <c r="D552" s="5" t="inlineStr">
        <is>
          <t>Democracia</t>
        </is>
      </c>
      <c r="E552" s="6" t="n">
        <v>0.772</v>
      </c>
      <c r="F552" s="7" t="n">
        <v>1006</v>
      </c>
    </row>
    <row r="553">
      <c r="A553" s="5" t="inlineStr">
        <is>
          <t>Apoyo democracia</t>
        </is>
      </c>
      <c r="B553" s="5" t="inlineStr">
        <is>
          <t>Costa Rica</t>
        </is>
      </c>
      <c r="C553" s="5" t="n">
        <v>2002</v>
      </c>
      <c r="D553" s="5" t="inlineStr">
        <is>
          <t>Gobierno Autoritario</t>
        </is>
      </c>
      <c r="E553" s="6" t="n">
        <v>0.076</v>
      </c>
      <c r="F553" s="7" t="n">
        <v>1006</v>
      </c>
    </row>
    <row r="554">
      <c r="A554" s="5" t="inlineStr">
        <is>
          <t>Apoyo democracia</t>
        </is>
      </c>
      <c r="B554" s="5" t="inlineStr">
        <is>
          <t>Costa Rica</t>
        </is>
      </c>
      <c r="C554" s="5" t="n">
        <v>2002</v>
      </c>
      <c r="D554" s="5" t="inlineStr">
        <is>
          <t>Da lo mismo</t>
        </is>
      </c>
      <c r="E554" s="6" t="n">
        <v>0.07000000000000001</v>
      </c>
      <c r="F554" s="7" t="n">
        <v>1006</v>
      </c>
    </row>
    <row r="555">
      <c r="A555" s="5" t="inlineStr">
        <is>
          <t>Apoyo democracia</t>
        </is>
      </c>
      <c r="B555" s="5" t="inlineStr">
        <is>
          <t>Costa Rica</t>
        </is>
      </c>
      <c r="C555" s="5" t="n">
        <v>2002</v>
      </c>
      <c r="D555" s="5" t="inlineStr">
        <is>
          <t>No sabe</t>
        </is>
      </c>
      <c r="E555" s="6" t="n">
        <v>0.066</v>
      </c>
      <c r="F555" s="7" t="n">
        <v>1006</v>
      </c>
    </row>
    <row r="556">
      <c r="A556" s="5" t="inlineStr">
        <is>
          <t>Apoyo democracia</t>
        </is>
      </c>
      <c r="B556" s="5" t="inlineStr">
        <is>
          <t>Costa Rica</t>
        </is>
      </c>
      <c r="C556" s="5" t="n">
        <v>2002</v>
      </c>
      <c r="D556" s="5" t="inlineStr">
        <is>
          <t>No contesta</t>
        </is>
      </c>
      <c r="E556" s="6" t="n">
        <v>0.017</v>
      </c>
      <c r="F556" s="7" t="n">
        <v>1006</v>
      </c>
    </row>
    <row r="557">
      <c r="A557" s="5" t="inlineStr">
        <is>
          <t>Apoyo democracia</t>
        </is>
      </c>
      <c r="B557" s="5" t="inlineStr">
        <is>
          <t>Costa Rica</t>
        </is>
      </c>
      <c r="C557" s="5" t="n">
        <v>2003</v>
      </c>
      <c r="D557" s="5" t="inlineStr">
        <is>
          <t>Democracia</t>
        </is>
      </c>
      <c r="E557" s="6" t="n">
        <v>0.775</v>
      </c>
      <c r="F557" s="7" t="n">
        <v>1004</v>
      </c>
    </row>
    <row r="558">
      <c r="A558" s="5" t="inlineStr">
        <is>
          <t>Apoyo democracia</t>
        </is>
      </c>
      <c r="B558" s="5" t="inlineStr">
        <is>
          <t>Costa Rica</t>
        </is>
      </c>
      <c r="C558" s="5" t="n">
        <v>2003</v>
      </c>
      <c r="D558" s="5" t="inlineStr">
        <is>
          <t>Gobierno Autoritario</t>
        </is>
      </c>
      <c r="E558" s="6" t="n">
        <v>0.06900000000000001</v>
      </c>
      <c r="F558" s="7" t="n">
        <v>1004</v>
      </c>
    </row>
    <row r="559">
      <c r="A559" s="5" t="inlineStr">
        <is>
          <t>Apoyo democracia</t>
        </is>
      </c>
      <c r="B559" s="5" t="inlineStr">
        <is>
          <t>Costa Rica</t>
        </is>
      </c>
      <c r="C559" s="5" t="n">
        <v>2003</v>
      </c>
      <c r="D559" s="5" t="inlineStr">
        <is>
          <t>Da lo mismo</t>
        </is>
      </c>
      <c r="E559" s="6" t="n">
        <v>0.109</v>
      </c>
      <c r="F559" s="7" t="n">
        <v>1004</v>
      </c>
    </row>
    <row r="560">
      <c r="A560" s="5" t="inlineStr">
        <is>
          <t>Apoyo democracia</t>
        </is>
      </c>
      <c r="B560" s="5" t="inlineStr">
        <is>
          <t>Costa Rica</t>
        </is>
      </c>
      <c r="C560" s="5" t="n">
        <v>2003</v>
      </c>
      <c r="D560" s="5" t="inlineStr">
        <is>
          <t>No sabe</t>
        </is>
      </c>
      <c r="E560" s="6" t="n">
        <v>0.029</v>
      </c>
      <c r="F560" s="7" t="n">
        <v>1004</v>
      </c>
    </row>
    <row r="561">
      <c r="A561" s="5" t="inlineStr">
        <is>
          <t>Apoyo democracia</t>
        </is>
      </c>
      <c r="B561" s="5" t="inlineStr">
        <is>
          <t>Costa Rica</t>
        </is>
      </c>
      <c r="C561" s="5" t="n">
        <v>2003</v>
      </c>
      <c r="D561" s="5" t="inlineStr">
        <is>
          <t>No contesta</t>
        </is>
      </c>
      <c r="E561" s="6" t="n">
        <v>0.018</v>
      </c>
      <c r="F561" s="7" t="n">
        <v>1004</v>
      </c>
    </row>
    <row r="562">
      <c r="A562" s="5" t="inlineStr">
        <is>
          <t>Apoyo democracia</t>
        </is>
      </c>
      <c r="B562" s="5" t="inlineStr">
        <is>
          <t>Costa Rica</t>
        </is>
      </c>
      <c r="C562" s="5" t="n">
        <v>2004</v>
      </c>
      <c r="D562" s="5" t="inlineStr">
        <is>
          <t>Democracia</t>
        </is>
      </c>
      <c r="E562" s="6" t="n">
        <v>0.67</v>
      </c>
      <c r="F562" s="7" t="n">
        <v>1000</v>
      </c>
    </row>
    <row r="563">
      <c r="A563" s="5" t="inlineStr">
        <is>
          <t>Apoyo democracia</t>
        </is>
      </c>
      <c r="B563" s="5" t="inlineStr">
        <is>
          <t>Costa Rica</t>
        </is>
      </c>
      <c r="C563" s="5" t="n">
        <v>2004</v>
      </c>
      <c r="D563" s="5" t="inlineStr">
        <is>
          <t>Gobierno Autoritario</t>
        </is>
      </c>
      <c r="E563" s="6" t="n">
        <v>0.068</v>
      </c>
      <c r="F563" s="7" t="n">
        <v>1000</v>
      </c>
    </row>
    <row r="564">
      <c r="A564" s="5" t="inlineStr">
        <is>
          <t>Apoyo democracia</t>
        </is>
      </c>
      <c r="B564" s="5" t="inlineStr">
        <is>
          <t>Costa Rica</t>
        </is>
      </c>
      <c r="C564" s="5" t="n">
        <v>2004</v>
      </c>
      <c r="D564" s="5" t="inlineStr">
        <is>
          <t>Da lo mismo</t>
        </is>
      </c>
      <c r="E564" s="6" t="n">
        <v>0.166</v>
      </c>
      <c r="F564" s="7" t="n">
        <v>1000</v>
      </c>
    </row>
    <row r="565">
      <c r="A565" s="5" t="inlineStr">
        <is>
          <t>Apoyo democracia</t>
        </is>
      </c>
      <c r="B565" s="5" t="inlineStr">
        <is>
          <t>Costa Rica</t>
        </is>
      </c>
      <c r="C565" s="5" t="n">
        <v>2004</v>
      </c>
      <c r="D565" s="5" t="inlineStr">
        <is>
          <t>No sabe</t>
        </is>
      </c>
      <c r="E565" s="6" t="n">
        <v>0.096</v>
      </c>
      <c r="F565" s="7" t="n">
        <v>1000</v>
      </c>
    </row>
    <row r="566">
      <c r="A566" s="5" t="inlineStr">
        <is>
          <t>Apoyo democracia</t>
        </is>
      </c>
      <c r="B566" s="5" t="inlineStr">
        <is>
          <t>Costa Rica</t>
        </is>
      </c>
      <c r="C566" s="5" t="n">
        <v>2005</v>
      </c>
      <c r="D566" s="5" t="inlineStr">
        <is>
          <t>Democracia</t>
        </is>
      </c>
      <c r="E566" s="6" t="n">
        <v>0.731</v>
      </c>
      <c r="F566" s="7" t="n">
        <v>1000</v>
      </c>
    </row>
    <row r="567">
      <c r="A567" s="5" t="inlineStr">
        <is>
          <t>Apoyo democracia</t>
        </is>
      </c>
      <c r="B567" s="5" t="inlineStr">
        <is>
          <t>Costa Rica</t>
        </is>
      </c>
      <c r="C567" s="5" t="n">
        <v>2005</v>
      </c>
      <c r="D567" s="5" t="inlineStr">
        <is>
          <t>Gobierno Autoritario</t>
        </is>
      </c>
      <c r="E567" s="6" t="n">
        <v>0.078</v>
      </c>
      <c r="F567" s="7" t="n">
        <v>1000</v>
      </c>
    </row>
    <row r="568">
      <c r="A568" s="5" t="inlineStr">
        <is>
          <t>Apoyo democracia</t>
        </is>
      </c>
      <c r="B568" s="5" t="inlineStr">
        <is>
          <t>Costa Rica</t>
        </is>
      </c>
      <c r="C568" s="5" t="n">
        <v>2005</v>
      </c>
      <c r="D568" s="5" t="inlineStr">
        <is>
          <t>Da lo mismo</t>
        </is>
      </c>
      <c r="E568" s="6" t="n">
        <v>0.098</v>
      </c>
      <c r="F568" s="7" t="n">
        <v>1000</v>
      </c>
    </row>
    <row r="569">
      <c r="A569" s="5" t="inlineStr">
        <is>
          <t>Apoyo democracia</t>
        </is>
      </c>
      <c r="B569" s="5" t="inlineStr">
        <is>
          <t>Costa Rica</t>
        </is>
      </c>
      <c r="C569" s="5" t="n">
        <v>2005</v>
      </c>
      <c r="D569" s="5" t="inlineStr">
        <is>
          <t>No sabe</t>
        </is>
      </c>
      <c r="E569" s="6" t="n">
        <v>0.07099999999999999</v>
      </c>
      <c r="F569" s="7" t="n">
        <v>1000</v>
      </c>
    </row>
    <row r="570">
      <c r="A570" s="5" t="inlineStr">
        <is>
          <t>Apoyo democracia</t>
        </is>
      </c>
      <c r="B570" s="5" t="inlineStr">
        <is>
          <t>Costa Rica</t>
        </is>
      </c>
      <c r="C570" s="5" t="n">
        <v>2005</v>
      </c>
      <c r="D570" s="5" t="inlineStr">
        <is>
          <t>No contesta</t>
        </is>
      </c>
      <c r="E570" s="6" t="n">
        <v>0.022</v>
      </c>
      <c r="F570" s="7" t="n">
        <v>1000</v>
      </c>
    </row>
    <row r="571">
      <c r="A571" s="5" t="inlineStr">
        <is>
          <t>Apoyo democracia</t>
        </is>
      </c>
      <c r="B571" s="5" t="inlineStr">
        <is>
          <t>Costa Rica</t>
        </is>
      </c>
      <c r="C571" s="5" t="n">
        <v>2006</v>
      </c>
      <c r="D571" s="5" t="inlineStr">
        <is>
          <t>Democracia</t>
        </is>
      </c>
      <c r="E571" s="6" t="n">
        <v>0.75</v>
      </c>
      <c r="F571" s="7" t="n">
        <v>1000</v>
      </c>
    </row>
    <row r="572">
      <c r="A572" s="5" t="inlineStr">
        <is>
          <t>Apoyo democracia</t>
        </is>
      </c>
      <c r="B572" s="5" t="inlineStr">
        <is>
          <t>Costa Rica</t>
        </is>
      </c>
      <c r="C572" s="5" t="n">
        <v>2006</v>
      </c>
      <c r="D572" s="5" t="inlineStr">
        <is>
          <t>Gobierno Autoritario</t>
        </is>
      </c>
      <c r="E572" s="6" t="n">
        <v>0.08800000000000001</v>
      </c>
      <c r="F572" s="7" t="n">
        <v>1000</v>
      </c>
    </row>
    <row r="573">
      <c r="A573" s="5" t="inlineStr">
        <is>
          <t>Apoyo democracia</t>
        </is>
      </c>
      <c r="B573" s="5" t="inlineStr">
        <is>
          <t>Costa Rica</t>
        </is>
      </c>
      <c r="C573" s="5" t="n">
        <v>2006</v>
      </c>
      <c r="D573" s="5" t="inlineStr">
        <is>
          <t>Da lo mismo</t>
        </is>
      </c>
      <c r="E573" s="6" t="n">
        <v>0.08900000000000001</v>
      </c>
      <c r="F573" s="7" t="n">
        <v>1000</v>
      </c>
    </row>
    <row r="574">
      <c r="A574" s="5" t="inlineStr">
        <is>
          <t>Apoyo democracia</t>
        </is>
      </c>
      <c r="B574" s="5" t="inlineStr">
        <is>
          <t>Costa Rica</t>
        </is>
      </c>
      <c r="C574" s="5" t="n">
        <v>2006</v>
      </c>
      <c r="D574" s="5" t="inlineStr">
        <is>
          <t>No sabe</t>
        </is>
      </c>
      <c r="E574" s="6" t="n">
        <v>0.064</v>
      </c>
      <c r="F574" s="7" t="n">
        <v>1000</v>
      </c>
    </row>
    <row r="575">
      <c r="A575" s="5" t="inlineStr">
        <is>
          <t>Apoyo democracia</t>
        </is>
      </c>
      <c r="B575" s="5" t="inlineStr">
        <is>
          <t>Costa Rica</t>
        </is>
      </c>
      <c r="C575" s="5" t="n">
        <v>2006</v>
      </c>
      <c r="D575" s="5" t="inlineStr">
        <is>
          <t>No contesta</t>
        </is>
      </c>
      <c r="E575" s="6" t="n">
        <v>0.009000000000000001</v>
      </c>
      <c r="F575" s="7" t="n">
        <v>1000</v>
      </c>
    </row>
    <row r="576">
      <c r="A576" s="5" t="inlineStr">
        <is>
          <t>Apoyo democracia</t>
        </is>
      </c>
      <c r="B576" s="5" t="inlineStr">
        <is>
          <t>Costa Rica</t>
        </is>
      </c>
      <c r="C576" s="5" t="n">
        <v>2007</v>
      </c>
      <c r="D576" s="5" t="inlineStr">
        <is>
          <t>Democracia</t>
        </is>
      </c>
      <c r="E576" s="6" t="n">
        <v>0.825</v>
      </c>
      <c r="F576" s="7" t="n">
        <v>1000</v>
      </c>
    </row>
    <row r="577">
      <c r="A577" s="5" t="inlineStr">
        <is>
          <t>Apoyo democracia</t>
        </is>
      </c>
      <c r="B577" s="5" t="inlineStr">
        <is>
          <t>Costa Rica</t>
        </is>
      </c>
      <c r="C577" s="5" t="n">
        <v>2007</v>
      </c>
      <c r="D577" s="5" t="inlineStr">
        <is>
          <t>Gobierno Autoritario</t>
        </is>
      </c>
      <c r="E577" s="6" t="n">
        <v>0.052</v>
      </c>
      <c r="F577" s="7" t="n">
        <v>1000</v>
      </c>
    </row>
    <row r="578">
      <c r="A578" s="5" t="inlineStr">
        <is>
          <t>Apoyo democracia</t>
        </is>
      </c>
      <c r="B578" s="5" t="inlineStr">
        <is>
          <t>Costa Rica</t>
        </is>
      </c>
      <c r="C578" s="5" t="n">
        <v>2007</v>
      </c>
      <c r="D578" s="5" t="inlineStr">
        <is>
          <t>Da lo mismo</t>
        </is>
      </c>
      <c r="E578" s="6" t="n">
        <v>0.08400000000000001</v>
      </c>
      <c r="F578" s="7" t="n">
        <v>1000</v>
      </c>
    </row>
    <row r="579">
      <c r="A579" s="5" t="inlineStr">
        <is>
          <t>Apoyo democracia</t>
        </is>
      </c>
      <c r="B579" s="5" t="inlineStr">
        <is>
          <t>Costa Rica</t>
        </is>
      </c>
      <c r="C579" s="5" t="n">
        <v>2007</v>
      </c>
      <c r="D579" s="5" t="inlineStr">
        <is>
          <t>No sabe</t>
        </is>
      </c>
      <c r="E579" s="6" t="n">
        <v>0.029</v>
      </c>
      <c r="F579" s="7" t="n">
        <v>1000</v>
      </c>
    </row>
    <row r="580">
      <c r="A580" s="5" t="inlineStr">
        <is>
          <t>Apoyo democracia</t>
        </is>
      </c>
      <c r="B580" s="5" t="inlineStr">
        <is>
          <t>Costa Rica</t>
        </is>
      </c>
      <c r="C580" s="5" t="n">
        <v>2007</v>
      </c>
      <c r="D580" s="5" t="inlineStr">
        <is>
          <t>No contesta</t>
        </is>
      </c>
      <c r="E580" s="6" t="n">
        <v>0.01</v>
      </c>
      <c r="F580" s="7" t="n">
        <v>1000</v>
      </c>
    </row>
    <row r="581">
      <c r="A581" s="5" t="inlineStr">
        <is>
          <t>Apoyo democracia</t>
        </is>
      </c>
      <c r="B581" s="5" t="inlineStr">
        <is>
          <t>Costa Rica</t>
        </is>
      </c>
      <c r="C581" s="5" t="n">
        <v>2008</v>
      </c>
      <c r="D581" s="5" t="inlineStr">
        <is>
          <t>Democracia</t>
        </is>
      </c>
      <c r="E581" s="6" t="n">
        <v>0.67</v>
      </c>
      <c r="F581" s="7" t="n">
        <v>1000</v>
      </c>
    </row>
    <row r="582">
      <c r="A582" s="5" t="inlineStr">
        <is>
          <t>Apoyo democracia</t>
        </is>
      </c>
      <c r="B582" s="5" t="inlineStr">
        <is>
          <t>Costa Rica</t>
        </is>
      </c>
      <c r="C582" s="5" t="n">
        <v>2008</v>
      </c>
      <c r="D582" s="5" t="inlineStr">
        <is>
          <t>Gobierno Autoritario</t>
        </is>
      </c>
      <c r="E582" s="6" t="n">
        <v>0.138</v>
      </c>
      <c r="F582" s="7" t="n">
        <v>1000</v>
      </c>
    </row>
    <row r="583">
      <c r="A583" s="5" t="inlineStr">
        <is>
          <t>Apoyo democracia</t>
        </is>
      </c>
      <c r="B583" s="5" t="inlineStr">
        <is>
          <t>Costa Rica</t>
        </is>
      </c>
      <c r="C583" s="5" t="n">
        <v>2008</v>
      </c>
      <c r="D583" s="5" t="inlineStr">
        <is>
          <t>Da lo mismo</t>
        </is>
      </c>
      <c r="E583" s="6" t="n">
        <v>0.144</v>
      </c>
      <c r="F583" s="7" t="n">
        <v>1000</v>
      </c>
    </row>
    <row r="584">
      <c r="A584" s="5" t="inlineStr">
        <is>
          <t>Apoyo democracia</t>
        </is>
      </c>
      <c r="B584" s="5" t="inlineStr">
        <is>
          <t>Costa Rica</t>
        </is>
      </c>
      <c r="C584" s="5" t="n">
        <v>2008</v>
      </c>
      <c r="D584" s="5" t="inlineStr">
        <is>
          <t>No sabe</t>
        </is>
      </c>
      <c r="E584" s="6" t="n">
        <v>0.04099999999999999</v>
      </c>
      <c r="F584" s="7" t="n">
        <v>1000</v>
      </c>
    </row>
    <row r="585">
      <c r="A585" s="5" t="inlineStr">
        <is>
          <t>Apoyo democracia</t>
        </is>
      </c>
      <c r="B585" s="5" t="inlineStr">
        <is>
          <t>Costa Rica</t>
        </is>
      </c>
      <c r="C585" s="5" t="n">
        <v>2008</v>
      </c>
      <c r="D585" s="5" t="inlineStr">
        <is>
          <t>No contesta</t>
        </is>
      </c>
      <c r="E585" s="6" t="n">
        <v>0.006999999999999999</v>
      </c>
      <c r="F585" s="7" t="n">
        <v>1000</v>
      </c>
    </row>
    <row r="586">
      <c r="A586" s="5" t="inlineStr">
        <is>
          <t>Apoyo democracia</t>
        </is>
      </c>
      <c r="B586" s="5" t="inlineStr">
        <is>
          <t>Costa Rica</t>
        </is>
      </c>
      <c r="C586" s="5" t="n">
        <v>2009</v>
      </c>
      <c r="D586" s="5" t="inlineStr">
        <is>
          <t>Democracia</t>
        </is>
      </c>
      <c r="E586" s="6" t="n">
        <v>0.7390000000000001</v>
      </c>
      <c r="F586" s="7" t="n">
        <v>1000</v>
      </c>
    </row>
    <row r="587">
      <c r="A587" s="5" t="inlineStr">
        <is>
          <t>Apoyo democracia</t>
        </is>
      </c>
      <c r="B587" s="5" t="inlineStr">
        <is>
          <t>Costa Rica</t>
        </is>
      </c>
      <c r="C587" s="5" t="n">
        <v>2009</v>
      </c>
      <c r="D587" s="5" t="inlineStr">
        <is>
          <t>Gobierno Autoritario</t>
        </is>
      </c>
      <c r="E587" s="6" t="n">
        <v>0.08900000000000001</v>
      </c>
      <c r="F587" s="7" t="n">
        <v>1000</v>
      </c>
    </row>
    <row r="588">
      <c r="A588" s="5" t="inlineStr">
        <is>
          <t>Apoyo democracia</t>
        </is>
      </c>
      <c r="B588" s="5" t="inlineStr">
        <is>
          <t>Costa Rica</t>
        </is>
      </c>
      <c r="C588" s="5" t="n">
        <v>2009</v>
      </c>
      <c r="D588" s="5" t="inlineStr">
        <is>
          <t>Da lo mismo</t>
        </is>
      </c>
      <c r="E588" s="6" t="n">
        <v>0.12</v>
      </c>
      <c r="F588" s="7" t="n">
        <v>1000</v>
      </c>
    </row>
    <row r="589">
      <c r="A589" s="5" t="inlineStr">
        <is>
          <t>Apoyo democracia</t>
        </is>
      </c>
      <c r="B589" s="5" t="inlineStr">
        <is>
          <t>Costa Rica</t>
        </is>
      </c>
      <c r="C589" s="5" t="n">
        <v>2009</v>
      </c>
      <c r="D589" s="5" t="inlineStr">
        <is>
          <t>No sabe</t>
        </is>
      </c>
      <c r="E589" s="6" t="n">
        <v>0.039</v>
      </c>
      <c r="F589" s="7" t="n">
        <v>1000</v>
      </c>
    </row>
    <row r="590">
      <c r="A590" s="5" t="inlineStr">
        <is>
          <t>Apoyo democracia</t>
        </is>
      </c>
      <c r="B590" s="5" t="inlineStr">
        <is>
          <t>Costa Rica</t>
        </is>
      </c>
      <c r="C590" s="5" t="n">
        <v>2009</v>
      </c>
      <c r="D590" s="5" t="inlineStr">
        <is>
          <t>No contesta</t>
        </is>
      </c>
      <c r="E590" s="6" t="n">
        <v>0.013</v>
      </c>
      <c r="F590" s="7" t="n">
        <v>1000</v>
      </c>
    </row>
    <row r="591">
      <c r="A591" s="5" t="inlineStr">
        <is>
          <t>Apoyo democracia</t>
        </is>
      </c>
      <c r="B591" s="5" t="inlineStr">
        <is>
          <t>Costa Rica</t>
        </is>
      </c>
      <c r="C591" s="5" t="n">
        <v>2010</v>
      </c>
      <c r="D591" s="5" t="inlineStr">
        <is>
          <t>Democracia</t>
        </is>
      </c>
      <c r="E591" s="6" t="n">
        <v>0.72</v>
      </c>
      <c r="F591" s="7" t="n">
        <v>1000</v>
      </c>
    </row>
    <row r="592">
      <c r="A592" s="5" t="inlineStr">
        <is>
          <t>Apoyo democracia</t>
        </is>
      </c>
      <c r="B592" s="5" t="inlineStr">
        <is>
          <t>Costa Rica</t>
        </is>
      </c>
      <c r="C592" s="5" t="n">
        <v>2010</v>
      </c>
      <c r="D592" s="5" t="inlineStr">
        <is>
          <t>Gobierno Autoritario</t>
        </is>
      </c>
      <c r="E592" s="6" t="n">
        <v>0.119</v>
      </c>
      <c r="F592" s="7" t="n">
        <v>1000</v>
      </c>
    </row>
    <row r="593">
      <c r="A593" s="5" t="inlineStr">
        <is>
          <t>Apoyo democracia</t>
        </is>
      </c>
      <c r="B593" s="5" t="inlineStr">
        <is>
          <t>Costa Rica</t>
        </is>
      </c>
      <c r="C593" s="5" t="n">
        <v>2010</v>
      </c>
      <c r="D593" s="5" t="inlineStr">
        <is>
          <t>Da lo mismo</t>
        </is>
      </c>
      <c r="E593" s="6" t="n">
        <v>0.126</v>
      </c>
      <c r="F593" s="7" t="n">
        <v>1000</v>
      </c>
    </row>
    <row r="594">
      <c r="A594" s="5" t="inlineStr">
        <is>
          <t>Apoyo democracia</t>
        </is>
      </c>
      <c r="B594" s="5" t="inlineStr">
        <is>
          <t>Costa Rica</t>
        </is>
      </c>
      <c r="C594" s="5" t="n">
        <v>2010</v>
      </c>
      <c r="D594" s="5" t="inlineStr">
        <is>
          <t>No sabe</t>
        </is>
      </c>
      <c r="E594" s="6" t="n">
        <v>0.017</v>
      </c>
      <c r="F594" s="7" t="n">
        <v>1000</v>
      </c>
    </row>
    <row r="595">
      <c r="A595" s="5" t="inlineStr">
        <is>
          <t>Apoyo democracia</t>
        </is>
      </c>
      <c r="B595" s="5" t="inlineStr">
        <is>
          <t>Costa Rica</t>
        </is>
      </c>
      <c r="C595" s="5" t="n">
        <v>2010</v>
      </c>
      <c r="D595" s="5" t="inlineStr">
        <is>
          <t>No contesta</t>
        </is>
      </c>
      <c r="E595" s="6" t="n">
        <v>0.018</v>
      </c>
      <c r="F595" s="7" t="n">
        <v>1000</v>
      </c>
    </row>
    <row r="596">
      <c r="A596" s="5" t="inlineStr">
        <is>
          <t>Apoyo democracia</t>
        </is>
      </c>
      <c r="B596" s="5" t="inlineStr">
        <is>
          <t>Costa Rica</t>
        </is>
      </c>
      <c r="C596" s="5" t="n">
        <v>2011</v>
      </c>
      <c r="D596" s="5" t="inlineStr">
        <is>
          <t>Democracia</t>
        </is>
      </c>
      <c r="E596" s="6" t="n">
        <v>0.645</v>
      </c>
      <c r="F596" s="7" t="n">
        <v>1000</v>
      </c>
    </row>
    <row r="597">
      <c r="A597" s="5" t="inlineStr">
        <is>
          <t>Apoyo democracia</t>
        </is>
      </c>
      <c r="B597" s="5" t="inlineStr">
        <is>
          <t>Costa Rica</t>
        </is>
      </c>
      <c r="C597" s="5" t="n">
        <v>2011</v>
      </c>
      <c r="D597" s="5" t="inlineStr">
        <is>
          <t>Gobierno Autoritario</t>
        </is>
      </c>
      <c r="E597" s="6" t="n">
        <v>0.141</v>
      </c>
      <c r="F597" s="7" t="n">
        <v>1000</v>
      </c>
    </row>
    <row r="598">
      <c r="A598" s="5" t="inlineStr">
        <is>
          <t>Apoyo democracia</t>
        </is>
      </c>
      <c r="B598" s="5" t="inlineStr">
        <is>
          <t>Costa Rica</t>
        </is>
      </c>
      <c r="C598" s="5" t="n">
        <v>2011</v>
      </c>
      <c r="D598" s="5" t="inlineStr">
        <is>
          <t>Da lo mismo</t>
        </is>
      </c>
      <c r="E598" s="6" t="n">
        <v>0.146</v>
      </c>
      <c r="F598" s="7" t="n">
        <v>1000</v>
      </c>
    </row>
    <row r="599">
      <c r="A599" s="5" t="inlineStr">
        <is>
          <t>Apoyo democracia</t>
        </is>
      </c>
      <c r="B599" s="5" t="inlineStr">
        <is>
          <t>Costa Rica</t>
        </is>
      </c>
      <c r="C599" s="5" t="n">
        <v>2011</v>
      </c>
      <c r="D599" s="5" t="inlineStr">
        <is>
          <t>No sabe</t>
        </is>
      </c>
      <c r="E599" s="6" t="n">
        <v>0.049</v>
      </c>
      <c r="F599" s="7" t="n">
        <v>1000</v>
      </c>
    </row>
    <row r="600">
      <c r="A600" s="5" t="inlineStr">
        <is>
          <t>Apoyo democracia</t>
        </is>
      </c>
      <c r="B600" s="5" t="inlineStr">
        <is>
          <t>Costa Rica</t>
        </is>
      </c>
      <c r="C600" s="5" t="n">
        <v>2011</v>
      </c>
      <c r="D600" s="5" t="inlineStr">
        <is>
          <t>No contesta</t>
        </is>
      </c>
      <c r="E600" s="6" t="n">
        <v>0.019</v>
      </c>
      <c r="F600" s="7" t="n">
        <v>1000</v>
      </c>
    </row>
    <row r="601">
      <c r="A601" s="5" t="inlineStr">
        <is>
          <t>Apoyo democracia</t>
        </is>
      </c>
      <c r="B601" s="5" t="inlineStr">
        <is>
          <t>Costa Rica</t>
        </is>
      </c>
      <c r="C601" s="5" t="n">
        <v>2016</v>
      </c>
      <c r="D601" s="5" t="inlineStr">
        <is>
          <t>Democracia</t>
        </is>
      </c>
      <c r="E601" s="6" t="n">
        <v>0.596</v>
      </c>
      <c r="F601" s="7" t="n">
        <v>1000</v>
      </c>
    </row>
    <row r="602">
      <c r="A602" s="5" t="inlineStr">
        <is>
          <t>Apoyo democracia</t>
        </is>
      </c>
      <c r="B602" s="5" t="inlineStr">
        <is>
          <t>Costa Rica</t>
        </is>
      </c>
      <c r="C602" s="5" t="n">
        <v>2016</v>
      </c>
      <c r="D602" s="5" t="inlineStr">
        <is>
          <t>Gobierno Autoritario</t>
        </is>
      </c>
      <c r="E602" s="6" t="n">
        <v>0.09</v>
      </c>
      <c r="F602" s="7" t="n">
        <v>1000</v>
      </c>
    </row>
    <row r="603">
      <c r="A603" s="5" t="inlineStr">
        <is>
          <t>Apoyo democracia</t>
        </is>
      </c>
      <c r="B603" s="5" t="inlineStr">
        <is>
          <t>Costa Rica</t>
        </is>
      </c>
      <c r="C603" s="5" t="n">
        <v>2016</v>
      </c>
      <c r="D603" s="5" t="inlineStr">
        <is>
          <t>Da lo mismo</t>
        </is>
      </c>
      <c r="E603" s="6" t="n">
        <v>0.246</v>
      </c>
      <c r="F603" s="7" t="n">
        <v>1000</v>
      </c>
    </row>
    <row r="604">
      <c r="A604" s="5" t="inlineStr">
        <is>
          <t>Apoyo democracia</t>
        </is>
      </c>
      <c r="B604" s="5" t="inlineStr">
        <is>
          <t>Costa Rica</t>
        </is>
      </c>
      <c r="C604" s="5" t="n">
        <v>2016</v>
      </c>
      <c r="D604" s="5" t="inlineStr">
        <is>
          <t>No sabe</t>
        </is>
      </c>
      <c r="E604" s="6" t="n">
        <v>0.061</v>
      </c>
      <c r="F604" s="7" t="n">
        <v>1000</v>
      </c>
    </row>
    <row r="605">
      <c r="A605" s="5" t="inlineStr">
        <is>
          <t>Apoyo democracia</t>
        </is>
      </c>
      <c r="B605" s="5" t="inlineStr">
        <is>
          <t>Costa Rica</t>
        </is>
      </c>
      <c r="C605" s="5" t="n">
        <v>2016</v>
      </c>
      <c r="D605" s="5" t="inlineStr">
        <is>
          <t>No contesta</t>
        </is>
      </c>
      <c r="E605" s="6" t="n">
        <v>0.006999999999999999</v>
      </c>
      <c r="F605" s="7" t="n">
        <v>1000</v>
      </c>
    </row>
    <row r="606">
      <c r="A606" s="5" t="inlineStr">
        <is>
          <t>Apoyo democracia</t>
        </is>
      </c>
      <c r="B606" s="5" t="inlineStr">
        <is>
          <t>Costa Rica</t>
        </is>
      </c>
      <c r="C606" s="5" t="n">
        <v>2017</v>
      </c>
      <c r="D606" s="5" t="inlineStr">
        <is>
          <t>Democracia</t>
        </is>
      </c>
      <c r="E606" s="6" t="n">
        <v>0.617</v>
      </c>
      <c r="F606" s="7" t="n">
        <v>1000</v>
      </c>
    </row>
    <row r="607">
      <c r="A607" s="5" t="inlineStr">
        <is>
          <t>Apoyo democracia</t>
        </is>
      </c>
      <c r="B607" s="5" t="inlineStr">
        <is>
          <t>Costa Rica</t>
        </is>
      </c>
      <c r="C607" s="5" t="n">
        <v>2017</v>
      </c>
      <c r="D607" s="5" t="inlineStr">
        <is>
          <t>Gobierno Autoritario</t>
        </is>
      </c>
      <c r="E607" s="6" t="n">
        <v>0.098</v>
      </c>
      <c r="F607" s="7" t="n">
        <v>1000</v>
      </c>
    </row>
    <row r="608">
      <c r="A608" s="5" t="inlineStr">
        <is>
          <t>Apoyo democracia</t>
        </is>
      </c>
      <c r="B608" s="5" t="inlineStr">
        <is>
          <t>Costa Rica</t>
        </is>
      </c>
      <c r="C608" s="5" t="n">
        <v>2017</v>
      </c>
      <c r="D608" s="5" t="inlineStr">
        <is>
          <t>Da lo mismo</t>
        </is>
      </c>
      <c r="E608" s="6" t="n">
        <v>0.182</v>
      </c>
      <c r="F608" s="7" t="n">
        <v>1000</v>
      </c>
    </row>
    <row r="609">
      <c r="A609" s="5" t="inlineStr">
        <is>
          <t>Apoyo democracia</t>
        </is>
      </c>
      <c r="B609" s="5" t="inlineStr">
        <is>
          <t>Costa Rica</t>
        </is>
      </c>
      <c r="C609" s="5" t="n">
        <v>2017</v>
      </c>
      <c r="D609" s="5" t="inlineStr">
        <is>
          <t>No sabe</t>
        </is>
      </c>
      <c r="E609" s="6" t="n">
        <v>0.094</v>
      </c>
      <c r="F609" s="7" t="n">
        <v>1000</v>
      </c>
    </row>
    <row r="610">
      <c r="A610" s="5" t="inlineStr">
        <is>
          <t>Apoyo democracia</t>
        </is>
      </c>
      <c r="B610" s="5" t="inlineStr">
        <is>
          <t>Costa Rica</t>
        </is>
      </c>
      <c r="C610" s="5" t="n">
        <v>2017</v>
      </c>
      <c r="D610" s="5" t="inlineStr">
        <is>
          <t>No contesta</t>
        </is>
      </c>
      <c r="E610" s="6" t="n">
        <v>0.009000000000000001</v>
      </c>
      <c r="F610" s="7" t="n">
        <v>1000</v>
      </c>
    </row>
    <row r="611">
      <c r="A611" s="5" t="inlineStr">
        <is>
          <t>Apoyo democracia</t>
        </is>
      </c>
      <c r="B611" s="5" t="inlineStr">
        <is>
          <t>Costa Rica</t>
        </is>
      </c>
      <c r="C611" s="5" t="n">
        <v>2018</v>
      </c>
      <c r="D611" s="5" t="inlineStr">
        <is>
          <t>Democracia</t>
        </is>
      </c>
      <c r="E611" s="6" t="n">
        <v>0.626</v>
      </c>
      <c r="F611" s="7" t="n">
        <v>1000</v>
      </c>
    </row>
    <row r="612">
      <c r="A612" s="5" t="inlineStr">
        <is>
          <t>Apoyo democracia</t>
        </is>
      </c>
      <c r="B612" s="5" t="inlineStr">
        <is>
          <t>Costa Rica</t>
        </is>
      </c>
      <c r="C612" s="5" t="n">
        <v>2018</v>
      </c>
      <c r="D612" s="5" t="inlineStr">
        <is>
          <t>Gobierno Autoritario</t>
        </is>
      </c>
      <c r="E612" s="6" t="n">
        <v>0.109</v>
      </c>
      <c r="F612" s="7" t="n">
        <v>1000</v>
      </c>
    </row>
    <row r="613">
      <c r="A613" s="5" t="inlineStr">
        <is>
          <t>Apoyo democracia</t>
        </is>
      </c>
      <c r="B613" s="5" t="inlineStr">
        <is>
          <t>Costa Rica</t>
        </is>
      </c>
      <c r="C613" s="5" t="n">
        <v>2018</v>
      </c>
      <c r="D613" s="5" t="inlineStr">
        <is>
          <t>Da lo mismo</t>
        </is>
      </c>
      <c r="E613" s="6" t="n">
        <v>0.183</v>
      </c>
      <c r="F613" s="7" t="n">
        <v>1000</v>
      </c>
    </row>
    <row r="614">
      <c r="A614" s="5" t="inlineStr">
        <is>
          <t>Apoyo democracia</t>
        </is>
      </c>
      <c r="B614" s="5" t="inlineStr">
        <is>
          <t>Costa Rica</t>
        </is>
      </c>
      <c r="C614" s="5" t="n">
        <v>2018</v>
      </c>
      <c r="D614" s="5" t="inlineStr">
        <is>
          <t>No sabe</t>
        </is>
      </c>
      <c r="E614" s="6" t="n">
        <v>0.059</v>
      </c>
      <c r="F614" s="7" t="n">
        <v>1000</v>
      </c>
    </row>
    <row r="615">
      <c r="A615" s="5" t="inlineStr">
        <is>
          <t>Apoyo democracia</t>
        </is>
      </c>
      <c r="B615" s="5" t="inlineStr">
        <is>
          <t>Costa Rica</t>
        </is>
      </c>
      <c r="C615" s="5" t="n">
        <v>2018</v>
      </c>
      <c r="D615" s="5" t="inlineStr">
        <is>
          <t>No contesta</t>
        </is>
      </c>
      <c r="E615" s="6" t="n">
        <v>0.023</v>
      </c>
      <c r="F615" s="7" t="n">
        <v>1000</v>
      </c>
    </row>
    <row r="616">
      <c r="A616" s="5" t="inlineStr">
        <is>
          <t>Apoyo democracia</t>
        </is>
      </c>
      <c r="B616" s="5" t="inlineStr">
        <is>
          <t>Costa Rica</t>
        </is>
      </c>
      <c r="C616" s="5" t="n">
        <v>2020</v>
      </c>
      <c r="D616" s="5" t="inlineStr">
        <is>
          <t>Democracia</t>
        </is>
      </c>
      <c r="E616" s="6" t="n">
        <v>0.667</v>
      </c>
      <c r="F616" s="7" t="n">
        <v>1000</v>
      </c>
    </row>
    <row r="617">
      <c r="A617" s="5" t="inlineStr">
        <is>
          <t>Apoyo democracia</t>
        </is>
      </c>
      <c r="B617" s="5" t="inlineStr">
        <is>
          <t>Costa Rica</t>
        </is>
      </c>
      <c r="C617" s="5" t="n">
        <v>2020</v>
      </c>
      <c r="D617" s="5" t="inlineStr">
        <is>
          <t>Gobierno Autoritario</t>
        </is>
      </c>
      <c r="E617" s="6" t="n">
        <v>0.112</v>
      </c>
      <c r="F617" s="7" t="n">
        <v>1000</v>
      </c>
    </row>
    <row r="618">
      <c r="A618" s="5" t="inlineStr">
        <is>
          <t>Apoyo democracia</t>
        </is>
      </c>
      <c r="B618" s="5" t="inlineStr">
        <is>
          <t>Costa Rica</t>
        </is>
      </c>
      <c r="C618" s="5" t="n">
        <v>2020</v>
      </c>
      <c r="D618" s="5" t="inlineStr">
        <is>
          <t>Da lo mismo</t>
        </is>
      </c>
      <c r="E618" s="6" t="n">
        <v>0.121</v>
      </c>
      <c r="F618" s="7" t="n">
        <v>1000</v>
      </c>
    </row>
    <row r="619">
      <c r="A619" s="5" t="inlineStr">
        <is>
          <t>Apoyo democracia</t>
        </is>
      </c>
      <c r="B619" s="5" t="inlineStr">
        <is>
          <t>Costa Rica</t>
        </is>
      </c>
      <c r="C619" s="5" t="n">
        <v>2020</v>
      </c>
      <c r="D619" s="5" t="inlineStr">
        <is>
          <t>No sabe</t>
        </is>
      </c>
      <c r="E619" s="6" t="n">
        <v>0.083</v>
      </c>
      <c r="F619" s="7" t="n">
        <v>1000</v>
      </c>
    </row>
    <row r="620">
      <c r="A620" s="5" t="inlineStr">
        <is>
          <t>Apoyo democracia</t>
        </is>
      </c>
      <c r="B620" s="5" t="inlineStr">
        <is>
          <t>Costa Rica</t>
        </is>
      </c>
      <c r="C620" s="5" t="n">
        <v>2020</v>
      </c>
      <c r="D620" s="5" t="inlineStr">
        <is>
          <t>No contesta</t>
        </is>
      </c>
      <c r="E620" s="6" t="n">
        <v>0.017</v>
      </c>
      <c r="F620" s="7" t="n">
        <v>1000</v>
      </c>
    </row>
    <row r="621">
      <c r="A621" s="5" t="inlineStr">
        <is>
          <t>Apoyo democracia</t>
        </is>
      </c>
      <c r="B621" s="5" t="inlineStr">
        <is>
          <t>Costa Rica</t>
        </is>
      </c>
      <c r="C621" s="5" t="n">
        <v>2024</v>
      </c>
      <c r="D621" s="5" t="inlineStr">
        <is>
          <t>Democracia</t>
        </is>
      </c>
      <c r="E621" s="6" t="n">
        <v>0.627</v>
      </c>
      <c r="F621" s="7" t="n">
        <v>1000</v>
      </c>
    </row>
    <row r="622">
      <c r="A622" s="5" t="inlineStr">
        <is>
          <t>Apoyo democracia</t>
        </is>
      </c>
      <c r="B622" s="5" t="inlineStr">
        <is>
          <t>Costa Rica</t>
        </is>
      </c>
      <c r="C622" s="5" t="n">
        <v>2024</v>
      </c>
      <c r="D622" s="5" t="inlineStr">
        <is>
          <t>Gobierno Autoritario</t>
        </is>
      </c>
      <c r="E622" s="6" t="n">
        <v>0.165</v>
      </c>
      <c r="F622" s="7" t="n">
        <v>1000</v>
      </c>
    </row>
    <row r="623">
      <c r="A623" s="5" t="inlineStr">
        <is>
          <t>Apoyo democracia</t>
        </is>
      </c>
      <c r="B623" s="5" t="inlineStr">
        <is>
          <t>Costa Rica</t>
        </is>
      </c>
      <c r="C623" s="5" t="n">
        <v>2024</v>
      </c>
      <c r="D623" s="5" t="inlineStr">
        <is>
          <t>Da lo mismo</t>
        </is>
      </c>
      <c r="E623" s="6" t="n">
        <v>0.168</v>
      </c>
      <c r="F623" s="7" t="n">
        <v>1000</v>
      </c>
    </row>
    <row r="624">
      <c r="A624" s="5" t="inlineStr">
        <is>
          <t>Apoyo democracia</t>
        </is>
      </c>
      <c r="B624" s="5" t="inlineStr">
        <is>
          <t>Costa Rica</t>
        </is>
      </c>
      <c r="C624" s="5" t="n">
        <v>2024</v>
      </c>
      <c r="D624" s="5" t="inlineStr">
        <is>
          <t>No sabe</t>
        </is>
      </c>
      <c r="E624" s="6" t="n">
        <v>0.034</v>
      </c>
      <c r="F624" s="7" t="n">
        <v>1000</v>
      </c>
    </row>
    <row r="625">
      <c r="A625" s="5" t="inlineStr">
        <is>
          <t>Apoyo democracia</t>
        </is>
      </c>
      <c r="B625" s="5" t="inlineStr">
        <is>
          <t>Costa Rica</t>
        </is>
      </c>
      <c r="C625" s="5" t="n">
        <v>2024</v>
      </c>
      <c r="D625" s="5" t="inlineStr">
        <is>
          <t>No contesta</t>
        </is>
      </c>
      <c r="E625" s="6" t="n">
        <v>0.006</v>
      </c>
      <c r="F625" s="7" t="n">
        <v>1000</v>
      </c>
    </row>
    <row r="626">
      <c r="A626" s="5" t="inlineStr">
        <is>
          <t>Apoyo democracia</t>
        </is>
      </c>
      <c r="B626" s="5" t="inlineStr">
        <is>
          <t>Rep. Dominicana</t>
        </is>
      </c>
      <c r="C626" s="5" t="n">
        <v>2004</v>
      </c>
      <c r="D626" s="5" t="inlineStr">
        <is>
          <t>Democracia</t>
        </is>
      </c>
      <c r="E626" s="6" t="n">
        <v>0.647</v>
      </c>
      <c r="F626" s="7" t="n">
        <v>1000</v>
      </c>
    </row>
    <row r="627">
      <c r="A627" s="5" t="inlineStr">
        <is>
          <t>Apoyo democracia</t>
        </is>
      </c>
      <c r="B627" s="5" t="inlineStr">
        <is>
          <t>Rep. Dominicana</t>
        </is>
      </c>
      <c r="C627" s="5" t="n">
        <v>2004</v>
      </c>
      <c r="D627" s="5" t="inlineStr">
        <is>
          <t>Gobierno Autoritario</t>
        </is>
      </c>
      <c r="E627" s="6" t="n">
        <v>0.112</v>
      </c>
      <c r="F627" s="7" t="n">
        <v>1000</v>
      </c>
    </row>
    <row r="628">
      <c r="A628" s="5" t="inlineStr">
        <is>
          <t>Apoyo democracia</t>
        </is>
      </c>
      <c r="B628" s="5" t="inlineStr">
        <is>
          <t>Rep. Dominicana</t>
        </is>
      </c>
      <c r="C628" s="5" t="n">
        <v>2004</v>
      </c>
      <c r="D628" s="5" t="inlineStr">
        <is>
          <t>Da lo mismo</t>
        </is>
      </c>
      <c r="E628" s="6" t="n">
        <v>0.118</v>
      </c>
      <c r="F628" s="7" t="n">
        <v>1000</v>
      </c>
    </row>
    <row r="629">
      <c r="A629" s="5" t="inlineStr">
        <is>
          <t>Apoyo democracia</t>
        </is>
      </c>
      <c r="B629" s="5" t="inlineStr">
        <is>
          <t>Rep. Dominicana</t>
        </is>
      </c>
      <c r="C629" s="5" t="n">
        <v>2004</v>
      </c>
      <c r="D629" s="5" t="inlineStr">
        <is>
          <t>No sabe</t>
        </is>
      </c>
      <c r="E629" s="6" t="n">
        <v>0.09</v>
      </c>
      <c r="F629" s="7" t="n">
        <v>1000</v>
      </c>
    </row>
    <row r="630">
      <c r="A630" s="5" t="inlineStr">
        <is>
          <t>Apoyo democracia</t>
        </is>
      </c>
      <c r="B630" s="5" t="inlineStr">
        <is>
          <t>Rep. Dominicana</t>
        </is>
      </c>
      <c r="C630" s="5" t="n">
        <v>2004</v>
      </c>
      <c r="D630" s="5" t="inlineStr">
        <is>
          <t>No contesta</t>
        </is>
      </c>
      <c r="E630" s="6" t="n">
        <v>0.034</v>
      </c>
      <c r="F630" s="7" t="n">
        <v>1000</v>
      </c>
    </row>
    <row r="631">
      <c r="A631" s="5" t="inlineStr">
        <is>
          <t>Apoyo democracia</t>
        </is>
      </c>
      <c r="B631" s="5" t="inlineStr">
        <is>
          <t>Rep. Dominicana</t>
        </is>
      </c>
      <c r="C631" s="5" t="n">
        <v>2005</v>
      </c>
      <c r="D631" s="5" t="inlineStr">
        <is>
          <t>Democracia</t>
        </is>
      </c>
      <c r="E631" s="6" t="n">
        <v>0.601</v>
      </c>
      <c r="F631" s="7" t="n">
        <v>1000</v>
      </c>
    </row>
    <row r="632">
      <c r="A632" s="5" t="inlineStr">
        <is>
          <t>Apoyo democracia</t>
        </is>
      </c>
      <c r="B632" s="5" t="inlineStr">
        <is>
          <t>Rep. Dominicana</t>
        </is>
      </c>
      <c r="C632" s="5" t="n">
        <v>2005</v>
      </c>
      <c r="D632" s="5" t="inlineStr">
        <is>
          <t>Gobierno Autoritario</t>
        </is>
      </c>
      <c r="E632" s="6" t="n">
        <v>0.145</v>
      </c>
      <c r="F632" s="7" t="n">
        <v>1000</v>
      </c>
    </row>
    <row r="633">
      <c r="A633" s="5" t="inlineStr">
        <is>
          <t>Apoyo democracia</t>
        </is>
      </c>
      <c r="B633" s="5" t="inlineStr">
        <is>
          <t>Rep. Dominicana</t>
        </is>
      </c>
      <c r="C633" s="5" t="n">
        <v>2005</v>
      </c>
      <c r="D633" s="5" t="inlineStr">
        <is>
          <t>Da lo mismo</t>
        </is>
      </c>
      <c r="E633" s="6" t="n">
        <v>0.105</v>
      </c>
      <c r="F633" s="7" t="n">
        <v>1000</v>
      </c>
    </row>
    <row r="634">
      <c r="A634" s="5" t="inlineStr">
        <is>
          <t>Apoyo democracia</t>
        </is>
      </c>
      <c r="B634" s="5" t="inlineStr">
        <is>
          <t>Rep. Dominicana</t>
        </is>
      </c>
      <c r="C634" s="5" t="n">
        <v>2005</v>
      </c>
      <c r="D634" s="5" t="inlineStr">
        <is>
          <t>No sabe</t>
        </is>
      </c>
      <c r="E634" s="6" t="n">
        <v>0.095</v>
      </c>
      <c r="F634" s="7" t="n">
        <v>1000</v>
      </c>
    </row>
    <row r="635">
      <c r="A635" s="5" t="inlineStr">
        <is>
          <t>Apoyo democracia</t>
        </is>
      </c>
      <c r="B635" s="5" t="inlineStr">
        <is>
          <t>Rep. Dominicana</t>
        </is>
      </c>
      <c r="C635" s="5" t="n">
        <v>2005</v>
      </c>
      <c r="D635" s="5" t="inlineStr">
        <is>
          <t>No contesta</t>
        </is>
      </c>
      <c r="E635" s="6" t="n">
        <v>0.05400000000000001</v>
      </c>
      <c r="F635" s="7" t="n">
        <v>1000</v>
      </c>
    </row>
    <row r="636">
      <c r="A636" s="5" t="inlineStr">
        <is>
          <t>Apoyo democracia</t>
        </is>
      </c>
      <c r="B636" s="5" t="inlineStr">
        <is>
          <t>Rep. Dominicana</t>
        </is>
      </c>
      <c r="C636" s="5" t="n">
        <v>2006</v>
      </c>
      <c r="D636" s="5" t="inlineStr">
        <is>
          <t>Democracia</t>
        </is>
      </c>
      <c r="E636" s="6" t="n">
        <v>0.7120000000000001</v>
      </c>
      <c r="F636" s="7" t="n">
        <v>1000</v>
      </c>
    </row>
    <row r="637">
      <c r="A637" s="5" t="inlineStr">
        <is>
          <t>Apoyo democracia</t>
        </is>
      </c>
      <c r="B637" s="5" t="inlineStr">
        <is>
          <t>Rep. Dominicana</t>
        </is>
      </c>
      <c r="C637" s="5" t="n">
        <v>2006</v>
      </c>
      <c r="D637" s="5" t="inlineStr">
        <is>
          <t>Gobierno Autoritario</t>
        </is>
      </c>
      <c r="E637" s="6" t="n">
        <v>0.206</v>
      </c>
      <c r="F637" s="7" t="n">
        <v>1000</v>
      </c>
    </row>
    <row r="638">
      <c r="A638" s="5" t="inlineStr">
        <is>
          <t>Apoyo democracia</t>
        </is>
      </c>
      <c r="B638" s="5" t="inlineStr">
        <is>
          <t>Rep. Dominicana</t>
        </is>
      </c>
      <c r="C638" s="5" t="n">
        <v>2006</v>
      </c>
      <c r="D638" s="5" t="inlineStr">
        <is>
          <t>Da lo mismo</t>
        </is>
      </c>
      <c r="E638" s="6" t="n">
        <v>0.047</v>
      </c>
      <c r="F638" s="7" t="n">
        <v>1000</v>
      </c>
    </row>
    <row r="639">
      <c r="A639" s="5" t="inlineStr">
        <is>
          <t>Apoyo democracia</t>
        </is>
      </c>
      <c r="B639" s="5" t="inlineStr">
        <is>
          <t>Rep. Dominicana</t>
        </is>
      </c>
      <c r="C639" s="5" t="n">
        <v>2006</v>
      </c>
      <c r="D639" s="5" t="inlineStr">
        <is>
          <t>No sabe</t>
        </is>
      </c>
      <c r="E639" s="6" t="n">
        <v>0.029</v>
      </c>
      <c r="F639" s="7" t="n">
        <v>1000</v>
      </c>
    </row>
    <row r="640">
      <c r="A640" s="5" t="inlineStr">
        <is>
          <t>Apoyo democracia</t>
        </is>
      </c>
      <c r="B640" s="5" t="inlineStr">
        <is>
          <t>Rep. Dominicana</t>
        </is>
      </c>
      <c r="C640" s="5" t="n">
        <v>2006</v>
      </c>
      <c r="D640" s="5" t="inlineStr">
        <is>
          <t>No contesta</t>
        </is>
      </c>
      <c r="E640" s="6" t="n">
        <v>0.006</v>
      </c>
      <c r="F640" s="7" t="n">
        <v>1000</v>
      </c>
    </row>
    <row r="641">
      <c r="A641" s="5" t="inlineStr">
        <is>
          <t>Apoyo democracia</t>
        </is>
      </c>
      <c r="B641" s="5" t="inlineStr">
        <is>
          <t>Rep. Dominicana</t>
        </is>
      </c>
      <c r="C641" s="5" t="n">
        <v>2007</v>
      </c>
      <c r="D641" s="5" t="inlineStr">
        <is>
          <t>Democracia</t>
        </is>
      </c>
      <c r="E641" s="6" t="n">
        <v>0.644</v>
      </c>
      <c r="F641" s="7" t="n">
        <v>1000</v>
      </c>
    </row>
    <row r="642">
      <c r="A642" s="5" t="inlineStr">
        <is>
          <t>Apoyo democracia</t>
        </is>
      </c>
      <c r="B642" s="5" t="inlineStr">
        <is>
          <t>Rep. Dominicana</t>
        </is>
      </c>
      <c r="C642" s="5" t="n">
        <v>2007</v>
      </c>
      <c r="D642" s="5" t="inlineStr">
        <is>
          <t>Gobierno Autoritario</t>
        </is>
      </c>
      <c r="E642" s="6" t="n">
        <v>0.206</v>
      </c>
      <c r="F642" s="7" t="n">
        <v>1000</v>
      </c>
    </row>
    <row r="643">
      <c r="A643" s="5" t="inlineStr">
        <is>
          <t>Apoyo democracia</t>
        </is>
      </c>
      <c r="B643" s="5" t="inlineStr">
        <is>
          <t>Rep. Dominicana</t>
        </is>
      </c>
      <c r="C643" s="5" t="n">
        <v>2007</v>
      </c>
      <c r="D643" s="5" t="inlineStr">
        <is>
          <t>Da lo mismo</t>
        </is>
      </c>
      <c r="E643" s="6" t="n">
        <v>0.115</v>
      </c>
      <c r="F643" s="7" t="n">
        <v>1000</v>
      </c>
    </row>
    <row r="644">
      <c r="A644" s="5" t="inlineStr">
        <is>
          <t>Apoyo democracia</t>
        </is>
      </c>
      <c r="B644" s="5" t="inlineStr">
        <is>
          <t>Rep. Dominicana</t>
        </is>
      </c>
      <c r="C644" s="5" t="n">
        <v>2007</v>
      </c>
      <c r="D644" s="5" t="inlineStr">
        <is>
          <t>No sabe</t>
        </is>
      </c>
      <c r="E644" s="6" t="n">
        <v>0.016</v>
      </c>
      <c r="F644" s="7" t="n">
        <v>1000</v>
      </c>
    </row>
    <row r="645">
      <c r="A645" s="5" t="inlineStr">
        <is>
          <t>Apoyo democracia</t>
        </is>
      </c>
      <c r="B645" s="5" t="inlineStr">
        <is>
          <t>Rep. Dominicana</t>
        </is>
      </c>
      <c r="C645" s="5" t="n">
        <v>2007</v>
      </c>
      <c r="D645" s="5" t="inlineStr">
        <is>
          <t>No contesta</t>
        </is>
      </c>
      <c r="E645" s="6" t="n">
        <v>0.019</v>
      </c>
      <c r="F645" s="7" t="n">
        <v>1000</v>
      </c>
    </row>
    <row r="646">
      <c r="A646" s="5" t="inlineStr">
        <is>
          <t>Apoyo democracia</t>
        </is>
      </c>
      <c r="B646" s="5" t="inlineStr">
        <is>
          <t>Rep. Dominicana</t>
        </is>
      </c>
      <c r="C646" s="5" t="n">
        <v>2008</v>
      </c>
      <c r="D646" s="5" t="inlineStr">
        <is>
          <t>Democracia</t>
        </is>
      </c>
      <c r="E646" s="6" t="n">
        <v>0.7340000000000001</v>
      </c>
      <c r="F646" s="7" t="n">
        <v>1000</v>
      </c>
    </row>
    <row r="647">
      <c r="A647" s="5" t="inlineStr">
        <is>
          <t>Apoyo democracia</t>
        </is>
      </c>
      <c r="B647" s="5" t="inlineStr">
        <is>
          <t>Rep. Dominicana</t>
        </is>
      </c>
      <c r="C647" s="5" t="n">
        <v>2008</v>
      </c>
      <c r="D647" s="5" t="inlineStr">
        <is>
          <t>Gobierno Autoritario</t>
        </is>
      </c>
      <c r="E647" s="6" t="n">
        <v>0.145</v>
      </c>
      <c r="F647" s="7" t="n">
        <v>1000</v>
      </c>
    </row>
    <row r="648">
      <c r="A648" s="5" t="inlineStr">
        <is>
          <t>Apoyo democracia</t>
        </is>
      </c>
      <c r="B648" s="5" t="inlineStr">
        <is>
          <t>Rep. Dominicana</t>
        </is>
      </c>
      <c r="C648" s="5" t="n">
        <v>2008</v>
      </c>
      <c r="D648" s="5" t="inlineStr">
        <is>
          <t>Da lo mismo</t>
        </is>
      </c>
      <c r="E648" s="6" t="n">
        <v>0.104</v>
      </c>
      <c r="F648" s="7" t="n">
        <v>1000</v>
      </c>
    </row>
    <row r="649">
      <c r="A649" s="5" t="inlineStr">
        <is>
          <t>Apoyo democracia</t>
        </is>
      </c>
      <c r="B649" s="5" t="inlineStr">
        <is>
          <t>Rep. Dominicana</t>
        </is>
      </c>
      <c r="C649" s="5" t="n">
        <v>2008</v>
      </c>
      <c r="D649" s="5" t="inlineStr">
        <is>
          <t>No sabe</t>
        </is>
      </c>
      <c r="E649" s="6" t="n">
        <v>0.016</v>
      </c>
      <c r="F649" s="7" t="n">
        <v>1000</v>
      </c>
    </row>
    <row r="650">
      <c r="A650" s="5" t="inlineStr">
        <is>
          <t>Apoyo democracia</t>
        </is>
      </c>
      <c r="B650" s="5" t="inlineStr">
        <is>
          <t>Rep. Dominicana</t>
        </is>
      </c>
      <c r="C650" s="5" t="n">
        <v>2008</v>
      </c>
      <c r="D650" s="5" t="inlineStr">
        <is>
          <t>No contesta</t>
        </is>
      </c>
      <c r="E650" s="6" t="n">
        <v>0.001</v>
      </c>
      <c r="F650" s="7" t="n">
        <v>1000</v>
      </c>
    </row>
    <row r="651">
      <c r="A651" s="5" t="inlineStr">
        <is>
          <t>Apoyo democracia</t>
        </is>
      </c>
      <c r="B651" s="5" t="inlineStr">
        <is>
          <t>Rep. Dominicana</t>
        </is>
      </c>
      <c r="C651" s="5" t="n">
        <v>2009</v>
      </c>
      <c r="D651" s="5" t="inlineStr">
        <is>
          <t>Democracia</t>
        </is>
      </c>
      <c r="E651" s="6" t="n">
        <v>0.6729999999999999</v>
      </c>
      <c r="F651" s="7" t="n">
        <v>1000</v>
      </c>
    </row>
    <row r="652">
      <c r="A652" s="5" t="inlineStr">
        <is>
          <t>Apoyo democracia</t>
        </is>
      </c>
      <c r="B652" s="5" t="inlineStr">
        <is>
          <t>Rep. Dominicana</t>
        </is>
      </c>
      <c r="C652" s="5" t="n">
        <v>2009</v>
      </c>
      <c r="D652" s="5" t="inlineStr">
        <is>
          <t>Gobierno Autoritario</t>
        </is>
      </c>
      <c r="E652" s="6" t="n">
        <v>0.237</v>
      </c>
      <c r="F652" s="7" t="n">
        <v>1000</v>
      </c>
    </row>
    <row r="653">
      <c r="A653" s="5" t="inlineStr">
        <is>
          <t>Apoyo democracia</t>
        </is>
      </c>
      <c r="B653" s="5" t="inlineStr">
        <is>
          <t>Rep. Dominicana</t>
        </is>
      </c>
      <c r="C653" s="5" t="n">
        <v>2009</v>
      </c>
      <c r="D653" s="5" t="inlineStr">
        <is>
          <t>Da lo mismo</t>
        </is>
      </c>
      <c r="E653" s="6" t="n">
        <v>0.07000000000000001</v>
      </c>
      <c r="F653" s="7" t="n">
        <v>1000</v>
      </c>
    </row>
    <row r="654">
      <c r="A654" s="5" t="inlineStr">
        <is>
          <t>Apoyo democracia</t>
        </is>
      </c>
      <c r="B654" s="5" t="inlineStr">
        <is>
          <t>Rep. Dominicana</t>
        </is>
      </c>
      <c r="C654" s="5" t="n">
        <v>2009</v>
      </c>
      <c r="D654" s="5" t="inlineStr">
        <is>
          <t>No sabe</t>
        </is>
      </c>
      <c r="E654" s="6" t="n">
        <v>0.013</v>
      </c>
      <c r="F654" s="7" t="n">
        <v>1000</v>
      </c>
    </row>
    <row r="655">
      <c r="A655" s="5" t="inlineStr">
        <is>
          <t>Apoyo democracia</t>
        </is>
      </c>
      <c r="B655" s="5" t="inlineStr">
        <is>
          <t>Rep. Dominicana</t>
        </is>
      </c>
      <c r="C655" s="5" t="n">
        <v>2009</v>
      </c>
      <c r="D655" s="5" t="inlineStr">
        <is>
          <t>No contesta</t>
        </is>
      </c>
      <c r="E655" s="6" t="n">
        <v>0.006999999999999999</v>
      </c>
      <c r="F655" s="7" t="n">
        <v>1000</v>
      </c>
    </row>
    <row r="656">
      <c r="A656" s="5" t="inlineStr">
        <is>
          <t>Apoyo democracia</t>
        </is>
      </c>
      <c r="B656" s="5" t="inlineStr">
        <is>
          <t>Rep. Dominicana</t>
        </is>
      </c>
      <c r="C656" s="5" t="n">
        <v>2010</v>
      </c>
      <c r="D656" s="5" t="inlineStr">
        <is>
          <t>Democracia</t>
        </is>
      </c>
      <c r="E656" s="6" t="n">
        <v>0.63</v>
      </c>
      <c r="F656" s="7" t="n">
        <v>1000</v>
      </c>
    </row>
    <row r="657">
      <c r="A657" s="5" t="inlineStr">
        <is>
          <t>Apoyo democracia</t>
        </is>
      </c>
      <c r="B657" s="5" t="inlineStr">
        <is>
          <t>Rep. Dominicana</t>
        </is>
      </c>
      <c r="C657" s="5" t="n">
        <v>2010</v>
      </c>
      <c r="D657" s="5" t="inlineStr">
        <is>
          <t>Gobierno Autoritario</t>
        </is>
      </c>
      <c r="E657" s="6" t="n">
        <v>0.228</v>
      </c>
      <c r="F657" s="7" t="n">
        <v>1000</v>
      </c>
    </row>
    <row r="658">
      <c r="A658" s="5" t="inlineStr">
        <is>
          <t>Apoyo democracia</t>
        </is>
      </c>
      <c r="B658" s="5" t="inlineStr">
        <is>
          <t>Rep. Dominicana</t>
        </is>
      </c>
      <c r="C658" s="5" t="n">
        <v>2010</v>
      </c>
      <c r="D658" s="5" t="inlineStr">
        <is>
          <t>Da lo mismo</t>
        </is>
      </c>
      <c r="E658" s="6" t="n">
        <v>0.122</v>
      </c>
      <c r="F658" s="7" t="n">
        <v>1000</v>
      </c>
    </row>
    <row r="659">
      <c r="A659" s="5" t="inlineStr">
        <is>
          <t>Apoyo democracia</t>
        </is>
      </c>
      <c r="B659" s="5" t="inlineStr">
        <is>
          <t>Rep. Dominicana</t>
        </is>
      </c>
      <c r="C659" s="5" t="n">
        <v>2010</v>
      </c>
      <c r="D659" s="5" t="inlineStr">
        <is>
          <t>No sabe</t>
        </is>
      </c>
      <c r="E659" s="6" t="n">
        <v>0.015</v>
      </c>
      <c r="F659" s="7" t="n">
        <v>1000</v>
      </c>
    </row>
    <row r="660">
      <c r="A660" s="5" t="inlineStr">
        <is>
          <t>Apoyo democracia</t>
        </is>
      </c>
      <c r="B660" s="5" t="inlineStr">
        <is>
          <t>Rep. Dominicana</t>
        </is>
      </c>
      <c r="C660" s="5" t="n">
        <v>2010</v>
      </c>
      <c r="D660" s="5" t="inlineStr">
        <is>
          <t>No contesta</t>
        </is>
      </c>
      <c r="E660" s="6" t="n">
        <v>0.004</v>
      </c>
      <c r="F660" s="7" t="n">
        <v>1000</v>
      </c>
    </row>
    <row r="661">
      <c r="A661" s="5" t="inlineStr">
        <is>
          <t>Apoyo democracia</t>
        </is>
      </c>
      <c r="B661" s="5" t="inlineStr">
        <is>
          <t>Rep. Dominicana</t>
        </is>
      </c>
      <c r="C661" s="5" t="n">
        <v>2011</v>
      </c>
      <c r="D661" s="5" t="inlineStr">
        <is>
          <t>Democracia</t>
        </is>
      </c>
      <c r="E661" s="6" t="n">
        <v>0.652</v>
      </c>
      <c r="F661" s="7" t="n">
        <v>1000</v>
      </c>
    </row>
    <row r="662">
      <c r="A662" s="5" t="inlineStr">
        <is>
          <t>Apoyo democracia</t>
        </is>
      </c>
      <c r="B662" s="5" t="inlineStr">
        <is>
          <t>Rep. Dominicana</t>
        </is>
      </c>
      <c r="C662" s="5" t="n">
        <v>2011</v>
      </c>
      <c r="D662" s="5" t="inlineStr">
        <is>
          <t>Gobierno Autoritario</t>
        </is>
      </c>
      <c r="E662" s="6" t="n">
        <v>0.215</v>
      </c>
      <c r="F662" s="7" t="n">
        <v>1000</v>
      </c>
    </row>
    <row r="663">
      <c r="A663" s="5" t="inlineStr">
        <is>
          <t>Apoyo democracia</t>
        </is>
      </c>
      <c r="B663" s="5" t="inlineStr">
        <is>
          <t>Rep. Dominicana</t>
        </is>
      </c>
      <c r="C663" s="5" t="n">
        <v>2011</v>
      </c>
      <c r="D663" s="5" t="inlineStr">
        <is>
          <t>Da lo mismo</t>
        </is>
      </c>
      <c r="E663" s="6" t="n">
        <v>0.08900000000000001</v>
      </c>
      <c r="F663" s="7" t="n">
        <v>1000</v>
      </c>
    </row>
    <row r="664">
      <c r="A664" s="5" t="inlineStr">
        <is>
          <t>Apoyo democracia</t>
        </is>
      </c>
      <c r="B664" s="5" t="inlineStr">
        <is>
          <t>Rep. Dominicana</t>
        </is>
      </c>
      <c r="C664" s="5" t="n">
        <v>2011</v>
      </c>
      <c r="D664" s="5" t="inlineStr">
        <is>
          <t>No sabe</t>
        </is>
      </c>
      <c r="E664" s="6" t="n">
        <v>0.033</v>
      </c>
      <c r="F664" s="7" t="n">
        <v>1000</v>
      </c>
    </row>
    <row r="665">
      <c r="A665" s="5" t="inlineStr">
        <is>
          <t>Apoyo democracia</t>
        </is>
      </c>
      <c r="B665" s="5" t="inlineStr">
        <is>
          <t>Rep. Dominicana</t>
        </is>
      </c>
      <c r="C665" s="5" t="n">
        <v>2011</v>
      </c>
      <c r="D665" s="5" t="inlineStr">
        <is>
          <t>No contesta</t>
        </is>
      </c>
      <c r="E665" s="6" t="n">
        <v>0.011</v>
      </c>
      <c r="F665" s="7" t="n">
        <v>1000</v>
      </c>
    </row>
    <row r="666">
      <c r="A666" s="5" t="inlineStr">
        <is>
          <t>Apoyo democracia</t>
        </is>
      </c>
      <c r="B666" s="5" t="inlineStr">
        <is>
          <t>Rep. Dominicana</t>
        </is>
      </c>
      <c r="C666" s="5" t="n">
        <v>2016</v>
      </c>
      <c r="D666" s="5" t="inlineStr">
        <is>
          <t>Democracia</t>
        </is>
      </c>
      <c r="E666" s="6" t="n">
        <v>0.6</v>
      </c>
      <c r="F666" s="7" t="n">
        <v>1000</v>
      </c>
    </row>
    <row r="667">
      <c r="A667" s="5" t="inlineStr">
        <is>
          <t>Apoyo democracia</t>
        </is>
      </c>
      <c r="B667" s="5" t="inlineStr">
        <is>
          <t>Rep. Dominicana</t>
        </is>
      </c>
      <c r="C667" s="5" t="n">
        <v>2016</v>
      </c>
      <c r="D667" s="5" t="inlineStr">
        <is>
          <t>Gobierno Autoritario</t>
        </is>
      </c>
      <c r="E667" s="6" t="n">
        <v>0.197</v>
      </c>
      <c r="F667" s="7" t="n">
        <v>1000</v>
      </c>
    </row>
    <row r="668">
      <c r="A668" s="5" t="inlineStr">
        <is>
          <t>Apoyo democracia</t>
        </is>
      </c>
      <c r="B668" s="5" t="inlineStr">
        <is>
          <t>Rep. Dominicana</t>
        </is>
      </c>
      <c r="C668" s="5" t="n">
        <v>2016</v>
      </c>
      <c r="D668" s="5" t="inlineStr">
        <is>
          <t>Da lo mismo</t>
        </is>
      </c>
      <c r="E668" s="6" t="n">
        <v>0.15</v>
      </c>
      <c r="F668" s="7" t="n">
        <v>1000</v>
      </c>
    </row>
    <row r="669">
      <c r="A669" s="5" t="inlineStr">
        <is>
          <t>Apoyo democracia</t>
        </is>
      </c>
      <c r="B669" s="5" t="inlineStr">
        <is>
          <t>Rep. Dominicana</t>
        </is>
      </c>
      <c r="C669" s="5" t="n">
        <v>2016</v>
      </c>
      <c r="D669" s="5" t="inlineStr">
        <is>
          <t>No sabe</t>
        </is>
      </c>
      <c r="E669" s="6" t="n">
        <v>0.04099999999999999</v>
      </c>
      <c r="F669" s="7" t="n">
        <v>1000</v>
      </c>
    </row>
    <row r="670">
      <c r="A670" s="5" t="inlineStr">
        <is>
          <t>Apoyo democracia</t>
        </is>
      </c>
      <c r="B670" s="5" t="inlineStr">
        <is>
          <t>Rep. Dominicana</t>
        </is>
      </c>
      <c r="C670" s="5" t="n">
        <v>2016</v>
      </c>
      <c r="D670" s="5" t="inlineStr">
        <is>
          <t>No contesta</t>
        </is>
      </c>
      <c r="E670" s="6" t="n">
        <v>0.012</v>
      </c>
      <c r="F670" s="7" t="n">
        <v>1000</v>
      </c>
    </row>
    <row r="671">
      <c r="A671" s="5" t="inlineStr">
        <is>
          <t>Apoyo democracia</t>
        </is>
      </c>
      <c r="B671" s="5" t="inlineStr">
        <is>
          <t>Rep. Dominicana</t>
        </is>
      </c>
      <c r="C671" s="5" t="n">
        <v>2017</v>
      </c>
      <c r="D671" s="5" t="inlineStr">
        <is>
          <t>Democracia</t>
        </is>
      </c>
      <c r="E671" s="6" t="n">
        <v>0.544</v>
      </c>
      <c r="F671" s="7" t="n">
        <v>1000</v>
      </c>
    </row>
    <row r="672">
      <c r="A672" s="5" t="inlineStr">
        <is>
          <t>Apoyo democracia</t>
        </is>
      </c>
      <c r="B672" s="5" t="inlineStr">
        <is>
          <t>Rep. Dominicana</t>
        </is>
      </c>
      <c r="C672" s="5" t="n">
        <v>2017</v>
      </c>
      <c r="D672" s="5" t="inlineStr">
        <is>
          <t>Gobierno Autoritario</t>
        </is>
      </c>
      <c r="E672" s="6" t="n">
        <v>0.121</v>
      </c>
      <c r="F672" s="7" t="n">
        <v>1000</v>
      </c>
    </row>
    <row r="673">
      <c r="A673" s="5" t="inlineStr">
        <is>
          <t>Apoyo democracia</t>
        </is>
      </c>
      <c r="B673" s="5" t="inlineStr">
        <is>
          <t>Rep. Dominicana</t>
        </is>
      </c>
      <c r="C673" s="5" t="n">
        <v>2017</v>
      </c>
      <c r="D673" s="5" t="inlineStr">
        <is>
          <t>Da lo mismo</t>
        </is>
      </c>
      <c r="E673" s="6" t="n">
        <v>0.263</v>
      </c>
      <c r="F673" s="7" t="n">
        <v>1000</v>
      </c>
    </row>
    <row r="674">
      <c r="A674" s="5" t="inlineStr">
        <is>
          <t>Apoyo democracia</t>
        </is>
      </c>
      <c r="B674" s="5" t="inlineStr">
        <is>
          <t>Rep. Dominicana</t>
        </is>
      </c>
      <c r="C674" s="5" t="n">
        <v>2017</v>
      </c>
      <c r="D674" s="5" t="inlineStr">
        <is>
          <t>No sabe</t>
        </is>
      </c>
      <c r="E674" s="6" t="n">
        <v>0.064</v>
      </c>
      <c r="F674" s="7" t="n">
        <v>1000</v>
      </c>
    </row>
    <row r="675">
      <c r="A675" s="5" t="inlineStr">
        <is>
          <t>Apoyo democracia</t>
        </is>
      </c>
      <c r="B675" s="5" t="inlineStr">
        <is>
          <t>Rep. Dominicana</t>
        </is>
      </c>
      <c r="C675" s="5" t="n">
        <v>2017</v>
      </c>
      <c r="D675" s="5" t="inlineStr">
        <is>
          <t>No contesta</t>
        </is>
      </c>
      <c r="E675" s="6" t="n">
        <v>0.008</v>
      </c>
      <c r="F675" s="7" t="n">
        <v>1000</v>
      </c>
    </row>
    <row r="676">
      <c r="A676" s="5" t="inlineStr">
        <is>
          <t>Apoyo democracia</t>
        </is>
      </c>
      <c r="B676" s="5" t="inlineStr">
        <is>
          <t>Rep. Dominicana</t>
        </is>
      </c>
      <c r="C676" s="5" t="n">
        <v>2018</v>
      </c>
      <c r="D676" s="5" t="inlineStr">
        <is>
          <t>Democracia</t>
        </is>
      </c>
      <c r="E676" s="6" t="n">
        <v>0.435</v>
      </c>
      <c r="F676" s="7" t="n">
        <v>1000</v>
      </c>
    </row>
    <row r="677">
      <c r="A677" s="5" t="inlineStr">
        <is>
          <t>Apoyo democracia</t>
        </is>
      </c>
      <c r="B677" s="5" t="inlineStr">
        <is>
          <t>Rep. Dominicana</t>
        </is>
      </c>
      <c r="C677" s="5" t="n">
        <v>2018</v>
      </c>
      <c r="D677" s="5" t="inlineStr">
        <is>
          <t>Gobierno Autoritario</t>
        </is>
      </c>
      <c r="E677" s="6" t="n">
        <v>0.184</v>
      </c>
      <c r="F677" s="7" t="n">
        <v>1000</v>
      </c>
    </row>
    <row r="678">
      <c r="A678" s="5" t="inlineStr">
        <is>
          <t>Apoyo democracia</t>
        </is>
      </c>
      <c r="B678" s="5" t="inlineStr">
        <is>
          <t>Rep. Dominicana</t>
        </is>
      </c>
      <c r="C678" s="5" t="n">
        <v>2018</v>
      </c>
      <c r="D678" s="5" t="inlineStr">
        <is>
          <t>Da lo mismo</t>
        </is>
      </c>
      <c r="E678" s="6" t="n">
        <v>0.286</v>
      </c>
      <c r="F678" s="7" t="n">
        <v>1000</v>
      </c>
    </row>
    <row r="679">
      <c r="A679" s="5" t="inlineStr">
        <is>
          <t>Apoyo democracia</t>
        </is>
      </c>
      <c r="B679" s="5" t="inlineStr">
        <is>
          <t>Rep. Dominicana</t>
        </is>
      </c>
      <c r="C679" s="5" t="n">
        <v>2018</v>
      </c>
      <c r="D679" s="5" t="inlineStr">
        <is>
          <t>No sabe</t>
        </is>
      </c>
      <c r="E679" s="6" t="n">
        <v>0.081</v>
      </c>
      <c r="F679" s="7" t="n">
        <v>1000</v>
      </c>
    </row>
    <row r="680">
      <c r="A680" s="5" t="inlineStr">
        <is>
          <t>Apoyo democracia</t>
        </is>
      </c>
      <c r="B680" s="5" t="inlineStr">
        <is>
          <t>Rep. Dominicana</t>
        </is>
      </c>
      <c r="C680" s="5" t="n">
        <v>2018</v>
      </c>
      <c r="D680" s="5" t="inlineStr">
        <is>
          <t>No contesta</t>
        </is>
      </c>
      <c r="E680" s="6" t="n">
        <v>0.014</v>
      </c>
      <c r="F680" s="7" t="n">
        <v>1000</v>
      </c>
    </row>
    <row r="681">
      <c r="A681" s="5" t="inlineStr">
        <is>
          <t>Apoyo democracia</t>
        </is>
      </c>
      <c r="B681" s="5" t="inlineStr">
        <is>
          <t>Rep. Dominicana</t>
        </is>
      </c>
      <c r="C681" s="5" t="n">
        <v>2020</v>
      </c>
      <c r="D681" s="5" t="inlineStr">
        <is>
          <t>Democracia</t>
        </is>
      </c>
      <c r="E681" s="6" t="n">
        <v>0.502</v>
      </c>
      <c r="F681" s="7" t="n">
        <v>1000</v>
      </c>
    </row>
    <row r="682">
      <c r="A682" s="5" t="inlineStr">
        <is>
          <t>Apoyo democracia</t>
        </is>
      </c>
      <c r="B682" s="5" t="inlineStr">
        <is>
          <t>Rep. Dominicana</t>
        </is>
      </c>
      <c r="C682" s="5" t="n">
        <v>2020</v>
      </c>
      <c r="D682" s="5" t="inlineStr">
        <is>
          <t>Gobierno Autoritario</t>
        </is>
      </c>
      <c r="E682" s="6" t="n">
        <v>0.134</v>
      </c>
      <c r="F682" s="7" t="n">
        <v>1000</v>
      </c>
    </row>
    <row r="683">
      <c r="A683" s="5" t="inlineStr">
        <is>
          <t>Apoyo democracia</t>
        </is>
      </c>
      <c r="B683" s="5" t="inlineStr">
        <is>
          <t>Rep. Dominicana</t>
        </is>
      </c>
      <c r="C683" s="5" t="n">
        <v>2020</v>
      </c>
      <c r="D683" s="5" t="inlineStr">
        <is>
          <t>Da lo mismo</t>
        </is>
      </c>
      <c r="E683" s="6" t="n">
        <v>0.251</v>
      </c>
      <c r="F683" s="7" t="n">
        <v>1000</v>
      </c>
    </row>
    <row r="684">
      <c r="A684" s="5" t="inlineStr">
        <is>
          <t>Apoyo democracia</t>
        </is>
      </c>
      <c r="B684" s="5" t="inlineStr">
        <is>
          <t>Rep. Dominicana</t>
        </is>
      </c>
      <c r="C684" s="5" t="n">
        <v>2020</v>
      </c>
      <c r="D684" s="5" t="inlineStr">
        <is>
          <t>No sabe</t>
        </is>
      </c>
      <c r="E684" s="6" t="n">
        <v>0.08900000000000001</v>
      </c>
      <c r="F684" s="7" t="n">
        <v>1000</v>
      </c>
    </row>
    <row r="685">
      <c r="A685" s="5" t="inlineStr">
        <is>
          <t>Apoyo democracia</t>
        </is>
      </c>
      <c r="B685" s="5" t="inlineStr">
        <is>
          <t>Rep. Dominicana</t>
        </is>
      </c>
      <c r="C685" s="5" t="n">
        <v>2020</v>
      </c>
      <c r="D685" s="5" t="inlineStr">
        <is>
          <t>No contesta</t>
        </is>
      </c>
      <c r="E685" s="6" t="n">
        <v>0.024</v>
      </c>
      <c r="F685" s="7" t="n">
        <v>1000</v>
      </c>
    </row>
    <row r="686">
      <c r="A686" s="5" t="inlineStr">
        <is>
          <t>Apoyo democracia</t>
        </is>
      </c>
      <c r="B686" s="5" t="inlineStr">
        <is>
          <t>Rep. Dominicana</t>
        </is>
      </c>
      <c r="C686" s="5" t="n">
        <v>2024</v>
      </c>
      <c r="D686" s="5" t="inlineStr">
        <is>
          <t>Democracia</t>
        </is>
      </c>
      <c r="E686" s="6" t="n">
        <v>0.5539999999999999</v>
      </c>
      <c r="F686" s="7" t="n">
        <v>1000</v>
      </c>
    </row>
    <row r="687">
      <c r="A687" s="5" t="inlineStr">
        <is>
          <t>Apoyo democracia</t>
        </is>
      </c>
      <c r="B687" s="5" t="inlineStr">
        <is>
          <t>Rep. Dominicana</t>
        </is>
      </c>
      <c r="C687" s="5" t="n">
        <v>2024</v>
      </c>
      <c r="D687" s="5" t="inlineStr">
        <is>
          <t>Gobierno Autoritario</t>
        </is>
      </c>
      <c r="E687" s="6" t="n">
        <v>0.168</v>
      </c>
      <c r="F687" s="7" t="n">
        <v>1000</v>
      </c>
    </row>
    <row r="688">
      <c r="A688" s="5" t="inlineStr">
        <is>
          <t>Apoyo democracia</t>
        </is>
      </c>
      <c r="B688" s="5" t="inlineStr">
        <is>
          <t>Rep. Dominicana</t>
        </is>
      </c>
      <c r="C688" s="5" t="n">
        <v>2024</v>
      </c>
      <c r="D688" s="5" t="inlineStr">
        <is>
          <t>Da lo mismo</t>
        </is>
      </c>
      <c r="E688" s="6" t="n">
        <v>0.251</v>
      </c>
      <c r="F688" s="7" t="n">
        <v>1000</v>
      </c>
    </row>
    <row r="689">
      <c r="A689" s="5" t="inlineStr">
        <is>
          <t>Apoyo democracia</t>
        </is>
      </c>
      <c r="B689" s="5" t="inlineStr">
        <is>
          <t>Rep. Dominicana</t>
        </is>
      </c>
      <c r="C689" s="5" t="n">
        <v>2024</v>
      </c>
      <c r="D689" s="5" t="inlineStr">
        <is>
          <t>No sabe</t>
        </is>
      </c>
      <c r="E689" s="6" t="n">
        <v>0.025</v>
      </c>
      <c r="F689" s="7" t="n">
        <v>1000</v>
      </c>
    </row>
    <row r="690">
      <c r="A690" s="5" t="inlineStr">
        <is>
          <t>Apoyo democracia</t>
        </is>
      </c>
      <c r="B690" s="5" t="inlineStr">
        <is>
          <t>Rep. Dominicana</t>
        </is>
      </c>
      <c r="C690" s="5" t="n">
        <v>2024</v>
      </c>
      <c r="D690" s="5" t="inlineStr">
        <is>
          <t>No contesta</t>
        </is>
      </c>
      <c r="E690" s="6" t="n">
        <v>0.002</v>
      </c>
      <c r="F690" s="7" t="n">
        <v>1000</v>
      </c>
    </row>
    <row r="691">
      <c r="A691" s="5" t="inlineStr">
        <is>
          <t>Apoyo democracia</t>
        </is>
      </c>
      <c r="B691" s="5" t="inlineStr">
        <is>
          <t>Ecuador</t>
        </is>
      </c>
      <c r="C691" s="5" t="n">
        <v>1996</v>
      </c>
      <c r="D691" s="5" t="inlineStr">
        <is>
          <t>Democracia</t>
        </is>
      </c>
      <c r="E691" s="6" t="n">
        <v>0.517</v>
      </c>
      <c r="F691" s="7" t="n">
        <v>1200</v>
      </c>
    </row>
    <row r="692">
      <c r="A692" s="5" t="inlineStr">
        <is>
          <t>Apoyo democracia</t>
        </is>
      </c>
      <c r="B692" s="5" t="inlineStr">
        <is>
          <t>Ecuador</t>
        </is>
      </c>
      <c r="C692" s="5" t="n">
        <v>1996</v>
      </c>
      <c r="D692" s="5" t="inlineStr">
        <is>
          <t>Gobierno Autoritario</t>
        </is>
      </c>
      <c r="E692" s="6" t="n">
        <v>0.181</v>
      </c>
      <c r="F692" s="7" t="n">
        <v>1200</v>
      </c>
    </row>
    <row r="693">
      <c r="A693" s="5" t="inlineStr">
        <is>
          <t>Apoyo democracia</t>
        </is>
      </c>
      <c r="B693" s="5" t="inlineStr">
        <is>
          <t>Ecuador</t>
        </is>
      </c>
      <c r="C693" s="5" t="n">
        <v>1996</v>
      </c>
      <c r="D693" s="5" t="inlineStr">
        <is>
          <t>Da lo mismo</t>
        </is>
      </c>
      <c r="E693" s="6" t="n">
        <v>0.232</v>
      </c>
      <c r="F693" s="7" t="n">
        <v>1200</v>
      </c>
    </row>
    <row r="694">
      <c r="A694" s="5" t="inlineStr">
        <is>
          <t>Apoyo democracia</t>
        </is>
      </c>
      <c r="B694" s="5" t="inlineStr">
        <is>
          <t>Ecuador</t>
        </is>
      </c>
      <c r="C694" s="5" t="n">
        <v>1996</v>
      </c>
      <c r="D694" s="5" t="inlineStr">
        <is>
          <t>No sabe</t>
        </is>
      </c>
      <c r="E694" s="6" t="n">
        <v>0.051</v>
      </c>
      <c r="F694" s="7" t="n">
        <v>1200</v>
      </c>
    </row>
    <row r="695">
      <c r="A695" s="5" t="inlineStr">
        <is>
          <t>Apoyo democracia</t>
        </is>
      </c>
      <c r="B695" s="5" t="inlineStr">
        <is>
          <t>Ecuador</t>
        </is>
      </c>
      <c r="C695" s="5" t="n">
        <v>1996</v>
      </c>
      <c r="D695" s="5" t="inlineStr">
        <is>
          <t>No contesta</t>
        </is>
      </c>
      <c r="E695" s="6" t="n">
        <v>0.02</v>
      </c>
      <c r="F695" s="7" t="n">
        <v>1200</v>
      </c>
    </row>
    <row r="696">
      <c r="A696" s="5" t="inlineStr">
        <is>
          <t>Apoyo democracia</t>
        </is>
      </c>
      <c r="B696" s="5" t="inlineStr">
        <is>
          <t>Ecuador</t>
        </is>
      </c>
      <c r="C696" s="5" t="n">
        <v>1997</v>
      </c>
      <c r="D696" s="5" t="inlineStr">
        <is>
          <t>Democracia</t>
        </is>
      </c>
      <c r="E696" s="6" t="n">
        <v>0.41</v>
      </c>
      <c r="F696" s="7" t="n">
        <v>1200</v>
      </c>
    </row>
    <row r="697">
      <c r="A697" s="5" t="inlineStr">
        <is>
          <t>Apoyo democracia</t>
        </is>
      </c>
      <c r="B697" s="5" t="inlineStr">
        <is>
          <t>Ecuador</t>
        </is>
      </c>
      <c r="C697" s="5" t="n">
        <v>1997</v>
      </c>
      <c r="D697" s="5" t="inlineStr">
        <is>
          <t>Gobierno Autoritario</t>
        </is>
      </c>
      <c r="E697" s="6" t="n">
        <v>0.226</v>
      </c>
      <c r="F697" s="7" t="n">
        <v>1200</v>
      </c>
    </row>
    <row r="698">
      <c r="A698" s="5" t="inlineStr">
        <is>
          <t>Apoyo democracia</t>
        </is>
      </c>
      <c r="B698" s="5" t="inlineStr">
        <is>
          <t>Ecuador</t>
        </is>
      </c>
      <c r="C698" s="5" t="n">
        <v>1997</v>
      </c>
      <c r="D698" s="5" t="inlineStr">
        <is>
          <t>Da lo mismo</t>
        </is>
      </c>
      <c r="E698" s="6" t="n">
        <v>0.281</v>
      </c>
      <c r="F698" s="7" t="n">
        <v>1200</v>
      </c>
    </row>
    <row r="699">
      <c r="A699" s="5" t="inlineStr">
        <is>
          <t>Apoyo democracia</t>
        </is>
      </c>
      <c r="B699" s="5" t="inlineStr">
        <is>
          <t>Ecuador</t>
        </is>
      </c>
      <c r="C699" s="5" t="n">
        <v>1997</v>
      </c>
      <c r="D699" s="5" t="inlineStr">
        <is>
          <t>No sabe</t>
        </is>
      </c>
      <c r="E699" s="6" t="n">
        <v>0.062</v>
      </c>
      <c r="F699" s="7" t="n">
        <v>1200</v>
      </c>
    </row>
    <row r="700">
      <c r="A700" s="5" t="inlineStr">
        <is>
          <t>Apoyo democracia</t>
        </is>
      </c>
      <c r="B700" s="5" t="inlineStr">
        <is>
          <t>Ecuador</t>
        </is>
      </c>
      <c r="C700" s="5" t="n">
        <v>1997</v>
      </c>
      <c r="D700" s="5" t="inlineStr">
        <is>
          <t>No contesta</t>
        </is>
      </c>
      <c r="E700" s="6" t="n">
        <v>0.022</v>
      </c>
      <c r="F700" s="7" t="n">
        <v>1200</v>
      </c>
    </row>
    <row r="701">
      <c r="A701" s="5" t="inlineStr">
        <is>
          <t>Apoyo democracia</t>
        </is>
      </c>
      <c r="B701" s="5" t="inlineStr">
        <is>
          <t>Ecuador</t>
        </is>
      </c>
      <c r="C701" s="5" t="n">
        <v>1998</v>
      </c>
      <c r="D701" s="5" t="inlineStr">
        <is>
          <t>Democracia</t>
        </is>
      </c>
      <c r="E701" s="6" t="n">
        <v>0.569</v>
      </c>
      <c r="F701" s="7" t="n">
        <v>1200</v>
      </c>
    </row>
    <row r="702">
      <c r="A702" s="5" t="inlineStr">
        <is>
          <t>Apoyo democracia</t>
        </is>
      </c>
      <c r="B702" s="5" t="inlineStr">
        <is>
          <t>Ecuador</t>
        </is>
      </c>
      <c r="C702" s="5" t="n">
        <v>1998</v>
      </c>
      <c r="D702" s="5" t="inlineStr">
        <is>
          <t>Gobierno Autoritario</t>
        </is>
      </c>
      <c r="E702" s="6" t="n">
        <v>0.185</v>
      </c>
      <c r="F702" s="7" t="n">
        <v>1200</v>
      </c>
    </row>
    <row r="703">
      <c r="A703" s="5" t="inlineStr">
        <is>
          <t>Apoyo democracia</t>
        </is>
      </c>
      <c r="B703" s="5" t="inlineStr">
        <is>
          <t>Ecuador</t>
        </is>
      </c>
      <c r="C703" s="5" t="n">
        <v>1998</v>
      </c>
      <c r="D703" s="5" t="inlineStr">
        <is>
          <t>Da lo mismo</t>
        </is>
      </c>
      <c r="E703" s="6" t="n">
        <v>0.199</v>
      </c>
      <c r="F703" s="7" t="n">
        <v>1200</v>
      </c>
    </row>
    <row r="704">
      <c r="A704" s="5" t="inlineStr">
        <is>
          <t>Apoyo democracia</t>
        </is>
      </c>
      <c r="B704" s="5" t="inlineStr">
        <is>
          <t>Ecuador</t>
        </is>
      </c>
      <c r="C704" s="5" t="n">
        <v>1998</v>
      </c>
      <c r="D704" s="5" t="inlineStr">
        <is>
          <t>No sabe</t>
        </is>
      </c>
      <c r="E704" s="6" t="n">
        <v>0.027</v>
      </c>
      <c r="F704" s="7" t="n">
        <v>1200</v>
      </c>
    </row>
    <row r="705">
      <c r="A705" s="5" t="inlineStr">
        <is>
          <t>Apoyo democracia</t>
        </is>
      </c>
      <c r="B705" s="5" t="inlineStr">
        <is>
          <t>Ecuador</t>
        </is>
      </c>
      <c r="C705" s="5" t="n">
        <v>1998</v>
      </c>
      <c r="D705" s="5" t="inlineStr">
        <is>
          <t>No contesta</t>
        </is>
      </c>
      <c r="E705" s="6" t="n">
        <v>0.02</v>
      </c>
      <c r="F705" s="7" t="n">
        <v>1200</v>
      </c>
    </row>
    <row r="706">
      <c r="A706" s="5" t="inlineStr">
        <is>
          <t>Apoyo democracia</t>
        </is>
      </c>
      <c r="B706" s="5" t="inlineStr">
        <is>
          <t>Ecuador</t>
        </is>
      </c>
      <c r="C706" s="5" t="n">
        <v>2000</v>
      </c>
      <c r="D706" s="5" t="inlineStr">
        <is>
          <t>Democracia</t>
        </is>
      </c>
      <c r="E706" s="6" t="n">
        <v>0.5429999999999999</v>
      </c>
      <c r="F706" s="7" t="n">
        <v>1200</v>
      </c>
    </row>
    <row r="707">
      <c r="A707" s="5" t="inlineStr">
        <is>
          <t>Apoyo democracia</t>
        </is>
      </c>
      <c r="B707" s="5" t="inlineStr">
        <is>
          <t>Ecuador</t>
        </is>
      </c>
      <c r="C707" s="5" t="n">
        <v>2000</v>
      </c>
      <c r="D707" s="5" t="inlineStr">
        <is>
          <t>Gobierno Autoritario</t>
        </is>
      </c>
      <c r="E707" s="6" t="n">
        <v>0.124</v>
      </c>
      <c r="F707" s="7" t="n">
        <v>1200</v>
      </c>
    </row>
    <row r="708">
      <c r="A708" s="5" t="inlineStr">
        <is>
          <t>Apoyo democracia</t>
        </is>
      </c>
      <c r="B708" s="5" t="inlineStr">
        <is>
          <t>Ecuador</t>
        </is>
      </c>
      <c r="C708" s="5" t="n">
        <v>2000</v>
      </c>
      <c r="D708" s="5" t="inlineStr">
        <is>
          <t>Da lo mismo</t>
        </is>
      </c>
      <c r="E708" s="6" t="n">
        <v>0.264</v>
      </c>
      <c r="F708" s="7" t="n">
        <v>1200</v>
      </c>
    </row>
    <row r="709">
      <c r="A709" s="5" t="inlineStr">
        <is>
          <t>Apoyo democracia</t>
        </is>
      </c>
      <c r="B709" s="5" t="inlineStr">
        <is>
          <t>Ecuador</t>
        </is>
      </c>
      <c r="C709" s="5" t="n">
        <v>2000</v>
      </c>
      <c r="D709" s="5" t="inlineStr">
        <is>
          <t>No sabe</t>
        </is>
      </c>
      <c r="E709" s="6" t="n">
        <v>0.052</v>
      </c>
      <c r="F709" s="7" t="n">
        <v>1200</v>
      </c>
    </row>
    <row r="710">
      <c r="A710" s="5" t="inlineStr">
        <is>
          <t>Apoyo democracia</t>
        </is>
      </c>
      <c r="B710" s="5" t="inlineStr">
        <is>
          <t>Ecuador</t>
        </is>
      </c>
      <c r="C710" s="5" t="n">
        <v>2000</v>
      </c>
      <c r="D710" s="5" t="inlineStr">
        <is>
          <t>No contesta</t>
        </is>
      </c>
      <c r="E710" s="6" t="n">
        <v>0.018</v>
      </c>
      <c r="F710" s="7" t="n">
        <v>1200</v>
      </c>
    </row>
    <row r="711">
      <c r="A711" s="5" t="inlineStr">
        <is>
          <t>Apoyo democracia</t>
        </is>
      </c>
      <c r="B711" s="5" t="inlineStr">
        <is>
          <t>Ecuador</t>
        </is>
      </c>
      <c r="C711" s="5" t="n">
        <v>2001</v>
      </c>
      <c r="D711" s="5" t="inlineStr">
        <is>
          <t>Democracia</t>
        </is>
      </c>
      <c r="E711" s="6" t="n">
        <v>0.4</v>
      </c>
      <c r="F711" s="7" t="n">
        <v>1200</v>
      </c>
    </row>
    <row r="712">
      <c r="A712" s="5" t="inlineStr">
        <is>
          <t>Apoyo democracia</t>
        </is>
      </c>
      <c r="B712" s="5" t="inlineStr">
        <is>
          <t>Ecuador</t>
        </is>
      </c>
      <c r="C712" s="5" t="n">
        <v>2001</v>
      </c>
      <c r="D712" s="5" t="inlineStr">
        <is>
          <t>Gobierno Autoritario</t>
        </is>
      </c>
      <c r="E712" s="6" t="n">
        <v>0.235</v>
      </c>
      <c r="F712" s="7" t="n">
        <v>1200</v>
      </c>
    </row>
    <row r="713">
      <c r="A713" s="5" t="inlineStr">
        <is>
          <t>Apoyo democracia</t>
        </is>
      </c>
      <c r="B713" s="5" t="inlineStr">
        <is>
          <t>Ecuador</t>
        </is>
      </c>
      <c r="C713" s="5" t="n">
        <v>2001</v>
      </c>
      <c r="D713" s="5" t="inlineStr">
        <is>
          <t>Da lo mismo</t>
        </is>
      </c>
      <c r="E713" s="6" t="n">
        <v>0.259</v>
      </c>
      <c r="F713" s="7" t="n">
        <v>1200</v>
      </c>
    </row>
    <row r="714">
      <c r="A714" s="5" t="inlineStr">
        <is>
          <t>Apoyo democracia</t>
        </is>
      </c>
      <c r="B714" s="5" t="inlineStr">
        <is>
          <t>Ecuador</t>
        </is>
      </c>
      <c r="C714" s="5" t="n">
        <v>2001</v>
      </c>
      <c r="D714" s="5" t="inlineStr">
        <is>
          <t>No sabe</t>
        </is>
      </c>
      <c r="E714" s="6" t="n">
        <v>0.079</v>
      </c>
      <c r="F714" s="7" t="n">
        <v>1200</v>
      </c>
    </row>
    <row r="715">
      <c r="A715" s="5" t="inlineStr">
        <is>
          <t>Apoyo democracia</t>
        </is>
      </c>
      <c r="B715" s="5" t="inlineStr">
        <is>
          <t>Ecuador</t>
        </is>
      </c>
      <c r="C715" s="5" t="n">
        <v>2001</v>
      </c>
      <c r="D715" s="5" t="inlineStr">
        <is>
          <t>No contesta</t>
        </is>
      </c>
      <c r="E715" s="6" t="n">
        <v>0.026</v>
      </c>
      <c r="F715" s="7" t="n">
        <v>1200</v>
      </c>
    </row>
    <row r="716">
      <c r="A716" s="5" t="inlineStr">
        <is>
          <t>Apoyo democracia</t>
        </is>
      </c>
      <c r="B716" s="5" t="inlineStr">
        <is>
          <t>Ecuador</t>
        </is>
      </c>
      <c r="C716" s="5" t="n">
        <v>2002</v>
      </c>
      <c r="D716" s="5" t="inlineStr">
        <is>
          <t>Democracia</t>
        </is>
      </c>
      <c r="E716" s="6" t="n">
        <v>0.471</v>
      </c>
      <c r="F716" s="7" t="n">
        <v>1200</v>
      </c>
    </row>
    <row r="717">
      <c r="A717" s="5" t="inlineStr">
        <is>
          <t>Apoyo democracia</t>
        </is>
      </c>
      <c r="B717" s="5" t="inlineStr">
        <is>
          <t>Ecuador</t>
        </is>
      </c>
      <c r="C717" s="5" t="n">
        <v>2002</v>
      </c>
      <c r="D717" s="5" t="inlineStr">
        <is>
          <t>Gobierno Autoritario</t>
        </is>
      </c>
      <c r="E717" s="6" t="n">
        <v>0.16</v>
      </c>
      <c r="F717" s="7" t="n">
        <v>1200</v>
      </c>
    </row>
    <row r="718">
      <c r="A718" s="5" t="inlineStr">
        <is>
          <t>Apoyo democracia</t>
        </is>
      </c>
      <c r="B718" s="5" t="inlineStr">
        <is>
          <t>Ecuador</t>
        </is>
      </c>
      <c r="C718" s="5" t="n">
        <v>2002</v>
      </c>
      <c r="D718" s="5" t="inlineStr">
        <is>
          <t>Da lo mismo</t>
        </is>
      </c>
      <c r="E718" s="6" t="n">
        <v>0.292</v>
      </c>
      <c r="F718" s="7" t="n">
        <v>1200</v>
      </c>
    </row>
    <row r="719">
      <c r="A719" s="5" t="inlineStr">
        <is>
          <t>Apoyo democracia</t>
        </is>
      </c>
      <c r="B719" s="5" t="inlineStr">
        <is>
          <t>Ecuador</t>
        </is>
      </c>
      <c r="C719" s="5" t="n">
        <v>2002</v>
      </c>
      <c r="D719" s="5" t="inlineStr">
        <is>
          <t>No sabe</t>
        </is>
      </c>
      <c r="E719" s="6" t="n">
        <v>0.047</v>
      </c>
      <c r="F719" s="7" t="n">
        <v>1200</v>
      </c>
    </row>
    <row r="720">
      <c r="A720" s="5" t="inlineStr">
        <is>
          <t>Apoyo democracia</t>
        </is>
      </c>
      <c r="B720" s="5" t="inlineStr">
        <is>
          <t>Ecuador</t>
        </is>
      </c>
      <c r="C720" s="5" t="n">
        <v>2002</v>
      </c>
      <c r="D720" s="5" t="inlineStr">
        <is>
          <t>No contesta</t>
        </is>
      </c>
      <c r="E720" s="6" t="n">
        <v>0.031</v>
      </c>
      <c r="F720" s="7" t="n">
        <v>1200</v>
      </c>
    </row>
    <row r="721">
      <c r="A721" s="5" t="inlineStr">
        <is>
          <t>Apoyo democracia</t>
        </is>
      </c>
      <c r="B721" s="5" t="inlineStr">
        <is>
          <t>Ecuador</t>
        </is>
      </c>
      <c r="C721" s="5" t="n">
        <v>2003</v>
      </c>
      <c r="D721" s="5" t="inlineStr">
        <is>
          <t>Democracia</t>
        </is>
      </c>
      <c r="E721" s="6" t="n">
        <v>0.448</v>
      </c>
      <c r="F721" s="7" t="n">
        <v>1200</v>
      </c>
    </row>
    <row r="722">
      <c r="A722" s="5" t="inlineStr">
        <is>
          <t>Apoyo democracia</t>
        </is>
      </c>
      <c r="B722" s="5" t="inlineStr">
        <is>
          <t>Ecuador</t>
        </is>
      </c>
      <c r="C722" s="5" t="n">
        <v>2003</v>
      </c>
      <c r="D722" s="5" t="inlineStr">
        <is>
          <t>Gobierno Autoritario</t>
        </is>
      </c>
      <c r="E722" s="6" t="n">
        <v>0.344</v>
      </c>
      <c r="F722" s="7" t="n">
        <v>1200</v>
      </c>
    </row>
    <row r="723">
      <c r="A723" s="5" t="inlineStr">
        <is>
          <t>Apoyo democracia</t>
        </is>
      </c>
      <c r="B723" s="5" t="inlineStr">
        <is>
          <t>Ecuador</t>
        </is>
      </c>
      <c r="C723" s="5" t="n">
        <v>2003</v>
      </c>
      <c r="D723" s="5" t="inlineStr">
        <is>
          <t>Da lo mismo</t>
        </is>
      </c>
      <c r="E723" s="6" t="n">
        <v>0.184</v>
      </c>
      <c r="F723" s="7" t="n">
        <v>1200</v>
      </c>
    </row>
    <row r="724">
      <c r="A724" s="5" t="inlineStr">
        <is>
          <t>Apoyo democracia</t>
        </is>
      </c>
      <c r="B724" s="5" t="inlineStr">
        <is>
          <t>Ecuador</t>
        </is>
      </c>
      <c r="C724" s="5" t="n">
        <v>2003</v>
      </c>
      <c r="D724" s="5" t="inlineStr">
        <is>
          <t>No sabe</t>
        </is>
      </c>
      <c r="E724" s="6" t="n">
        <v>0.022</v>
      </c>
      <c r="F724" s="7" t="n">
        <v>1200</v>
      </c>
    </row>
    <row r="725">
      <c r="A725" s="5" t="inlineStr">
        <is>
          <t>Apoyo democracia</t>
        </is>
      </c>
      <c r="B725" s="5" t="inlineStr">
        <is>
          <t>Ecuador</t>
        </is>
      </c>
      <c r="C725" s="5" t="n">
        <v>2003</v>
      </c>
      <c r="D725" s="5" t="inlineStr">
        <is>
          <t>No contesta</t>
        </is>
      </c>
      <c r="E725" s="6" t="n">
        <v>0.002</v>
      </c>
      <c r="F725" s="7" t="n">
        <v>1200</v>
      </c>
    </row>
    <row r="726">
      <c r="A726" s="5" t="inlineStr">
        <is>
          <t>Apoyo democracia</t>
        </is>
      </c>
      <c r="B726" s="5" t="inlineStr">
        <is>
          <t>Ecuador</t>
        </is>
      </c>
      <c r="C726" s="5" t="n">
        <v>2004</v>
      </c>
      <c r="D726" s="5" t="inlineStr">
        <is>
          <t>Democracia</t>
        </is>
      </c>
      <c r="E726" s="6" t="n">
        <v>0.459</v>
      </c>
      <c r="F726" s="7" t="n">
        <v>1200</v>
      </c>
    </row>
    <row r="727">
      <c r="A727" s="5" t="inlineStr">
        <is>
          <t>Apoyo democracia</t>
        </is>
      </c>
      <c r="B727" s="5" t="inlineStr">
        <is>
          <t>Ecuador</t>
        </is>
      </c>
      <c r="C727" s="5" t="n">
        <v>2004</v>
      </c>
      <c r="D727" s="5" t="inlineStr">
        <is>
          <t>Gobierno Autoritario</t>
        </is>
      </c>
      <c r="E727" s="6" t="n">
        <v>0.297</v>
      </c>
      <c r="F727" s="7" t="n">
        <v>1200</v>
      </c>
    </row>
    <row r="728">
      <c r="A728" s="5" t="inlineStr">
        <is>
          <t>Apoyo democracia</t>
        </is>
      </c>
      <c r="B728" s="5" t="inlineStr">
        <is>
          <t>Ecuador</t>
        </is>
      </c>
      <c r="C728" s="5" t="n">
        <v>2004</v>
      </c>
      <c r="D728" s="5" t="inlineStr">
        <is>
          <t>Da lo mismo</t>
        </is>
      </c>
      <c r="E728" s="6" t="n">
        <v>0.202</v>
      </c>
      <c r="F728" s="7" t="n">
        <v>1200</v>
      </c>
    </row>
    <row r="729">
      <c r="A729" s="5" t="inlineStr">
        <is>
          <t>Apoyo democracia</t>
        </is>
      </c>
      <c r="B729" s="5" t="inlineStr">
        <is>
          <t>Ecuador</t>
        </is>
      </c>
      <c r="C729" s="5" t="n">
        <v>2004</v>
      </c>
      <c r="D729" s="5" t="inlineStr">
        <is>
          <t>No sabe</t>
        </is>
      </c>
      <c r="E729" s="6" t="n">
        <v>0.04099999999999999</v>
      </c>
      <c r="F729" s="7" t="n">
        <v>1200</v>
      </c>
    </row>
    <row r="730">
      <c r="A730" s="5" t="inlineStr">
        <is>
          <t>Apoyo democracia</t>
        </is>
      </c>
      <c r="B730" s="5" t="inlineStr">
        <is>
          <t>Ecuador</t>
        </is>
      </c>
      <c r="C730" s="5" t="n">
        <v>2004</v>
      </c>
      <c r="D730" s="5" t="inlineStr">
        <is>
          <t>No contesta</t>
        </is>
      </c>
      <c r="E730" s="6" t="n">
        <v>0.002</v>
      </c>
      <c r="F730" s="7" t="n">
        <v>1200</v>
      </c>
    </row>
    <row r="731">
      <c r="A731" s="5" t="inlineStr">
        <is>
          <t>Apoyo democracia</t>
        </is>
      </c>
      <c r="B731" s="5" t="inlineStr">
        <is>
          <t>Ecuador</t>
        </is>
      </c>
      <c r="C731" s="5" t="n">
        <v>2005</v>
      </c>
      <c r="D731" s="5" t="inlineStr">
        <is>
          <t>Democracia</t>
        </is>
      </c>
      <c r="E731" s="6" t="n">
        <v>0.431</v>
      </c>
      <c r="F731" s="7" t="n">
        <v>1200</v>
      </c>
    </row>
    <row r="732">
      <c r="A732" s="5" t="inlineStr">
        <is>
          <t>Apoyo democracia</t>
        </is>
      </c>
      <c r="B732" s="5" t="inlineStr">
        <is>
          <t>Ecuador</t>
        </is>
      </c>
      <c r="C732" s="5" t="n">
        <v>2005</v>
      </c>
      <c r="D732" s="5" t="inlineStr">
        <is>
          <t>Gobierno Autoritario</t>
        </is>
      </c>
      <c r="E732" s="6" t="n">
        <v>0.178</v>
      </c>
      <c r="F732" s="7" t="n">
        <v>1200</v>
      </c>
    </row>
    <row r="733">
      <c r="A733" s="5" t="inlineStr">
        <is>
          <t>Apoyo democracia</t>
        </is>
      </c>
      <c r="B733" s="5" t="inlineStr">
        <is>
          <t>Ecuador</t>
        </is>
      </c>
      <c r="C733" s="5" t="n">
        <v>2005</v>
      </c>
      <c r="D733" s="5" t="inlineStr">
        <is>
          <t>Da lo mismo</t>
        </is>
      </c>
      <c r="E733" s="6" t="n">
        <v>0.193</v>
      </c>
      <c r="F733" s="7" t="n">
        <v>1200</v>
      </c>
    </row>
    <row r="734">
      <c r="A734" s="5" t="inlineStr">
        <is>
          <t>Apoyo democracia</t>
        </is>
      </c>
      <c r="B734" s="5" t="inlineStr">
        <is>
          <t>Ecuador</t>
        </is>
      </c>
      <c r="C734" s="5" t="n">
        <v>2005</v>
      </c>
      <c r="D734" s="5" t="inlineStr">
        <is>
          <t>No sabe</t>
        </is>
      </c>
      <c r="E734" s="6" t="n">
        <v>0.178</v>
      </c>
      <c r="F734" s="7" t="n">
        <v>1200</v>
      </c>
    </row>
    <row r="735">
      <c r="A735" s="5" t="inlineStr">
        <is>
          <t>Apoyo democracia</t>
        </is>
      </c>
      <c r="B735" s="5" t="inlineStr">
        <is>
          <t>Ecuador</t>
        </is>
      </c>
      <c r="C735" s="5" t="n">
        <v>2005</v>
      </c>
      <c r="D735" s="5" t="inlineStr">
        <is>
          <t>No contesta</t>
        </is>
      </c>
      <c r="E735" s="6" t="n">
        <v>0.02</v>
      </c>
      <c r="F735" s="7" t="n">
        <v>1200</v>
      </c>
    </row>
    <row r="736">
      <c r="A736" s="5" t="inlineStr">
        <is>
          <t>Apoyo democracia</t>
        </is>
      </c>
      <c r="B736" s="5" t="inlineStr">
        <is>
          <t>Ecuador</t>
        </is>
      </c>
      <c r="C736" s="5" t="n">
        <v>2006</v>
      </c>
      <c r="D736" s="5" t="inlineStr">
        <is>
          <t>Democracia</t>
        </is>
      </c>
      <c r="E736" s="6" t="n">
        <v>0.542</v>
      </c>
      <c r="F736" s="7" t="n">
        <v>1200</v>
      </c>
    </row>
    <row r="737">
      <c r="A737" s="5" t="inlineStr">
        <is>
          <t>Apoyo democracia</t>
        </is>
      </c>
      <c r="B737" s="5" t="inlineStr">
        <is>
          <t>Ecuador</t>
        </is>
      </c>
      <c r="C737" s="5" t="n">
        <v>2006</v>
      </c>
      <c r="D737" s="5" t="inlineStr">
        <is>
          <t>Gobierno Autoritario</t>
        </is>
      </c>
      <c r="E737" s="6" t="n">
        <v>0.208</v>
      </c>
      <c r="F737" s="7" t="n">
        <v>1200</v>
      </c>
    </row>
    <row r="738">
      <c r="A738" s="5" t="inlineStr">
        <is>
          <t>Apoyo democracia</t>
        </is>
      </c>
      <c r="B738" s="5" t="inlineStr">
        <is>
          <t>Ecuador</t>
        </is>
      </c>
      <c r="C738" s="5" t="n">
        <v>2006</v>
      </c>
      <c r="D738" s="5" t="inlineStr">
        <is>
          <t>Da lo mismo</t>
        </is>
      </c>
      <c r="E738" s="6" t="n">
        <v>0.168</v>
      </c>
      <c r="F738" s="7" t="n">
        <v>1200</v>
      </c>
    </row>
    <row r="739">
      <c r="A739" s="5" t="inlineStr">
        <is>
          <t>Apoyo democracia</t>
        </is>
      </c>
      <c r="B739" s="5" t="inlineStr">
        <is>
          <t>Ecuador</t>
        </is>
      </c>
      <c r="C739" s="5" t="n">
        <v>2006</v>
      </c>
      <c r="D739" s="5" t="inlineStr">
        <is>
          <t>No sabe</t>
        </is>
      </c>
      <c r="E739" s="6" t="n">
        <v>0.073</v>
      </c>
      <c r="F739" s="7" t="n">
        <v>1200</v>
      </c>
    </row>
    <row r="740">
      <c r="A740" s="5" t="inlineStr">
        <is>
          <t>Apoyo democracia</t>
        </is>
      </c>
      <c r="B740" s="5" t="inlineStr">
        <is>
          <t>Ecuador</t>
        </is>
      </c>
      <c r="C740" s="5" t="n">
        <v>2006</v>
      </c>
      <c r="D740" s="5" t="inlineStr">
        <is>
          <t>No contesta</t>
        </is>
      </c>
      <c r="E740" s="6" t="n">
        <v>0.009000000000000001</v>
      </c>
      <c r="F740" s="7" t="n">
        <v>1200</v>
      </c>
    </row>
    <row r="741">
      <c r="A741" s="5" t="inlineStr">
        <is>
          <t>Apoyo democracia</t>
        </is>
      </c>
      <c r="B741" s="5" t="inlineStr">
        <is>
          <t>Ecuador</t>
        </is>
      </c>
      <c r="C741" s="5" t="n">
        <v>2007</v>
      </c>
      <c r="D741" s="5" t="inlineStr">
        <is>
          <t>Democracia</t>
        </is>
      </c>
      <c r="E741" s="6" t="n">
        <v>0.645</v>
      </c>
      <c r="F741" s="7" t="n">
        <v>1200</v>
      </c>
    </row>
    <row r="742">
      <c r="A742" s="5" t="inlineStr">
        <is>
          <t>Apoyo democracia</t>
        </is>
      </c>
      <c r="B742" s="5" t="inlineStr">
        <is>
          <t>Ecuador</t>
        </is>
      </c>
      <c r="C742" s="5" t="n">
        <v>2007</v>
      </c>
      <c r="D742" s="5" t="inlineStr">
        <is>
          <t>Gobierno Autoritario</t>
        </is>
      </c>
      <c r="E742" s="6" t="n">
        <v>0.133</v>
      </c>
      <c r="F742" s="7" t="n">
        <v>1200</v>
      </c>
    </row>
    <row r="743">
      <c r="A743" s="5" t="inlineStr">
        <is>
          <t>Apoyo democracia</t>
        </is>
      </c>
      <c r="B743" s="5" t="inlineStr">
        <is>
          <t>Ecuador</t>
        </is>
      </c>
      <c r="C743" s="5" t="n">
        <v>2007</v>
      </c>
      <c r="D743" s="5" t="inlineStr">
        <is>
          <t>Da lo mismo</t>
        </is>
      </c>
      <c r="E743" s="6" t="n">
        <v>0.163</v>
      </c>
      <c r="F743" s="7" t="n">
        <v>1200</v>
      </c>
    </row>
    <row r="744">
      <c r="A744" s="5" t="inlineStr">
        <is>
          <t>Apoyo democracia</t>
        </is>
      </c>
      <c r="B744" s="5" t="inlineStr">
        <is>
          <t>Ecuador</t>
        </is>
      </c>
      <c r="C744" s="5" t="n">
        <v>2007</v>
      </c>
      <c r="D744" s="5" t="inlineStr">
        <is>
          <t>No sabe</t>
        </is>
      </c>
      <c r="E744" s="6" t="n">
        <v>0.053</v>
      </c>
      <c r="F744" s="7" t="n">
        <v>1200</v>
      </c>
    </row>
    <row r="745">
      <c r="A745" s="5" t="inlineStr">
        <is>
          <t>Apoyo democracia</t>
        </is>
      </c>
      <c r="B745" s="5" t="inlineStr">
        <is>
          <t>Ecuador</t>
        </is>
      </c>
      <c r="C745" s="5" t="n">
        <v>2007</v>
      </c>
      <c r="D745" s="5" t="inlineStr">
        <is>
          <t>No contesta</t>
        </is>
      </c>
      <c r="E745" s="6" t="n">
        <v>0.006</v>
      </c>
      <c r="F745" s="7" t="n">
        <v>1200</v>
      </c>
    </row>
    <row r="746">
      <c r="A746" s="5" t="inlineStr">
        <is>
          <t>Apoyo democracia</t>
        </is>
      </c>
      <c r="B746" s="5" t="inlineStr">
        <is>
          <t>Ecuador</t>
        </is>
      </c>
      <c r="C746" s="5" t="n">
        <v>2008</v>
      </c>
      <c r="D746" s="5" t="inlineStr">
        <is>
          <t>Democracia</t>
        </is>
      </c>
      <c r="E746" s="6" t="n">
        <v>0.5579999999999999</v>
      </c>
      <c r="F746" s="7" t="n">
        <v>1200</v>
      </c>
    </row>
    <row r="747">
      <c r="A747" s="5" t="inlineStr">
        <is>
          <t>Apoyo democracia</t>
        </is>
      </c>
      <c r="B747" s="5" t="inlineStr">
        <is>
          <t>Ecuador</t>
        </is>
      </c>
      <c r="C747" s="5" t="n">
        <v>2008</v>
      </c>
      <c r="D747" s="5" t="inlineStr">
        <is>
          <t>Gobierno Autoritario</t>
        </is>
      </c>
      <c r="E747" s="6" t="n">
        <v>0.163</v>
      </c>
      <c r="F747" s="7" t="n">
        <v>1200</v>
      </c>
    </row>
    <row r="748">
      <c r="A748" s="5" t="inlineStr">
        <is>
          <t>Apoyo democracia</t>
        </is>
      </c>
      <c r="B748" s="5" t="inlineStr">
        <is>
          <t>Ecuador</t>
        </is>
      </c>
      <c r="C748" s="5" t="n">
        <v>2008</v>
      </c>
      <c r="D748" s="5" t="inlineStr">
        <is>
          <t>Da lo mismo</t>
        </is>
      </c>
      <c r="E748" s="6" t="n">
        <v>0.162</v>
      </c>
      <c r="F748" s="7" t="n">
        <v>1200</v>
      </c>
    </row>
    <row r="749">
      <c r="A749" s="5" t="inlineStr">
        <is>
          <t>Apoyo democracia</t>
        </is>
      </c>
      <c r="B749" s="5" t="inlineStr">
        <is>
          <t>Ecuador</t>
        </is>
      </c>
      <c r="C749" s="5" t="n">
        <v>2008</v>
      </c>
      <c r="D749" s="5" t="inlineStr">
        <is>
          <t>No sabe</t>
        </is>
      </c>
      <c r="E749" s="6" t="n">
        <v>0.108</v>
      </c>
      <c r="F749" s="7" t="n">
        <v>1200</v>
      </c>
    </row>
    <row r="750">
      <c r="A750" s="5" t="inlineStr">
        <is>
          <t>Apoyo democracia</t>
        </is>
      </c>
      <c r="B750" s="5" t="inlineStr">
        <is>
          <t>Ecuador</t>
        </is>
      </c>
      <c r="C750" s="5" t="n">
        <v>2008</v>
      </c>
      <c r="D750" s="5" t="inlineStr">
        <is>
          <t>No contesta</t>
        </is>
      </c>
      <c r="E750" s="6" t="n">
        <v>0.011</v>
      </c>
      <c r="F750" s="7" t="n">
        <v>1200</v>
      </c>
    </row>
    <row r="751">
      <c r="A751" s="5" t="inlineStr">
        <is>
          <t>Apoyo democracia</t>
        </is>
      </c>
      <c r="B751" s="5" t="inlineStr">
        <is>
          <t>Ecuador</t>
        </is>
      </c>
      <c r="C751" s="5" t="n">
        <v>2009</v>
      </c>
      <c r="D751" s="5" t="inlineStr">
        <is>
          <t>Democracia</t>
        </is>
      </c>
      <c r="E751" s="6" t="n">
        <v>0.433</v>
      </c>
      <c r="F751" s="7" t="n">
        <v>1200</v>
      </c>
    </row>
    <row r="752">
      <c r="A752" s="5" t="inlineStr">
        <is>
          <t>Apoyo democracia</t>
        </is>
      </c>
      <c r="B752" s="5" t="inlineStr">
        <is>
          <t>Ecuador</t>
        </is>
      </c>
      <c r="C752" s="5" t="n">
        <v>2009</v>
      </c>
      <c r="D752" s="5" t="inlineStr">
        <is>
          <t>Gobierno Autoritario</t>
        </is>
      </c>
      <c r="E752" s="6" t="n">
        <v>0.253</v>
      </c>
      <c r="F752" s="7" t="n">
        <v>1200</v>
      </c>
    </row>
    <row r="753">
      <c r="A753" s="5" t="inlineStr">
        <is>
          <t>Apoyo democracia</t>
        </is>
      </c>
      <c r="B753" s="5" t="inlineStr">
        <is>
          <t>Ecuador</t>
        </is>
      </c>
      <c r="C753" s="5" t="n">
        <v>2009</v>
      </c>
      <c r="D753" s="5" t="inlineStr">
        <is>
          <t>Da lo mismo</t>
        </is>
      </c>
      <c r="E753" s="6" t="n">
        <v>0.218</v>
      </c>
      <c r="F753" s="7" t="n">
        <v>1200</v>
      </c>
    </row>
    <row r="754">
      <c r="A754" s="5" t="inlineStr">
        <is>
          <t>Apoyo democracia</t>
        </is>
      </c>
      <c r="B754" s="5" t="inlineStr">
        <is>
          <t>Ecuador</t>
        </is>
      </c>
      <c r="C754" s="5" t="n">
        <v>2009</v>
      </c>
      <c r="D754" s="5" t="inlineStr">
        <is>
          <t>No sabe</t>
        </is>
      </c>
      <c r="E754" s="6" t="n">
        <v>0.091</v>
      </c>
      <c r="F754" s="7" t="n">
        <v>1200</v>
      </c>
    </row>
    <row r="755">
      <c r="A755" s="5" t="inlineStr">
        <is>
          <t>Apoyo democracia</t>
        </is>
      </c>
      <c r="B755" s="5" t="inlineStr">
        <is>
          <t>Ecuador</t>
        </is>
      </c>
      <c r="C755" s="5" t="n">
        <v>2009</v>
      </c>
      <c r="D755" s="5" t="inlineStr">
        <is>
          <t>No contesta</t>
        </is>
      </c>
      <c r="E755" s="6" t="n">
        <v>0.005</v>
      </c>
      <c r="F755" s="7" t="n">
        <v>1200</v>
      </c>
    </row>
    <row r="756">
      <c r="A756" s="5" t="inlineStr">
        <is>
          <t>Apoyo democracia</t>
        </is>
      </c>
      <c r="B756" s="5" t="inlineStr">
        <is>
          <t>Ecuador</t>
        </is>
      </c>
      <c r="C756" s="5" t="n">
        <v>2010</v>
      </c>
      <c r="D756" s="5" t="inlineStr">
        <is>
          <t>Democracia</t>
        </is>
      </c>
      <c r="E756" s="6" t="n">
        <v>0.637</v>
      </c>
      <c r="F756" s="7" t="n">
        <v>1200</v>
      </c>
    </row>
    <row r="757">
      <c r="A757" s="5" t="inlineStr">
        <is>
          <t>Apoyo democracia</t>
        </is>
      </c>
      <c r="B757" s="5" t="inlineStr">
        <is>
          <t>Ecuador</t>
        </is>
      </c>
      <c r="C757" s="5" t="n">
        <v>2010</v>
      </c>
      <c r="D757" s="5" t="inlineStr">
        <is>
          <t>Gobierno Autoritario</t>
        </is>
      </c>
      <c r="E757" s="6" t="n">
        <v>0.118</v>
      </c>
      <c r="F757" s="7" t="n">
        <v>1200</v>
      </c>
    </row>
    <row r="758">
      <c r="A758" s="5" t="inlineStr">
        <is>
          <t>Apoyo democracia</t>
        </is>
      </c>
      <c r="B758" s="5" t="inlineStr">
        <is>
          <t>Ecuador</t>
        </is>
      </c>
      <c r="C758" s="5" t="n">
        <v>2010</v>
      </c>
      <c r="D758" s="5" t="inlineStr">
        <is>
          <t>Da lo mismo</t>
        </is>
      </c>
      <c r="E758" s="6" t="n">
        <v>0.167</v>
      </c>
      <c r="F758" s="7" t="n">
        <v>1200</v>
      </c>
    </row>
    <row r="759">
      <c r="A759" s="5" t="inlineStr">
        <is>
          <t>Apoyo democracia</t>
        </is>
      </c>
      <c r="B759" s="5" t="inlineStr">
        <is>
          <t>Ecuador</t>
        </is>
      </c>
      <c r="C759" s="5" t="n">
        <v>2010</v>
      </c>
      <c r="D759" s="5" t="inlineStr">
        <is>
          <t>No sabe</t>
        </is>
      </c>
      <c r="E759" s="6" t="n">
        <v>0.067</v>
      </c>
      <c r="F759" s="7" t="n">
        <v>1200</v>
      </c>
    </row>
    <row r="760">
      <c r="A760" s="5" t="inlineStr">
        <is>
          <t>Apoyo democracia</t>
        </is>
      </c>
      <c r="B760" s="5" t="inlineStr">
        <is>
          <t>Ecuador</t>
        </is>
      </c>
      <c r="C760" s="5" t="n">
        <v>2010</v>
      </c>
      <c r="D760" s="5" t="inlineStr">
        <is>
          <t>No contesta</t>
        </is>
      </c>
      <c r="E760" s="6" t="n">
        <v>0.012</v>
      </c>
      <c r="F760" s="7" t="n">
        <v>1200</v>
      </c>
    </row>
    <row r="761">
      <c r="A761" s="5" t="inlineStr">
        <is>
          <t>Apoyo democracia</t>
        </is>
      </c>
      <c r="B761" s="5" t="inlineStr">
        <is>
          <t>Ecuador</t>
        </is>
      </c>
      <c r="C761" s="5" t="n">
        <v>2011</v>
      </c>
      <c r="D761" s="5" t="inlineStr">
        <is>
          <t>Democracia</t>
        </is>
      </c>
      <c r="E761" s="6" t="n">
        <v>0.609</v>
      </c>
      <c r="F761" s="7" t="n">
        <v>1200</v>
      </c>
    </row>
    <row r="762">
      <c r="A762" s="5" t="inlineStr">
        <is>
          <t>Apoyo democracia</t>
        </is>
      </c>
      <c r="B762" s="5" t="inlineStr">
        <is>
          <t>Ecuador</t>
        </is>
      </c>
      <c r="C762" s="5" t="n">
        <v>2011</v>
      </c>
      <c r="D762" s="5" t="inlineStr">
        <is>
          <t>Gobierno Autoritario</t>
        </is>
      </c>
      <c r="E762" s="6" t="n">
        <v>0.234</v>
      </c>
      <c r="F762" s="7" t="n">
        <v>1200</v>
      </c>
    </row>
    <row r="763">
      <c r="A763" s="5" t="inlineStr">
        <is>
          <t>Apoyo democracia</t>
        </is>
      </c>
      <c r="B763" s="5" t="inlineStr">
        <is>
          <t>Ecuador</t>
        </is>
      </c>
      <c r="C763" s="5" t="n">
        <v>2011</v>
      </c>
      <c r="D763" s="5" t="inlineStr">
        <is>
          <t>Da lo mismo</t>
        </is>
      </c>
      <c r="E763" s="6" t="n">
        <v>0.116</v>
      </c>
      <c r="F763" s="7" t="n">
        <v>1200</v>
      </c>
    </row>
    <row r="764">
      <c r="A764" s="5" t="inlineStr">
        <is>
          <t>Apoyo democracia</t>
        </is>
      </c>
      <c r="B764" s="5" t="inlineStr">
        <is>
          <t>Ecuador</t>
        </is>
      </c>
      <c r="C764" s="5" t="n">
        <v>2011</v>
      </c>
      <c r="D764" s="5" t="inlineStr">
        <is>
          <t>No sabe</t>
        </is>
      </c>
      <c r="E764" s="6" t="n">
        <v>0.03700000000000001</v>
      </c>
      <c r="F764" s="7" t="n">
        <v>1200</v>
      </c>
    </row>
    <row r="765">
      <c r="A765" s="5" t="inlineStr">
        <is>
          <t>Apoyo democracia</t>
        </is>
      </c>
      <c r="B765" s="5" t="inlineStr">
        <is>
          <t>Ecuador</t>
        </is>
      </c>
      <c r="C765" s="5" t="n">
        <v>2011</v>
      </c>
      <c r="D765" s="5" t="inlineStr">
        <is>
          <t>No contesta</t>
        </is>
      </c>
      <c r="E765" s="6" t="n">
        <v>0.004</v>
      </c>
      <c r="F765" s="7" t="n">
        <v>1200</v>
      </c>
    </row>
    <row r="766">
      <c r="A766" s="5" t="inlineStr">
        <is>
          <t>Apoyo democracia</t>
        </is>
      </c>
      <c r="B766" s="5" t="inlineStr">
        <is>
          <t>Ecuador</t>
        </is>
      </c>
      <c r="C766" s="5" t="n">
        <v>2016</v>
      </c>
      <c r="D766" s="5" t="inlineStr">
        <is>
          <t>Democracia</t>
        </is>
      </c>
      <c r="E766" s="6" t="n">
        <v>0.6659999999999999</v>
      </c>
      <c r="F766" s="7" t="n">
        <v>1200</v>
      </c>
    </row>
    <row r="767">
      <c r="A767" s="5" t="inlineStr">
        <is>
          <t>Apoyo democracia</t>
        </is>
      </c>
      <c r="B767" s="5" t="inlineStr">
        <is>
          <t>Ecuador</t>
        </is>
      </c>
      <c r="C767" s="5" t="n">
        <v>2016</v>
      </c>
      <c r="D767" s="5" t="inlineStr">
        <is>
          <t>Gobierno Autoritario</t>
        </is>
      </c>
      <c r="E767" s="6" t="n">
        <v>0.119</v>
      </c>
      <c r="F767" s="7" t="n">
        <v>1200</v>
      </c>
    </row>
    <row r="768">
      <c r="A768" s="5" t="inlineStr">
        <is>
          <t>Apoyo democracia</t>
        </is>
      </c>
      <c r="B768" s="5" t="inlineStr">
        <is>
          <t>Ecuador</t>
        </is>
      </c>
      <c r="C768" s="5" t="n">
        <v>2016</v>
      </c>
      <c r="D768" s="5" t="inlineStr">
        <is>
          <t>Da lo mismo</t>
        </is>
      </c>
      <c r="E768" s="6" t="n">
        <v>0.169</v>
      </c>
      <c r="F768" s="7" t="n">
        <v>1200</v>
      </c>
    </row>
    <row r="769">
      <c r="A769" s="5" t="inlineStr">
        <is>
          <t>Apoyo democracia</t>
        </is>
      </c>
      <c r="B769" s="5" t="inlineStr">
        <is>
          <t>Ecuador</t>
        </is>
      </c>
      <c r="C769" s="5" t="n">
        <v>2016</v>
      </c>
      <c r="D769" s="5" t="inlineStr">
        <is>
          <t>No sabe</t>
        </is>
      </c>
      <c r="E769" s="6" t="n">
        <v>0.039</v>
      </c>
      <c r="F769" s="7" t="n">
        <v>1200</v>
      </c>
    </row>
    <row r="770">
      <c r="A770" s="5" t="inlineStr">
        <is>
          <t>Apoyo democracia</t>
        </is>
      </c>
      <c r="B770" s="5" t="inlineStr">
        <is>
          <t>Ecuador</t>
        </is>
      </c>
      <c r="C770" s="5" t="n">
        <v>2016</v>
      </c>
      <c r="D770" s="5" t="inlineStr">
        <is>
          <t>No contesta</t>
        </is>
      </c>
      <c r="E770" s="6" t="n">
        <v>0.006999999999999999</v>
      </c>
      <c r="F770" s="7" t="n">
        <v>1200</v>
      </c>
    </row>
    <row r="771">
      <c r="A771" s="5" t="inlineStr">
        <is>
          <t>Apoyo democracia</t>
        </is>
      </c>
      <c r="B771" s="5" t="inlineStr">
        <is>
          <t>Ecuador</t>
        </is>
      </c>
      <c r="C771" s="5" t="n">
        <v>2017</v>
      </c>
      <c r="D771" s="5" t="inlineStr">
        <is>
          <t>Democracia</t>
        </is>
      </c>
      <c r="E771" s="6" t="n">
        <v>0.6940000000000001</v>
      </c>
      <c r="F771" s="7" t="n">
        <v>1200</v>
      </c>
    </row>
    <row r="772">
      <c r="A772" s="5" t="inlineStr">
        <is>
          <t>Apoyo democracia</t>
        </is>
      </c>
      <c r="B772" s="5" t="inlineStr">
        <is>
          <t>Ecuador</t>
        </is>
      </c>
      <c r="C772" s="5" t="n">
        <v>2017</v>
      </c>
      <c r="D772" s="5" t="inlineStr">
        <is>
          <t>Gobierno Autoritario</t>
        </is>
      </c>
      <c r="E772" s="6" t="n">
        <v>0.113</v>
      </c>
      <c r="F772" s="7" t="n">
        <v>1200</v>
      </c>
    </row>
    <row r="773">
      <c r="A773" s="5" t="inlineStr">
        <is>
          <t>Apoyo democracia</t>
        </is>
      </c>
      <c r="B773" s="5" t="inlineStr">
        <is>
          <t>Ecuador</t>
        </is>
      </c>
      <c r="C773" s="5" t="n">
        <v>2017</v>
      </c>
      <c r="D773" s="5" t="inlineStr">
        <is>
          <t>Da lo mismo</t>
        </is>
      </c>
      <c r="E773" s="6" t="n">
        <v>0.163</v>
      </c>
      <c r="F773" s="7" t="n">
        <v>1200</v>
      </c>
    </row>
    <row r="774">
      <c r="A774" s="5" t="inlineStr">
        <is>
          <t>Apoyo democracia</t>
        </is>
      </c>
      <c r="B774" s="5" t="inlineStr">
        <is>
          <t>Ecuador</t>
        </is>
      </c>
      <c r="C774" s="5" t="n">
        <v>2017</v>
      </c>
      <c r="D774" s="5" t="inlineStr">
        <is>
          <t>No sabe</t>
        </is>
      </c>
      <c r="E774" s="6" t="n">
        <v>0.023</v>
      </c>
      <c r="F774" s="7" t="n">
        <v>1200</v>
      </c>
    </row>
    <row r="775">
      <c r="A775" s="5" t="inlineStr">
        <is>
          <t>Apoyo democracia</t>
        </is>
      </c>
      <c r="B775" s="5" t="inlineStr">
        <is>
          <t>Ecuador</t>
        </is>
      </c>
      <c r="C775" s="5" t="n">
        <v>2017</v>
      </c>
      <c r="D775" s="5" t="inlineStr">
        <is>
          <t>No contesta</t>
        </is>
      </c>
      <c r="E775" s="6" t="n">
        <v>0.006999999999999999</v>
      </c>
      <c r="F775" s="7" t="n">
        <v>1200</v>
      </c>
    </row>
    <row r="776">
      <c r="A776" s="5" t="inlineStr">
        <is>
          <t>Apoyo democracia</t>
        </is>
      </c>
      <c r="B776" s="5" t="inlineStr">
        <is>
          <t>Ecuador</t>
        </is>
      </c>
      <c r="C776" s="5" t="n">
        <v>2018</v>
      </c>
      <c r="D776" s="5" t="inlineStr">
        <is>
          <t>Democracia</t>
        </is>
      </c>
      <c r="E776" s="6" t="n">
        <v>0.498</v>
      </c>
      <c r="F776" s="7" t="n">
        <v>1200</v>
      </c>
    </row>
    <row r="777">
      <c r="A777" s="5" t="inlineStr">
        <is>
          <t>Apoyo democracia</t>
        </is>
      </c>
      <c r="B777" s="5" t="inlineStr">
        <is>
          <t>Ecuador</t>
        </is>
      </c>
      <c r="C777" s="5" t="n">
        <v>2018</v>
      </c>
      <c r="D777" s="5" t="inlineStr">
        <is>
          <t>Gobierno Autoritario</t>
        </is>
      </c>
      <c r="E777" s="6" t="n">
        <v>0.185</v>
      </c>
      <c r="F777" s="7" t="n">
        <v>1200</v>
      </c>
    </row>
    <row r="778">
      <c r="A778" s="5" t="inlineStr">
        <is>
          <t>Apoyo democracia</t>
        </is>
      </c>
      <c r="B778" s="5" t="inlineStr">
        <is>
          <t>Ecuador</t>
        </is>
      </c>
      <c r="C778" s="5" t="n">
        <v>2018</v>
      </c>
      <c r="D778" s="5" t="inlineStr">
        <is>
          <t>Da lo mismo</t>
        </is>
      </c>
      <c r="E778" s="6" t="n">
        <v>0.262</v>
      </c>
      <c r="F778" s="7" t="n">
        <v>1200</v>
      </c>
    </row>
    <row r="779">
      <c r="A779" s="5" t="inlineStr">
        <is>
          <t>Apoyo democracia</t>
        </is>
      </c>
      <c r="B779" s="5" t="inlineStr">
        <is>
          <t>Ecuador</t>
        </is>
      </c>
      <c r="C779" s="5" t="n">
        <v>2018</v>
      </c>
      <c r="D779" s="5" t="inlineStr">
        <is>
          <t>No sabe</t>
        </is>
      </c>
      <c r="E779" s="6" t="n">
        <v>0.049</v>
      </c>
      <c r="F779" s="7" t="n">
        <v>1200</v>
      </c>
    </row>
    <row r="780">
      <c r="A780" s="5" t="inlineStr">
        <is>
          <t>Apoyo democracia</t>
        </is>
      </c>
      <c r="B780" s="5" t="inlineStr">
        <is>
          <t>Ecuador</t>
        </is>
      </c>
      <c r="C780" s="5" t="n">
        <v>2018</v>
      </c>
      <c r="D780" s="5" t="inlineStr">
        <is>
          <t>No contesta</t>
        </is>
      </c>
      <c r="E780" s="6" t="n">
        <v>0.006999999999999999</v>
      </c>
      <c r="F780" s="7" t="n">
        <v>1200</v>
      </c>
    </row>
    <row r="781">
      <c r="A781" s="5" t="inlineStr">
        <is>
          <t>Apoyo democracia</t>
        </is>
      </c>
      <c r="B781" s="5" t="inlineStr">
        <is>
          <t>Ecuador</t>
        </is>
      </c>
      <c r="C781" s="5" t="n">
        <v>2020</v>
      </c>
      <c r="D781" s="5" t="inlineStr">
        <is>
          <t>Democracia</t>
        </is>
      </c>
      <c r="E781" s="6" t="n">
        <v>0.329</v>
      </c>
      <c r="F781" s="7" t="n">
        <v>1200</v>
      </c>
    </row>
    <row r="782">
      <c r="A782" s="5" t="inlineStr">
        <is>
          <t>Apoyo democracia</t>
        </is>
      </c>
      <c r="B782" s="5" t="inlineStr">
        <is>
          <t>Ecuador</t>
        </is>
      </c>
      <c r="C782" s="5" t="n">
        <v>2020</v>
      </c>
      <c r="D782" s="5" t="inlineStr">
        <is>
          <t>Gobierno Autoritario</t>
        </is>
      </c>
      <c r="E782" s="6" t="n">
        <v>0.164</v>
      </c>
      <c r="F782" s="7" t="n">
        <v>1200</v>
      </c>
    </row>
    <row r="783">
      <c r="A783" s="5" t="inlineStr">
        <is>
          <t>Apoyo democracia</t>
        </is>
      </c>
      <c r="B783" s="5" t="inlineStr">
        <is>
          <t>Ecuador</t>
        </is>
      </c>
      <c r="C783" s="5" t="n">
        <v>2020</v>
      </c>
      <c r="D783" s="5" t="inlineStr">
        <is>
          <t>Da lo mismo</t>
        </is>
      </c>
      <c r="E783" s="6" t="n">
        <v>0.379</v>
      </c>
      <c r="F783" s="7" t="n">
        <v>1200</v>
      </c>
    </row>
    <row r="784">
      <c r="A784" s="5" t="inlineStr">
        <is>
          <t>Apoyo democracia</t>
        </is>
      </c>
      <c r="B784" s="5" t="inlineStr">
        <is>
          <t>Ecuador</t>
        </is>
      </c>
      <c r="C784" s="5" t="n">
        <v>2020</v>
      </c>
      <c r="D784" s="5" t="inlineStr">
        <is>
          <t>No sabe</t>
        </is>
      </c>
      <c r="E784" s="6" t="n">
        <v>0.104</v>
      </c>
      <c r="F784" s="7" t="n">
        <v>1200</v>
      </c>
    </row>
    <row r="785">
      <c r="A785" s="5" t="inlineStr">
        <is>
          <t>Apoyo democracia</t>
        </is>
      </c>
      <c r="B785" s="5" t="inlineStr">
        <is>
          <t>Ecuador</t>
        </is>
      </c>
      <c r="C785" s="5" t="n">
        <v>2020</v>
      </c>
      <c r="D785" s="5" t="inlineStr">
        <is>
          <t>No contesta</t>
        </is>
      </c>
      <c r="E785" s="6" t="n">
        <v>0.023</v>
      </c>
      <c r="F785" s="7" t="n">
        <v>1200</v>
      </c>
    </row>
    <row r="786">
      <c r="A786" s="5" t="inlineStr">
        <is>
          <t>Apoyo democracia</t>
        </is>
      </c>
      <c r="B786" s="5" t="inlineStr">
        <is>
          <t>Ecuador</t>
        </is>
      </c>
      <c r="C786" s="5" t="n">
        <v>2024</v>
      </c>
      <c r="D786" s="5" t="inlineStr">
        <is>
          <t>Democracia</t>
        </is>
      </c>
      <c r="E786" s="6" t="n">
        <v>0.424</v>
      </c>
      <c r="F786" s="7" t="n">
        <v>1200</v>
      </c>
    </row>
    <row r="787">
      <c r="A787" s="5" t="inlineStr">
        <is>
          <t>Apoyo democracia</t>
        </is>
      </c>
      <c r="B787" s="5" t="inlineStr">
        <is>
          <t>Ecuador</t>
        </is>
      </c>
      <c r="C787" s="5" t="n">
        <v>2024</v>
      </c>
      <c r="D787" s="5" t="inlineStr">
        <is>
          <t>Gobierno Autoritario</t>
        </is>
      </c>
      <c r="E787" s="6" t="n">
        <v>0.208</v>
      </c>
      <c r="F787" s="7" t="n">
        <v>1200</v>
      </c>
    </row>
    <row r="788">
      <c r="A788" s="5" t="inlineStr">
        <is>
          <t>Apoyo democracia</t>
        </is>
      </c>
      <c r="B788" s="5" t="inlineStr">
        <is>
          <t>Ecuador</t>
        </is>
      </c>
      <c r="C788" s="5" t="n">
        <v>2024</v>
      </c>
      <c r="D788" s="5" t="inlineStr">
        <is>
          <t>Da lo mismo</t>
        </is>
      </c>
      <c r="E788" s="6" t="n">
        <v>0.343</v>
      </c>
      <c r="F788" s="7" t="n">
        <v>1200</v>
      </c>
    </row>
    <row r="789">
      <c r="A789" s="5" t="inlineStr">
        <is>
          <t>Apoyo democracia</t>
        </is>
      </c>
      <c r="B789" s="5" t="inlineStr">
        <is>
          <t>Ecuador</t>
        </is>
      </c>
      <c r="C789" s="5" t="n">
        <v>2024</v>
      </c>
      <c r="D789" s="5" t="inlineStr">
        <is>
          <t>No sabe</t>
        </is>
      </c>
      <c r="E789" s="6" t="n">
        <v>0.02</v>
      </c>
      <c r="F789" s="7" t="n">
        <v>1200</v>
      </c>
    </row>
    <row r="790">
      <c r="A790" s="5" t="inlineStr">
        <is>
          <t>Apoyo democracia</t>
        </is>
      </c>
      <c r="B790" s="5" t="inlineStr">
        <is>
          <t>Ecuador</t>
        </is>
      </c>
      <c r="C790" s="5" t="n">
        <v>2024</v>
      </c>
      <c r="D790" s="5" t="inlineStr">
        <is>
          <t>No contesta</t>
        </is>
      </c>
      <c r="E790" s="6" t="n">
        <v>0.006</v>
      </c>
      <c r="F790" s="7" t="n">
        <v>1200</v>
      </c>
    </row>
    <row r="791">
      <c r="A791" s="5" t="inlineStr">
        <is>
          <t>Apoyo democracia</t>
        </is>
      </c>
      <c r="B791" s="5" t="inlineStr">
        <is>
          <t>El Salvador</t>
        </is>
      </c>
      <c r="C791" s="5" t="n">
        <v>1996</v>
      </c>
      <c r="D791" s="5" t="inlineStr">
        <is>
          <t>Democracia</t>
        </is>
      </c>
      <c r="E791" s="6" t="n">
        <v>0.5629999999999999</v>
      </c>
      <c r="F791" s="7" t="n">
        <v>1003</v>
      </c>
    </row>
    <row r="792">
      <c r="A792" s="5" t="inlineStr">
        <is>
          <t>Apoyo democracia</t>
        </is>
      </c>
      <c r="B792" s="5" t="inlineStr">
        <is>
          <t>El Salvador</t>
        </is>
      </c>
      <c r="C792" s="5" t="n">
        <v>1996</v>
      </c>
      <c r="D792" s="5" t="inlineStr">
        <is>
          <t>Gobierno Autoritario</t>
        </is>
      </c>
      <c r="E792" s="6" t="n">
        <v>0.119</v>
      </c>
      <c r="F792" s="7" t="n">
        <v>1003</v>
      </c>
    </row>
    <row r="793">
      <c r="A793" s="5" t="inlineStr">
        <is>
          <t>Apoyo democracia</t>
        </is>
      </c>
      <c r="B793" s="5" t="inlineStr">
        <is>
          <t>El Salvador</t>
        </is>
      </c>
      <c r="C793" s="5" t="n">
        <v>1996</v>
      </c>
      <c r="D793" s="5" t="inlineStr">
        <is>
          <t>Da lo mismo</t>
        </is>
      </c>
      <c r="E793" s="6" t="n">
        <v>0.223</v>
      </c>
      <c r="F793" s="7" t="n">
        <v>1003</v>
      </c>
    </row>
    <row r="794">
      <c r="A794" s="5" t="inlineStr">
        <is>
          <t>Apoyo democracia</t>
        </is>
      </c>
      <c r="B794" s="5" t="inlineStr">
        <is>
          <t>El Salvador</t>
        </is>
      </c>
      <c r="C794" s="5" t="n">
        <v>1996</v>
      </c>
      <c r="D794" s="5" t="inlineStr">
        <is>
          <t>No sabe</t>
        </is>
      </c>
      <c r="E794" s="6" t="n">
        <v>0.052</v>
      </c>
      <c r="F794" s="7" t="n">
        <v>1003</v>
      </c>
    </row>
    <row r="795">
      <c r="A795" s="5" t="inlineStr">
        <is>
          <t>Apoyo democracia</t>
        </is>
      </c>
      <c r="B795" s="5" t="inlineStr">
        <is>
          <t>El Salvador</t>
        </is>
      </c>
      <c r="C795" s="5" t="n">
        <v>1996</v>
      </c>
      <c r="D795" s="5" t="inlineStr">
        <is>
          <t>No contesta</t>
        </is>
      </c>
      <c r="E795" s="6" t="n">
        <v>0.043</v>
      </c>
      <c r="F795" s="7" t="n">
        <v>1003</v>
      </c>
    </row>
    <row r="796">
      <c r="A796" s="5" t="inlineStr">
        <is>
          <t>Apoyo democracia</t>
        </is>
      </c>
      <c r="B796" s="5" t="inlineStr">
        <is>
          <t>El Salvador</t>
        </is>
      </c>
      <c r="C796" s="5" t="n">
        <v>1997</v>
      </c>
      <c r="D796" s="5" t="inlineStr">
        <is>
          <t>Democracia</t>
        </is>
      </c>
      <c r="E796" s="6" t="n">
        <v>0.6559999999999999</v>
      </c>
      <c r="F796" s="7" t="n">
        <v>1010</v>
      </c>
    </row>
    <row r="797">
      <c r="A797" s="5" t="inlineStr">
        <is>
          <t>Apoyo democracia</t>
        </is>
      </c>
      <c r="B797" s="5" t="inlineStr">
        <is>
          <t>El Salvador</t>
        </is>
      </c>
      <c r="C797" s="5" t="n">
        <v>1997</v>
      </c>
      <c r="D797" s="5" t="inlineStr">
        <is>
          <t>Gobierno Autoritario</t>
        </is>
      </c>
      <c r="E797" s="6" t="n">
        <v>0.132</v>
      </c>
      <c r="F797" s="7" t="n">
        <v>1010</v>
      </c>
    </row>
    <row r="798">
      <c r="A798" s="5" t="inlineStr">
        <is>
          <t>Apoyo democracia</t>
        </is>
      </c>
      <c r="B798" s="5" t="inlineStr">
        <is>
          <t>El Salvador</t>
        </is>
      </c>
      <c r="C798" s="5" t="n">
        <v>1997</v>
      </c>
      <c r="D798" s="5" t="inlineStr">
        <is>
          <t>Da lo mismo</t>
        </is>
      </c>
      <c r="E798" s="6" t="n">
        <v>0.151</v>
      </c>
      <c r="F798" s="7" t="n">
        <v>1010</v>
      </c>
    </row>
    <row r="799">
      <c r="A799" s="5" t="inlineStr">
        <is>
          <t>Apoyo democracia</t>
        </is>
      </c>
      <c r="B799" s="5" t="inlineStr">
        <is>
          <t>El Salvador</t>
        </is>
      </c>
      <c r="C799" s="5" t="n">
        <v>1997</v>
      </c>
      <c r="D799" s="5" t="inlineStr">
        <is>
          <t>No sabe</t>
        </is>
      </c>
      <c r="E799" s="6" t="n">
        <v>0.026</v>
      </c>
      <c r="F799" s="7" t="n">
        <v>1010</v>
      </c>
    </row>
    <row r="800">
      <c r="A800" s="5" t="inlineStr">
        <is>
          <t>Apoyo democracia</t>
        </is>
      </c>
      <c r="B800" s="5" t="inlineStr">
        <is>
          <t>El Salvador</t>
        </is>
      </c>
      <c r="C800" s="5" t="n">
        <v>1997</v>
      </c>
      <c r="D800" s="5" t="inlineStr">
        <is>
          <t>No contesta</t>
        </is>
      </c>
      <c r="E800" s="6" t="n">
        <v>0.035</v>
      </c>
      <c r="F800" s="7" t="n">
        <v>1010</v>
      </c>
    </row>
    <row r="801">
      <c r="A801" s="5" t="inlineStr">
        <is>
          <t>Apoyo democracia</t>
        </is>
      </c>
      <c r="B801" s="5" t="inlineStr">
        <is>
          <t>El Salvador</t>
        </is>
      </c>
      <c r="C801" s="5" t="n">
        <v>1998</v>
      </c>
      <c r="D801" s="5" t="inlineStr">
        <is>
          <t>Democracia</t>
        </is>
      </c>
      <c r="E801" s="6" t="n">
        <v>0.794</v>
      </c>
      <c r="F801" s="7" t="n">
        <v>1000</v>
      </c>
    </row>
    <row r="802">
      <c r="A802" s="5" t="inlineStr">
        <is>
          <t>Apoyo democracia</t>
        </is>
      </c>
      <c r="B802" s="5" t="inlineStr">
        <is>
          <t>El Salvador</t>
        </is>
      </c>
      <c r="C802" s="5" t="n">
        <v>1998</v>
      </c>
      <c r="D802" s="5" t="inlineStr">
        <is>
          <t>Gobierno Autoritario</t>
        </is>
      </c>
      <c r="E802" s="6" t="n">
        <v>0.098</v>
      </c>
      <c r="F802" s="7" t="n">
        <v>1000</v>
      </c>
    </row>
    <row r="803">
      <c r="A803" s="5" t="inlineStr">
        <is>
          <t>Apoyo democracia</t>
        </is>
      </c>
      <c r="B803" s="5" t="inlineStr">
        <is>
          <t>El Salvador</t>
        </is>
      </c>
      <c r="C803" s="5" t="n">
        <v>1998</v>
      </c>
      <c r="D803" s="5" t="inlineStr">
        <is>
          <t>Da lo mismo</t>
        </is>
      </c>
      <c r="E803" s="6" t="n">
        <v>0.095</v>
      </c>
      <c r="F803" s="7" t="n">
        <v>1000</v>
      </c>
    </row>
    <row r="804">
      <c r="A804" s="5" t="inlineStr">
        <is>
          <t>Apoyo democracia</t>
        </is>
      </c>
      <c r="B804" s="5" t="inlineStr">
        <is>
          <t>El Salvador</t>
        </is>
      </c>
      <c r="C804" s="5" t="n">
        <v>1998</v>
      </c>
      <c r="D804" s="5" t="inlineStr">
        <is>
          <t>No sabe</t>
        </is>
      </c>
      <c r="E804" s="6" t="n">
        <v>0.008</v>
      </c>
      <c r="F804" s="7" t="n">
        <v>1000</v>
      </c>
    </row>
    <row r="805">
      <c r="A805" s="5" t="inlineStr">
        <is>
          <t>Apoyo democracia</t>
        </is>
      </c>
      <c r="B805" s="5" t="inlineStr">
        <is>
          <t>El Salvador</t>
        </is>
      </c>
      <c r="C805" s="5" t="n">
        <v>1998</v>
      </c>
      <c r="D805" s="5" t="inlineStr">
        <is>
          <t>No contesta</t>
        </is>
      </c>
      <c r="E805" s="6" t="n">
        <v>0.005</v>
      </c>
      <c r="F805" s="7" t="n">
        <v>1000</v>
      </c>
    </row>
    <row r="806">
      <c r="A806" s="5" t="inlineStr">
        <is>
          <t>Apoyo democracia</t>
        </is>
      </c>
      <c r="B806" s="5" t="inlineStr">
        <is>
          <t>El Salvador</t>
        </is>
      </c>
      <c r="C806" s="5" t="n">
        <v>2000</v>
      </c>
      <c r="D806" s="5" t="inlineStr">
        <is>
          <t>Democracia</t>
        </is>
      </c>
      <c r="E806" s="6" t="n">
        <v>0.634</v>
      </c>
      <c r="F806" s="7" t="n">
        <v>1001</v>
      </c>
    </row>
    <row r="807">
      <c r="A807" s="5" t="inlineStr">
        <is>
          <t>Apoyo democracia</t>
        </is>
      </c>
      <c r="B807" s="5" t="inlineStr">
        <is>
          <t>El Salvador</t>
        </is>
      </c>
      <c r="C807" s="5" t="n">
        <v>2000</v>
      </c>
      <c r="D807" s="5" t="inlineStr">
        <is>
          <t>Gobierno Autoritario</t>
        </is>
      </c>
      <c r="E807" s="6" t="n">
        <v>0.103</v>
      </c>
      <c r="F807" s="7" t="n">
        <v>1001</v>
      </c>
    </row>
    <row r="808">
      <c r="A808" s="5" t="inlineStr">
        <is>
          <t>Apoyo democracia</t>
        </is>
      </c>
      <c r="B808" s="5" t="inlineStr">
        <is>
          <t>El Salvador</t>
        </is>
      </c>
      <c r="C808" s="5" t="n">
        <v>2000</v>
      </c>
      <c r="D808" s="5" t="inlineStr">
        <is>
          <t>Da lo mismo</t>
        </is>
      </c>
      <c r="E808" s="6" t="n">
        <v>0.223</v>
      </c>
      <c r="F808" s="7" t="n">
        <v>1001</v>
      </c>
    </row>
    <row r="809">
      <c r="A809" s="5" t="inlineStr">
        <is>
          <t>Apoyo democracia</t>
        </is>
      </c>
      <c r="B809" s="5" t="inlineStr">
        <is>
          <t>El Salvador</t>
        </is>
      </c>
      <c r="C809" s="5" t="n">
        <v>2000</v>
      </c>
      <c r="D809" s="5" t="inlineStr">
        <is>
          <t>No sabe</t>
        </is>
      </c>
      <c r="E809" s="6" t="n">
        <v>0.03</v>
      </c>
      <c r="F809" s="7" t="n">
        <v>1001</v>
      </c>
    </row>
    <row r="810">
      <c r="A810" s="5" t="inlineStr">
        <is>
          <t>Apoyo democracia</t>
        </is>
      </c>
      <c r="B810" s="5" t="inlineStr">
        <is>
          <t>El Salvador</t>
        </is>
      </c>
      <c r="C810" s="5" t="n">
        <v>2000</v>
      </c>
      <c r="D810" s="5" t="inlineStr">
        <is>
          <t>No contesta</t>
        </is>
      </c>
      <c r="E810" s="6" t="n">
        <v>0.01</v>
      </c>
      <c r="F810" s="7" t="n">
        <v>1001</v>
      </c>
    </row>
    <row r="811">
      <c r="A811" s="5" t="inlineStr">
        <is>
          <t>Apoyo democracia</t>
        </is>
      </c>
      <c r="B811" s="5" t="inlineStr">
        <is>
          <t>El Salvador</t>
        </is>
      </c>
      <c r="C811" s="5" t="n">
        <v>2001</v>
      </c>
      <c r="D811" s="5" t="inlineStr">
        <is>
          <t>Democracia</t>
        </is>
      </c>
      <c r="E811" s="6" t="n">
        <v>0.251</v>
      </c>
      <c r="F811" s="7" t="n">
        <v>1000</v>
      </c>
    </row>
    <row r="812">
      <c r="A812" s="5" t="inlineStr">
        <is>
          <t>Apoyo democracia</t>
        </is>
      </c>
      <c r="B812" s="5" t="inlineStr">
        <is>
          <t>El Salvador</t>
        </is>
      </c>
      <c r="C812" s="5" t="n">
        <v>2001</v>
      </c>
      <c r="D812" s="5" t="inlineStr">
        <is>
          <t>Gobierno Autoritario</t>
        </is>
      </c>
      <c r="E812" s="6" t="n">
        <v>0.09699999999999999</v>
      </c>
      <c r="F812" s="7" t="n">
        <v>1000</v>
      </c>
    </row>
    <row r="813">
      <c r="A813" s="5" t="inlineStr">
        <is>
          <t>Apoyo democracia</t>
        </is>
      </c>
      <c r="B813" s="5" t="inlineStr">
        <is>
          <t>El Salvador</t>
        </is>
      </c>
      <c r="C813" s="5" t="n">
        <v>2001</v>
      </c>
      <c r="D813" s="5" t="inlineStr">
        <is>
          <t>Da lo mismo</t>
        </is>
      </c>
      <c r="E813" s="6" t="n">
        <v>0.37</v>
      </c>
      <c r="F813" s="7" t="n">
        <v>1000</v>
      </c>
    </row>
    <row r="814">
      <c r="A814" s="5" t="inlineStr">
        <is>
          <t>Apoyo democracia</t>
        </is>
      </c>
      <c r="B814" s="5" t="inlineStr">
        <is>
          <t>El Salvador</t>
        </is>
      </c>
      <c r="C814" s="5" t="n">
        <v>2001</v>
      </c>
      <c r="D814" s="5" t="inlineStr">
        <is>
          <t>No sabe</t>
        </is>
      </c>
      <c r="E814" s="6" t="n">
        <v>0.202</v>
      </c>
      <c r="F814" s="7" t="n">
        <v>1000</v>
      </c>
    </row>
    <row r="815">
      <c r="A815" s="5" t="inlineStr">
        <is>
          <t>Apoyo democracia</t>
        </is>
      </c>
      <c r="B815" s="5" t="inlineStr">
        <is>
          <t>El Salvador</t>
        </is>
      </c>
      <c r="C815" s="5" t="n">
        <v>2001</v>
      </c>
      <c r="D815" s="5" t="inlineStr">
        <is>
          <t>No contesta</t>
        </is>
      </c>
      <c r="E815" s="6" t="n">
        <v>0.081</v>
      </c>
      <c r="F815" s="7" t="n">
        <v>1000</v>
      </c>
    </row>
    <row r="816">
      <c r="A816" s="5" t="inlineStr">
        <is>
          <t>Apoyo democracia</t>
        </is>
      </c>
      <c r="B816" s="5" t="inlineStr">
        <is>
          <t>El Salvador</t>
        </is>
      </c>
      <c r="C816" s="5" t="n">
        <v>2002</v>
      </c>
      <c r="D816" s="5" t="inlineStr">
        <is>
          <t>Democracia</t>
        </is>
      </c>
      <c r="E816" s="6" t="n">
        <v>0.4</v>
      </c>
      <c r="F816" s="7" t="n">
        <v>1014</v>
      </c>
    </row>
    <row r="817">
      <c r="A817" s="5" t="inlineStr">
        <is>
          <t>Apoyo democracia</t>
        </is>
      </c>
      <c r="B817" s="5" t="inlineStr">
        <is>
          <t>El Salvador</t>
        </is>
      </c>
      <c r="C817" s="5" t="n">
        <v>2002</v>
      </c>
      <c r="D817" s="5" t="inlineStr">
        <is>
          <t>Gobierno Autoritario</t>
        </is>
      </c>
      <c r="E817" s="6" t="n">
        <v>0.155</v>
      </c>
      <c r="F817" s="7" t="n">
        <v>1014</v>
      </c>
    </row>
    <row r="818">
      <c r="A818" s="5" t="inlineStr">
        <is>
          <t>Apoyo democracia</t>
        </is>
      </c>
      <c r="B818" s="5" t="inlineStr">
        <is>
          <t>El Salvador</t>
        </is>
      </c>
      <c r="C818" s="5" t="n">
        <v>2002</v>
      </c>
      <c r="D818" s="5" t="inlineStr">
        <is>
          <t>Da lo mismo</t>
        </is>
      </c>
      <c r="E818" s="6" t="n">
        <v>0.194</v>
      </c>
      <c r="F818" s="7" t="n">
        <v>1014</v>
      </c>
    </row>
    <row r="819">
      <c r="A819" s="5" t="inlineStr">
        <is>
          <t>Apoyo democracia</t>
        </is>
      </c>
      <c r="B819" s="5" t="inlineStr">
        <is>
          <t>El Salvador</t>
        </is>
      </c>
      <c r="C819" s="5" t="n">
        <v>2002</v>
      </c>
      <c r="D819" s="5" t="inlineStr">
        <is>
          <t>No sabe</t>
        </is>
      </c>
      <c r="E819" s="6" t="n">
        <v>0.134</v>
      </c>
      <c r="F819" s="7" t="n">
        <v>1014</v>
      </c>
    </row>
    <row r="820">
      <c r="A820" s="5" t="inlineStr">
        <is>
          <t>Apoyo democracia</t>
        </is>
      </c>
      <c r="B820" s="5" t="inlineStr">
        <is>
          <t>El Salvador</t>
        </is>
      </c>
      <c r="C820" s="5" t="n">
        <v>2002</v>
      </c>
      <c r="D820" s="5" t="inlineStr">
        <is>
          <t>No contesta</t>
        </is>
      </c>
      <c r="E820" s="6" t="n">
        <v>0.117</v>
      </c>
      <c r="F820" s="7" t="n">
        <v>1014</v>
      </c>
    </row>
    <row r="821">
      <c r="A821" s="5" t="inlineStr">
        <is>
          <t>Apoyo democracia</t>
        </is>
      </c>
      <c r="B821" s="5" t="inlineStr">
        <is>
          <t>El Salvador</t>
        </is>
      </c>
      <c r="C821" s="5" t="n">
        <v>2003</v>
      </c>
      <c r="D821" s="5" t="inlineStr">
        <is>
          <t>Democracia</t>
        </is>
      </c>
      <c r="E821" s="6" t="n">
        <v>0.455</v>
      </c>
      <c r="F821" s="7" t="n">
        <v>1008</v>
      </c>
    </row>
    <row r="822">
      <c r="A822" s="5" t="inlineStr">
        <is>
          <t>Apoyo democracia</t>
        </is>
      </c>
      <c r="B822" s="5" t="inlineStr">
        <is>
          <t>El Salvador</t>
        </is>
      </c>
      <c r="C822" s="5" t="n">
        <v>2003</v>
      </c>
      <c r="D822" s="5" t="inlineStr">
        <is>
          <t>Gobierno Autoritario</t>
        </is>
      </c>
      <c r="E822" s="6" t="n">
        <v>0.109</v>
      </c>
      <c r="F822" s="7" t="n">
        <v>1008</v>
      </c>
    </row>
    <row r="823">
      <c r="A823" s="5" t="inlineStr">
        <is>
          <t>Apoyo democracia</t>
        </is>
      </c>
      <c r="B823" s="5" t="inlineStr">
        <is>
          <t>El Salvador</t>
        </is>
      </c>
      <c r="C823" s="5" t="n">
        <v>2003</v>
      </c>
      <c r="D823" s="5" t="inlineStr">
        <is>
          <t>Da lo mismo</t>
        </is>
      </c>
      <c r="E823" s="6" t="n">
        <v>0.266</v>
      </c>
      <c r="F823" s="7" t="n">
        <v>1008</v>
      </c>
    </row>
    <row r="824">
      <c r="A824" s="5" t="inlineStr">
        <is>
          <t>Apoyo democracia</t>
        </is>
      </c>
      <c r="B824" s="5" t="inlineStr">
        <is>
          <t>El Salvador</t>
        </is>
      </c>
      <c r="C824" s="5" t="n">
        <v>2003</v>
      </c>
      <c r="D824" s="5" t="inlineStr">
        <is>
          <t>No sabe</t>
        </is>
      </c>
      <c r="E824" s="6" t="n">
        <v>0.131</v>
      </c>
      <c r="F824" s="7" t="n">
        <v>1008</v>
      </c>
    </row>
    <row r="825">
      <c r="A825" s="5" t="inlineStr">
        <is>
          <t>Apoyo democracia</t>
        </is>
      </c>
      <c r="B825" s="5" t="inlineStr">
        <is>
          <t>El Salvador</t>
        </is>
      </c>
      <c r="C825" s="5" t="n">
        <v>2003</v>
      </c>
      <c r="D825" s="5" t="inlineStr">
        <is>
          <t>No contesta</t>
        </is>
      </c>
      <c r="E825" s="6" t="n">
        <v>0.04</v>
      </c>
      <c r="F825" s="7" t="n">
        <v>1008</v>
      </c>
    </row>
    <row r="826">
      <c r="A826" s="5" t="inlineStr">
        <is>
          <t>Apoyo democracia</t>
        </is>
      </c>
      <c r="B826" s="5" t="inlineStr">
        <is>
          <t>El Salvador</t>
        </is>
      </c>
      <c r="C826" s="5" t="n">
        <v>2004</v>
      </c>
      <c r="D826" s="5" t="inlineStr">
        <is>
          <t>Democracia</t>
        </is>
      </c>
      <c r="E826" s="6" t="n">
        <v>0.5</v>
      </c>
      <c r="F826" s="7" t="n">
        <v>1000</v>
      </c>
    </row>
    <row r="827">
      <c r="A827" s="5" t="inlineStr">
        <is>
          <t>Apoyo democracia</t>
        </is>
      </c>
      <c r="B827" s="5" t="inlineStr">
        <is>
          <t>El Salvador</t>
        </is>
      </c>
      <c r="C827" s="5" t="n">
        <v>2004</v>
      </c>
      <c r="D827" s="5" t="inlineStr">
        <is>
          <t>Gobierno Autoritario</t>
        </is>
      </c>
      <c r="E827" s="6" t="n">
        <v>0.095</v>
      </c>
      <c r="F827" s="7" t="n">
        <v>1000</v>
      </c>
    </row>
    <row r="828">
      <c r="A828" s="5" t="inlineStr">
        <is>
          <t>Apoyo democracia</t>
        </is>
      </c>
      <c r="B828" s="5" t="inlineStr">
        <is>
          <t>El Salvador</t>
        </is>
      </c>
      <c r="C828" s="5" t="n">
        <v>2004</v>
      </c>
      <c r="D828" s="5" t="inlineStr">
        <is>
          <t>Da lo mismo</t>
        </is>
      </c>
      <c r="E828" s="6" t="n">
        <v>0.168</v>
      </c>
      <c r="F828" s="7" t="n">
        <v>1000</v>
      </c>
    </row>
    <row r="829">
      <c r="A829" s="5" t="inlineStr">
        <is>
          <t>Apoyo democracia</t>
        </is>
      </c>
      <c r="B829" s="5" t="inlineStr">
        <is>
          <t>El Salvador</t>
        </is>
      </c>
      <c r="C829" s="5" t="n">
        <v>2004</v>
      </c>
      <c r="D829" s="5" t="inlineStr">
        <is>
          <t>No sabe</t>
        </is>
      </c>
      <c r="E829" s="6" t="n">
        <v>0.161</v>
      </c>
      <c r="F829" s="7" t="n">
        <v>1000</v>
      </c>
    </row>
    <row r="830">
      <c r="A830" s="5" t="inlineStr">
        <is>
          <t>Apoyo democracia</t>
        </is>
      </c>
      <c r="B830" s="5" t="inlineStr">
        <is>
          <t>El Salvador</t>
        </is>
      </c>
      <c r="C830" s="5" t="n">
        <v>2004</v>
      </c>
      <c r="D830" s="5" t="inlineStr">
        <is>
          <t>No contesta</t>
        </is>
      </c>
      <c r="E830" s="6" t="n">
        <v>0.076</v>
      </c>
      <c r="F830" s="7" t="n">
        <v>1000</v>
      </c>
    </row>
    <row r="831">
      <c r="A831" s="5" t="inlineStr">
        <is>
          <t>Apoyo democracia</t>
        </is>
      </c>
      <c r="B831" s="5" t="inlineStr">
        <is>
          <t>El Salvador</t>
        </is>
      </c>
      <c r="C831" s="5" t="n">
        <v>2005</v>
      </c>
      <c r="D831" s="5" t="inlineStr">
        <is>
          <t>Democracia</t>
        </is>
      </c>
      <c r="E831" s="6" t="n">
        <v>0.589</v>
      </c>
      <c r="F831" s="7" t="n">
        <v>1010</v>
      </c>
    </row>
    <row r="832">
      <c r="A832" s="5" t="inlineStr">
        <is>
          <t>Apoyo democracia</t>
        </is>
      </c>
      <c r="B832" s="5" t="inlineStr">
        <is>
          <t>El Salvador</t>
        </is>
      </c>
      <c r="C832" s="5" t="n">
        <v>2005</v>
      </c>
      <c r="D832" s="5" t="inlineStr">
        <is>
          <t>Gobierno Autoritario</t>
        </is>
      </c>
      <c r="E832" s="6" t="n">
        <v>0.043</v>
      </c>
      <c r="F832" s="7" t="n">
        <v>1010</v>
      </c>
    </row>
    <row r="833">
      <c r="A833" s="5" t="inlineStr">
        <is>
          <t>Apoyo democracia</t>
        </is>
      </c>
      <c r="B833" s="5" t="inlineStr">
        <is>
          <t>El Salvador</t>
        </is>
      </c>
      <c r="C833" s="5" t="n">
        <v>2005</v>
      </c>
      <c r="D833" s="5" t="inlineStr">
        <is>
          <t>Da lo mismo</t>
        </is>
      </c>
      <c r="E833" s="6" t="n">
        <v>0.208</v>
      </c>
      <c r="F833" s="7" t="n">
        <v>1010</v>
      </c>
    </row>
    <row r="834">
      <c r="A834" s="5" t="inlineStr">
        <is>
          <t>Apoyo democracia</t>
        </is>
      </c>
      <c r="B834" s="5" t="inlineStr">
        <is>
          <t>El Salvador</t>
        </is>
      </c>
      <c r="C834" s="5" t="n">
        <v>2005</v>
      </c>
      <c r="D834" s="5" t="inlineStr">
        <is>
          <t>No sabe</t>
        </is>
      </c>
      <c r="E834" s="6" t="n">
        <v>0.138</v>
      </c>
      <c r="F834" s="7" t="n">
        <v>1010</v>
      </c>
    </row>
    <row r="835">
      <c r="A835" s="5" t="inlineStr">
        <is>
          <t>Apoyo democracia</t>
        </is>
      </c>
      <c r="B835" s="5" t="inlineStr">
        <is>
          <t>El Salvador</t>
        </is>
      </c>
      <c r="C835" s="5" t="n">
        <v>2005</v>
      </c>
      <c r="D835" s="5" t="inlineStr">
        <is>
          <t>No contesta</t>
        </is>
      </c>
      <c r="E835" s="6" t="n">
        <v>0.022</v>
      </c>
      <c r="F835" s="7" t="n">
        <v>1010</v>
      </c>
    </row>
    <row r="836">
      <c r="A836" s="5" t="inlineStr">
        <is>
          <t>Apoyo democracia</t>
        </is>
      </c>
      <c r="B836" s="5" t="inlineStr">
        <is>
          <t>El Salvador</t>
        </is>
      </c>
      <c r="C836" s="5" t="n">
        <v>2006</v>
      </c>
      <c r="D836" s="5" t="inlineStr">
        <is>
          <t>Democracia</t>
        </is>
      </c>
      <c r="E836" s="6" t="n">
        <v>0.512</v>
      </c>
      <c r="F836" s="7" t="n">
        <v>1020</v>
      </c>
    </row>
    <row r="837">
      <c r="A837" s="5" t="inlineStr">
        <is>
          <t>Apoyo democracia</t>
        </is>
      </c>
      <c r="B837" s="5" t="inlineStr">
        <is>
          <t>El Salvador</t>
        </is>
      </c>
      <c r="C837" s="5" t="n">
        <v>2006</v>
      </c>
      <c r="D837" s="5" t="inlineStr">
        <is>
          <t>Gobierno Autoritario</t>
        </is>
      </c>
      <c r="E837" s="6" t="n">
        <v>0.147</v>
      </c>
      <c r="F837" s="7" t="n">
        <v>1020</v>
      </c>
    </row>
    <row r="838">
      <c r="A838" s="5" t="inlineStr">
        <is>
          <t>Apoyo democracia</t>
        </is>
      </c>
      <c r="B838" s="5" t="inlineStr">
        <is>
          <t>El Salvador</t>
        </is>
      </c>
      <c r="C838" s="5" t="n">
        <v>2006</v>
      </c>
      <c r="D838" s="5" t="inlineStr">
        <is>
          <t>Da lo mismo</t>
        </is>
      </c>
      <c r="E838" s="6" t="n">
        <v>0.213</v>
      </c>
      <c r="F838" s="7" t="n">
        <v>1020</v>
      </c>
    </row>
    <row r="839">
      <c r="A839" s="5" t="inlineStr">
        <is>
          <t>Apoyo democracia</t>
        </is>
      </c>
      <c r="B839" s="5" t="inlineStr">
        <is>
          <t>El Salvador</t>
        </is>
      </c>
      <c r="C839" s="5" t="n">
        <v>2006</v>
      </c>
      <c r="D839" s="5" t="inlineStr">
        <is>
          <t>No sabe</t>
        </is>
      </c>
      <c r="E839" s="6" t="n">
        <v>0.123</v>
      </c>
      <c r="F839" s="7" t="n">
        <v>1020</v>
      </c>
    </row>
    <row r="840">
      <c r="A840" s="5" t="inlineStr">
        <is>
          <t>Apoyo democracia</t>
        </is>
      </c>
      <c r="B840" s="5" t="inlineStr">
        <is>
          <t>El Salvador</t>
        </is>
      </c>
      <c r="C840" s="5" t="n">
        <v>2006</v>
      </c>
      <c r="D840" s="5" t="inlineStr">
        <is>
          <t>No contesta</t>
        </is>
      </c>
      <c r="E840" s="6" t="n">
        <v>0.005</v>
      </c>
      <c r="F840" s="7" t="n">
        <v>1020</v>
      </c>
    </row>
    <row r="841">
      <c r="A841" s="5" t="inlineStr">
        <is>
          <t>Apoyo democracia</t>
        </is>
      </c>
      <c r="B841" s="5" t="inlineStr">
        <is>
          <t>El Salvador</t>
        </is>
      </c>
      <c r="C841" s="5" t="n">
        <v>2007</v>
      </c>
      <c r="D841" s="5" t="inlineStr">
        <is>
          <t>Democracia</t>
        </is>
      </c>
      <c r="E841" s="6" t="n">
        <v>0.38</v>
      </c>
      <c r="F841" s="7" t="n">
        <v>1000</v>
      </c>
    </row>
    <row r="842">
      <c r="A842" s="5" t="inlineStr">
        <is>
          <t>Apoyo democracia</t>
        </is>
      </c>
      <c r="B842" s="5" t="inlineStr">
        <is>
          <t>El Salvador</t>
        </is>
      </c>
      <c r="C842" s="5" t="n">
        <v>2007</v>
      </c>
      <c r="D842" s="5" t="inlineStr">
        <is>
          <t>Gobierno Autoritario</t>
        </is>
      </c>
      <c r="E842" s="6" t="n">
        <v>0.203</v>
      </c>
      <c r="F842" s="7" t="n">
        <v>1000</v>
      </c>
    </row>
    <row r="843">
      <c r="A843" s="5" t="inlineStr">
        <is>
          <t>Apoyo democracia</t>
        </is>
      </c>
      <c r="B843" s="5" t="inlineStr">
        <is>
          <t>El Salvador</t>
        </is>
      </c>
      <c r="C843" s="5" t="n">
        <v>2007</v>
      </c>
      <c r="D843" s="5" t="inlineStr">
        <is>
          <t>Da lo mismo</t>
        </is>
      </c>
      <c r="E843" s="6" t="n">
        <v>0.274</v>
      </c>
      <c r="F843" s="7" t="n">
        <v>1000</v>
      </c>
    </row>
    <row r="844">
      <c r="A844" s="5" t="inlineStr">
        <is>
          <t>Apoyo democracia</t>
        </is>
      </c>
      <c r="B844" s="5" t="inlineStr">
        <is>
          <t>El Salvador</t>
        </is>
      </c>
      <c r="C844" s="5" t="n">
        <v>2007</v>
      </c>
      <c r="D844" s="5" t="inlineStr">
        <is>
          <t>No sabe</t>
        </is>
      </c>
      <c r="E844" s="6" t="n">
        <v>0.115</v>
      </c>
      <c r="F844" s="7" t="n">
        <v>1000</v>
      </c>
    </row>
    <row r="845">
      <c r="A845" s="5" t="inlineStr">
        <is>
          <t>Apoyo democracia</t>
        </is>
      </c>
      <c r="B845" s="5" t="inlineStr">
        <is>
          <t>El Salvador</t>
        </is>
      </c>
      <c r="C845" s="5" t="n">
        <v>2007</v>
      </c>
      <c r="D845" s="5" t="inlineStr">
        <is>
          <t>No contesta</t>
        </is>
      </c>
      <c r="E845" s="6" t="n">
        <v>0.027</v>
      </c>
      <c r="F845" s="7" t="n">
        <v>1000</v>
      </c>
    </row>
    <row r="846">
      <c r="A846" s="5" t="inlineStr">
        <is>
          <t>Apoyo democracia</t>
        </is>
      </c>
      <c r="B846" s="5" t="inlineStr">
        <is>
          <t>El Salvador</t>
        </is>
      </c>
      <c r="C846" s="5" t="n">
        <v>2008</v>
      </c>
      <c r="D846" s="5" t="inlineStr">
        <is>
          <t>Democracia</t>
        </is>
      </c>
      <c r="E846" s="6" t="n">
        <v>0.496</v>
      </c>
      <c r="F846" s="7" t="n">
        <v>1000</v>
      </c>
    </row>
    <row r="847">
      <c r="A847" s="5" t="inlineStr">
        <is>
          <t>Apoyo democracia</t>
        </is>
      </c>
      <c r="B847" s="5" t="inlineStr">
        <is>
          <t>El Salvador</t>
        </is>
      </c>
      <c r="C847" s="5" t="n">
        <v>2008</v>
      </c>
      <c r="D847" s="5" t="inlineStr">
        <is>
          <t>Gobierno Autoritario</t>
        </is>
      </c>
      <c r="E847" s="6" t="n">
        <v>0.267</v>
      </c>
      <c r="F847" s="7" t="n">
        <v>1000</v>
      </c>
    </row>
    <row r="848">
      <c r="A848" s="5" t="inlineStr">
        <is>
          <t>Apoyo democracia</t>
        </is>
      </c>
      <c r="B848" s="5" t="inlineStr">
        <is>
          <t>El Salvador</t>
        </is>
      </c>
      <c r="C848" s="5" t="n">
        <v>2008</v>
      </c>
      <c r="D848" s="5" t="inlineStr">
        <is>
          <t>Da lo mismo</t>
        </is>
      </c>
      <c r="E848" s="6" t="n">
        <v>0.162</v>
      </c>
      <c r="F848" s="7" t="n">
        <v>1000</v>
      </c>
    </row>
    <row r="849">
      <c r="A849" s="5" t="inlineStr">
        <is>
          <t>Apoyo democracia</t>
        </is>
      </c>
      <c r="B849" s="5" t="inlineStr">
        <is>
          <t>El Salvador</t>
        </is>
      </c>
      <c r="C849" s="5" t="n">
        <v>2008</v>
      </c>
      <c r="D849" s="5" t="inlineStr">
        <is>
          <t>No sabe</t>
        </is>
      </c>
      <c r="E849" s="6" t="n">
        <v>0.061</v>
      </c>
      <c r="F849" s="7" t="n">
        <v>1000</v>
      </c>
    </row>
    <row r="850">
      <c r="A850" s="5" t="inlineStr">
        <is>
          <t>Apoyo democracia</t>
        </is>
      </c>
      <c r="B850" s="5" t="inlineStr">
        <is>
          <t>El Salvador</t>
        </is>
      </c>
      <c r="C850" s="5" t="n">
        <v>2008</v>
      </c>
      <c r="D850" s="5" t="inlineStr">
        <is>
          <t>No contesta</t>
        </is>
      </c>
      <c r="E850" s="6" t="n">
        <v>0.013</v>
      </c>
      <c r="F850" s="7" t="n">
        <v>1000</v>
      </c>
    </row>
    <row r="851">
      <c r="A851" s="5" t="inlineStr">
        <is>
          <t>Apoyo democracia</t>
        </is>
      </c>
      <c r="B851" s="5" t="inlineStr">
        <is>
          <t>El Salvador</t>
        </is>
      </c>
      <c r="C851" s="5" t="n">
        <v>2009</v>
      </c>
      <c r="D851" s="5" t="inlineStr">
        <is>
          <t>Democracia</t>
        </is>
      </c>
      <c r="E851" s="6" t="n">
        <v>0.6759999999999999</v>
      </c>
      <c r="F851" s="7" t="n">
        <v>1000</v>
      </c>
    </row>
    <row r="852">
      <c r="A852" s="5" t="inlineStr">
        <is>
          <t>Apoyo democracia</t>
        </is>
      </c>
      <c r="B852" s="5" t="inlineStr">
        <is>
          <t>El Salvador</t>
        </is>
      </c>
      <c r="C852" s="5" t="n">
        <v>2009</v>
      </c>
      <c r="D852" s="5" t="inlineStr">
        <is>
          <t>Gobierno Autoritario</t>
        </is>
      </c>
      <c r="E852" s="6" t="n">
        <v>0.116</v>
      </c>
      <c r="F852" s="7" t="n">
        <v>1000</v>
      </c>
    </row>
    <row r="853">
      <c r="A853" s="5" t="inlineStr">
        <is>
          <t>Apoyo democracia</t>
        </is>
      </c>
      <c r="B853" s="5" t="inlineStr">
        <is>
          <t>El Salvador</t>
        </is>
      </c>
      <c r="C853" s="5" t="n">
        <v>2009</v>
      </c>
      <c r="D853" s="5" t="inlineStr">
        <is>
          <t>Da lo mismo</t>
        </is>
      </c>
      <c r="E853" s="6" t="n">
        <v>0.131</v>
      </c>
      <c r="F853" s="7" t="n">
        <v>1000</v>
      </c>
    </row>
    <row r="854">
      <c r="A854" s="5" t="inlineStr">
        <is>
          <t>Apoyo democracia</t>
        </is>
      </c>
      <c r="B854" s="5" t="inlineStr">
        <is>
          <t>El Salvador</t>
        </is>
      </c>
      <c r="C854" s="5" t="n">
        <v>2009</v>
      </c>
      <c r="D854" s="5" t="inlineStr">
        <is>
          <t>No sabe</t>
        </is>
      </c>
      <c r="E854" s="6" t="n">
        <v>0.067</v>
      </c>
      <c r="F854" s="7" t="n">
        <v>1000</v>
      </c>
    </row>
    <row r="855">
      <c r="A855" s="5" t="inlineStr">
        <is>
          <t>Apoyo democracia</t>
        </is>
      </c>
      <c r="B855" s="5" t="inlineStr">
        <is>
          <t>El Salvador</t>
        </is>
      </c>
      <c r="C855" s="5" t="n">
        <v>2009</v>
      </c>
      <c r="D855" s="5" t="inlineStr">
        <is>
          <t>No contesta</t>
        </is>
      </c>
      <c r="E855" s="6" t="n">
        <v>0.01</v>
      </c>
      <c r="F855" s="7" t="n">
        <v>1000</v>
      </c>
    </row>
    <row r="856">
      <c r="A856" s="5" t="inlineStr">
        <is>
          <t>Apoyo democracia</t>
        </is>
      </c>
      <c r="B856" s="5" t="inlineStr">
        <is>
          <t>El Salvador</t>
        </is>
      </c>
      <c r="C856" s="5" t="n">
        <v>2010</v>
      </c>
      <c r="D856" s="5" t="inlineStr">
        <is>
          <t>Democracia</t>
        </is>
      </c>
      <c r="E856" s="6" t="n">
        <v>0.588</v>
      </c>
      <c r="F856" s="7" t="n">
        <v>1000</v>
      </c>
    </row>
    <row r="857">
      <c r="A857" s="5" t="inlineStr">
        <is>
          <t>Apoyo democracia</t>
        </is>
      </c>
      <c r="B857" s="5" t="inlineStr">
        <is>
          <t>El Salvador</t>
        </is>
      </c>
      <c r="C857" s="5" t="n">
        <v>2010</v>
      </c>
      <c r="D857" s="5" t="inlineStr">
        <is>
          <t>Gobierno Autoritario</t>
        </is>
      </c>
      <c r="E857" s="6" t="n">
        <v>0.189</v>
      </c>
      <c r="F857" s="7" t="n">
        <v>1000</v>
      </c>
    </row>
    <row r="858">
      <c r="A858" s="5" t="inlineStr">
        <is>
          <t>Apoyo democracia</t>
        </is>
      </c>
      <c r="B858" s="5" t="inlineStr">
        <is>
          <t>El Salvador</t>
        </is>
      </c>
      <c r="C858" s="5" t="n">
        <v>2010</v>
      </c>
      <c r="D858" s="5" t="inlineStr">
        <is>
          <t>Da lo mismo</t>
        </is>
      </c>
      <c r="E858" s="6" t="n">
        <v>0.137</v>
      </c>
      <c r="F858" s="7" t="n">
        <v>1000</v>
      </c>
    </row>
    <row r="859">
      <c r="A859" s="5" t="inlineStr">
        <is>
          <t>Apoyo democracia</t>
        </is>
      </c>
      <c r="B859" s="5" t="inlineStr">
        <is>
          <t>El Salvador</t>
        </is>
      </c>
      <c r="C859" s="5" t="n">
        <v>2010</v>
      </c>
      <c r="D859" s="5" t="inlineStr">
        <is>
          <t>No sabe</t>
        </is>
      </c>
      <c r="E859" s="6" t="n">
        <v>0.07400000000000001</v>
      </c>
      <c r="F859" s="7" t="n">
        <v>1000</v>
      </c>
    </row>
    <row r="860">
      <c r="A860" s="5" t="inlineStr">
        <is>
          <t>Apoyo democracia</t>
        </is>
      </c>
      <c r="B860" s="5" t="inlineStr">
        <is>
          <t>El Salvador</t>
        </is>
      </c>
      <c r="C860" s="5" t="n">
        <v>2010</v>
      </c>
      <c r="D860" s="5" t="inlineStr">
        <is>
          <t>No contesta</t>
        </is>
      </c>
      <c r="E860" s="6" t="n">
        <v>0.012</v>
      </c>
      <c r="F860" s="7" t="n">
        <v>1000</v>
      </c>
    </row>
    <row r="861">
      <c r="A861" s="5" t="inlineStr">
        <is>
          <t>Apoyo democracia</t>
        </is>
      </c>
      <c r="B861" s="5" t="inlineStr">
        <is>
          <t>El Salvador</t>
        </is>
      </c>
      <c r="C861" s="5" t="n">
        <v>2011</v>
      </c>
      <c r="D861" s="5" t="inlineStr">
        <is>
          <t>Democracia</t>
        </is>
      </c>
      <c r="E861" s="6" t="n">
        <v>0.544</v>
      </c>
      <c r="F861" s="7" t="n">
        <v>1000</v>
      </c>
    </row>
    <row r="862">
      <c r="A862" s="5" t="inlineStr">
        <is>
          <t>Apoyo democracia</t>
        </is>
      </c>
      <c r="B862" s="5" t="inlineStr">
        <is>
          <t>El Salvador</t>
        </is>
      </c>
      <c r="C862" s="5" t="n">
        <v>2011</v>
      </c>
      <c r="D862" s="5" t="inlineStr">
        <is>
          <t>Gobierno Autoritario</t>
        </is>
      </c>
      <c r="E862" s="6" t="n">
        <v>0.163</v>
      </c>
      <c r="F862" s="7" t="n">
        <v>1000</v>
      </c>
    </row>
    <row r="863">
      <c r="A863" s="5" t="inlineStr">
        <is>
          <t>Apoyo democracia</t>
        </is>
      </c>
      <c r="B863" s="5" t="inlineStr">
        <is>
          <t>El Salvador</t>
        </is>
      </c>
      <c r="C863" s="5" t="n">
        <v>2011</v>
      </c>
      <c r="D863" s="5" t="inlineStr">
        <is>
          <t>Da lo mismo</t>
        </is>
      </c>
      <c r="E863" s="6" t="n">
        <v>0.232</v>
      </c>
      <c r="F863" s="7" t="n">
        <v>1000</v>
      </c>
    </row>
    <row r="864">
      <c r="A864" s="5" t="inlineStr">
        <is>
          <t>Apoyo democracia</t>
        </is>
      </c>
      <c r="B864" s="5" t="inlineStr">
        <is>
          <t>El Salvador</t>
        </is>
      </c>
      <c r="C864" s="5" t="n">
        <v>2011</v>
      </c>
      <c r="D864" s="5" t="inlineStr">
        <is>
          <t>No sabe</t>
        </is>
      </c>
      <c r="E864" s="6" t="n">
        <v>0.052</v>
      </c>
      <c r="F864" s="7" t="n">
        <v>1000</v>
      </c>
    </row>
    <row r="865">
      <c r="A865" s="5" t="inlineStr">
        <is>
          <t>Apoyo democracia</t>
        </is>
      </c>
      <c r="B865" s="5" t="inlineStr">
        <is>
          <t>El Salvador</t>
        </is>
      </c>
      <c r="C865" s="5" t="n">
        <v>2011</v>
      </c>
      <c r="D865" s="5" t="inlineStr">
        <is>
          <t>No contesta</t>
        </is>
      </c>
      <c r="E865" s="6" t="n">
        <v>0.008</v>
      </c>
      <c r="F865" s="7" t="n">
        <v>1000</v>
      </c>
    </row>
    <row r="866">
      <c r="A866" s="5" t="inlineStr">
        <is>
          <t>Apoyo democracia</t>
        </is>
      </c>
      <c r="B866" s="5" t="inlineStr">
        <is>
          <t>El Salvador</t>
        </is>
      </c>
      <c r="C866" s="5" t="n">
        <v>2016</v>
      </c>
      <c r="D866" s="5" t="inlineStr">
        <is>
          <t>Democracia</t>
        </is>
      </c>
      <c r="E866" s="6" t="n">
        <v>0.361</v>
      </c>
      <c r="F866" s="7" t="n">
        <v>1000</v>
      </c>
    </row>
    <row r="867">
      <c r="A867" s="5" t="inlineStr">
        <is>
          <t>Apoyo democracia</t>
        </is>
      </c>
      <c r="B867" s="5" t="inlineStr">
        <is>
          <t>El Salvador</t>
        </is>
      </c>
      <c r="C867" s="5" t="n">
        <v>2016</v>
      </c>
      <c r="D867" s="5" t="inlineStr">
        <is>
          <t>Gobierno Autoritario</t>
        </is>
      </c>
      <c r="E867" s="6" t="n">
        <v>0.138</v>
      </c>
      <c r="F867" s="7" t="n">
        <v>1000</v>
      </c>
    </row>
    <row r="868">
      <c r="A868" s="5" t="inlineStr">
        <is>
          <t>Apoyo democracia</t>
        </is>
      </c>
      <c r="B868" s="5" t="inlineStr">
        <is>
          <t>El Salvador</t>
        </is>
      </c>
      <c r="C868" s="5" t="n">
        <v>2016</v>
      </c>
      <c r="D868" s="5" t="inlineStr">
        <is>
          <t>Da lo mismo</t>
        </is>
      </c>
      <c r="E868" s="6" t="n">
        <v>0.347</v>
      </c>
      <c r="F868" s="7" t="n">
        <v>1000</v>
      </c>
    </row>
    <row r="869">
      <c r="A869" s="5" t="inlineStr">
        <is>
          <t>Apoyo democracia</t>
        </is>
      </c>
      <c r="B869" s="5" t="inlineStr">
        <is>
          <t>El Salvador</t>
        </is>
      </c>
      <c r="C869" s="5" t="n">
        <v>2016</v>
      </c>
      <c r="D869" s="5" t="inlineStr">
        <is>
          <t>No sabe</t>
        </is>
      </c>
      <c r="E869" s="6" t="n">
        <v>0.128</v>
      </c>
      <c r="F869" s="7" t="n">
        <v>1000</v>
      </c>
    </row>
    <row r="870">
      <c r="A870" s="5" t="inlineStr">
        <is>
          <t>Apoyo democracia</t>
        </is>
      </c>
      <c r="B870" s="5" t="inlineStr">
        <is>
          <t>El Salvador</t>
        </is>
      </c>
      <c r="C870" s="5" t="n">
        <v>2016</v>
      </c>
      <c r="D870" s="5" t="inlineStr">
        <is>
          <t>No contesta</t>
        </is>
      </c>
      <c r="E870" s="6" t="n">
        <v>0.026</v>
      </c>
      <c r="F870" s="7" t="n">
        <v>1000</v>
      </c>
    </row>
    <row r="871">
      <c r="A871" s="5" t="inlineStr">
        <is>
          <t>Apoyo democracia</t>
        </is>
      </c>
      <c r="B871" s="5" t="inlineStr">
        <is>
          <t>El Salvador</t>
        </is>
      </c>
      <c r="C871" s="5" t="n">
        <v>2017</v>
      </c>
      <c r="D871" s="5" t="inlineStr">
        <is>
          <t>Democracia</t>
        </is>
      </c>
      <c r="E871" s="6" t="n">
        <v>0.355</v>
      </c>
      <c r="F871" s="7" t="n">
        <v>1000</v>
      </c>
    </row>
    <row r="872">
      <c r="A872" s="5" t="inlineStr">
        <is>
          <t>Apoyo democracia</t>
        </is>
      </c>
      <c r="B872" s="5" t="inlineStr">
        <is>
          <t>El Salvador</t>
        </is>
      </c>
      <c r="C872" s="5" t="n">
        <v>2017</v>
      </c>
      <c r="D872" s="5" t="inlineStr">
        <is>
          <t>Gobierno Autoritario</t>
        </is>
      </c>
      <c r="E872" s="6" t="n">
        <v>0.111</v>
      </c>
      <c r="F872" s="7" t="n">
        <v>1000</v>
      </c>
    </row>
    <row r="873">
      <c r="A873" s="5" t="inlineStr">
        <is>
          <t>Apoyo democracia</t>
        </is>
      </c>
      <c r="B873" s="5" t="inlineStr">
        <is>
          <t>El Salvador</t>
        </is>
      </c>
      <c r="C873" s="5" t="n">
        <v>2017</v>
      </c>
      <c r="D873" s="5" t="inlineStr">
        <is>
          <t>Da lo mismo</t>
        </is>
      </c>
      <c r="E873" s="6" t="n">
        <v>0.419</v>
      </c>
      <c r="F873" s="7" t="n">
        <v>1000</v>
      </c>
    </row>
    <row r="874">
      <c r="A874" s="5" t="inlineStr">
        <is>
          <t>Apoyo democracia</t>
        </is>
      </c>
      <c r="B874" s="5" t="inlineStr">
        <is>
          <t>El Salvador</t>
        </is>
      </c>
      <c r="C874" s="5" t="n">
        <v>2017</v>
      </c>
      <c r="D874" s="5" t="inlineStr">
        <is>
          <t>No sabe</t>
        </is>
      </c>
      <c r="E874" s="6" t="n">
        <v>0.098</v>
      </c>
      <c r="F874" s="7" t="n">
        <v>1000</v>
      </c>
    </row>
    <row r="875">
      <c r="A875" s="5" t="inlineStr">
        <is>
          <t>Apoyo democracia</t>
        </is>
      </c>
      <c r="B875" s="5" t="inlineStr">
        <is>
          <t>El Salvador</t>
        </is>
      </c>
      <c r="C875" s="5" t="n">
        <v>2017</v>
      </c>
      <c r="D875" s="5" t="inlineStr">
        <is>
          <t>No contesta</t>
        </is>
      </c>
      <c r="E875" s="6" t="n">
        <v>0.017</v>
      </c>
      <c r="F875" s="7" t="n">
        <v>1000</v>
      </c>
    </row>
    <row r="876">
      <c r="A876" s="5" t="inlineStr">
        <is>
          <t>Apoyo democracia</t>
        </is>
      </c>
      <c r="B876" s="5" t="inlineStr">
        <is>
          <t>El Salvador</t>
        </is>
      </c>
      <c r="C876" s="5" t="n">
        <v>2018</v>
      </c>
      <c r="D876" s="5" t="inlineStr">
        <is>
          <t>Democracia</t>
        </is>
      </c>
      <c r="E876" s="6" t="n">
        <v>0.277</v>
      </c>
      <c r="F876" s="7" t="n">
        <v>1000</v>
      </c>
    </row>
    <row r="877">
      <c r="A877" s="5" t="inlineStr">
        <is>
          <t>Apoyo democracia</t>
        </is>
      </c>
      <c r="B877" s="5" t="inlineStr">
        <is>
          <t>El Salvador</t>
        </is>
      </c>
      <c r="C877" s="5" t="n">
        <v>2018</v>
      </c>
      <c r="D877" s="5" t="inlineStr">
        <is>
          <t>Gobierno Autoritario</t>
        </is>
      </c>
      <c r="E877" s="6" t="n">
        <v>0.114</v>
      </c>
      <c r="F877" s="7" t="n">
        <v>1000</v>
      </c>
    </row>
    <row r="878">
      <c r="A878" s="5" t="inlineStr">
        <is>
          <t>Apoyo democracia</t>
        </is>
      </c>
      <c r="B878" s="5" t="inlineStr">
        <is>
          <t>El Salvador</t>
        </is>
      </c>
      <c r="C878" s="5" t="n">
        <v>2018</v>
      </c>
      <c r="D878" s="5" t="inlineStr">
        <is>
          <t>Da lo mismo</t>
        </is>
      </c>
      <c r="E878" s="6" t="n">
        <v>0.54</v>
      </c>
      <c r="F878" s="7" t="n">
        <v>1000</v>
      </c>
    </row>
    <row r="879">
      <c r="A879" s="5" t="inlineStr">
        <is>
          <t>Apoyo democracia</t>
        </is>
      </c>
      <c r="B879" s="5" t="inlineStr">
        <is>
          <t>El Salvador</t>
        </is>
      </c>
      <c r="C879" s="5" t="n">
        <v>2018</v>
      </c>
      <c r="D879" s="5" t="inlineStr">
        <is>
          <t>No sabe</t>
        </is>
      </c>
      <c r="E879" s="6" t="n">
        <v>0.063</v>
      </c>
      <c r="F879" s="7" t="n">
        <v>1000</v>
      </c>
    </row>
    <row r="880">
      <c r="A880" s="5" t="inlineStr">
        <is>
          <t>Apoyo democracia</t>
        </is>
      </c>
      <c r="B880" s="5" t="inlineStr">
        <is>
          <t>El Salvador</t>
        </is>
      </c>
      <c r="C880" s="5" t="n">
        <v>2018</v>
      </c>
      <c r="D880" s="5" t="inlineStr">
        <is>
          <t>No contesta</t>
        </is>
      </c>
      <c r="E880" s="6" t="n">
        <v>0.006</v>
      </c>
      <c r="F880" s="7" t="n">
        <v>1000</v>
      </c>
    </row>
    <row r="881">
      <c r="A881" s="5" t="inlineStr">
        <is>
          <t>Apoyo democracia</t>
        </is>
      </c>
      <c r="B881" s="5" t="inlineStr">
        <is>
          <t>El Salvador</t>
        </is>
      </c>
      <c r="C881" s="5" t="n">
        <v>2020</v>
      </c>
      <c r="D881" s="5" t="inlineStr">
        <is>
          <t>Democracia</t>
        </is>
      </c>
      <c r="E881" s="6" t="n">
        <v>0.461</v>
      </c>
      <c r="F881" s="7" t="n">
        <v>1000</v>
      </c>
    </row>
    <row r="882">
      <c r="A882" s="5" t="inlineStr">
        <is>
          <t>Apoyo democracia</t>
        </is>
      </c>
      <c r="B882" s="5" t="inlineStr">
        <is>
          <t>El Salvador</t>
        </is>
      </c>
      <c r="C882" s="5" t="n">
        <v>2020</v>
      </c>
      <c r="D882" s="5" t="inlineStr">
        <is>
          <t>Gobierno Autoritario</t>
        </is>
      </c>
      <c r="E882" s="6" t="n">
        <v>0.144</v>
      </c>
      <c r="F882" s="7" t="n">
        <v>1000</v>
      </c>
    </row>
    <row r="883">
      <c r="A883" s="5" t="inlineStr">
        <is>
          <t>Apoyo democracia</t>
        </is>
      </c>
      <c r="B883" s="5" t="inlineStr">
        <is>
          <t>El Salvador</t>
        </is>
      </c>
      <c r="C883" s="5" t="n">
        <v>2020</v>
      </c>
      <c r="D883" s="5" t="inlineStr">
        <is>
          <t>Da lo mismo</t>
        </is>
      </c>
      <c r="E883" s="6" t="n">
        <v>0.244</v>
      </c>
      <c r="F883" s="7" t="n">
        <v>1000</v>
      </c>
    </row>
    <row r="884">
      <c r="A884" s="5" t="inlineStr">
        <is>
          <t>Apoyo democracia</t>
        </is>
      </c>
      <c r="B884" s="5" t="inlineStr">
        <is>
          <t>El Salvador</t>
        </is>
      </c>
      <c r="C884" s="5" t="n">
        <v>2020</v>
      </c>
      <c r="D884" s="5" t="inlineStr">
        <is>
          <t>No sabe</t>
        </is>
      </c>
      <c r="E884" s="6" t="n">
        <v>0.131</v>
      </c>
      <c r="F884" s="7" t="n">
        <v>1000</v>
      </c>
    </row>
    <row r="885">
      <c r="A885" s="5" t="inlineStr">
        <is>
          <t>Apoyo democracia</t>
        </is>
      </c>
      <c r="B885" s="5" t="inlineStr">
        <is>
          <t>El Salvador</t>
        </is>
      </c>
      <c r="C885" s="5" t="n">
        <v>2020</v>
      </c>
      <c r="D885" s="5" t="inlineStr">
        <is>
          <t>No contesta</t>
        </is>
      </c>
      <c r="E885" s="6" t="n">
        <v>0.02</v>
      </c>
      <c r="F885" s="7" t="n">
        <v>1000</v>
      </c>
    </row>
    <row r="886">
      <c r="A886" s="5" t="inlineStr">
        <is>
          <t>Apoyo democracia</t>
        </is>
      </c>
      <c r="B886" s="5" t="inlineStr">
        <is>
          <t>El Salvador</t>
        </is>
      </c>
      <c r="C886" s="5" t="n">
        <v>2024</v>
      </c>
      <c r="D886" s="5" t="inlineStr">
        <is>
          <t>Democracia</t>
        </is>
      </c>
      <c r="E886" s="6" t="n">
        <v>0.472</v>
      </c>
      <c r="F886" s="7" t="n">
        <v>1000</v>
      </c>
    </row>
    <row r="887">
      <c r="A887" s="5" t="inlineStr">
        <is>
          <t>Apoyo democracia</t>
        </is>
      </c>
      <c r="B887" s="5" t="inlineStr">
        <is>
          <t>El Salvador</t>
        </is>
      </c>
      <c r="C887" s="5" t="n">
        <v>2024</v>
      </c>
      <c r="D887" s="5" t="inlineStr">
        <is>
          <t>Gobierno Autoritario</t>
        </is>
      </c>
      <c r="E887" s="6" t="n">
        <v>0.153</v>
      </c>
      <c r="F887" s="7" t="n">
        <v>1000</v>
      </c>
    </row>
    <row r="888">
      <c r="A888" s="5" t="inlineStr">
        <is>
          <t>Apoyo democracia</t>
        </is>
      </c>
      <c r="B888" s="5" t="inlineStr">
        <is>
          <t>El Salvador</t>
        </is>
      </c>
      <c r="C888" s="5" t="n">
        <v>2024</v>
      </c>
      <c r="D888" s="5" t="inlineStr">
        <is>
          <t>Da lo mismo</t>
        </is>
      </c>
      <c r="E888" s="6" t="n">
        <v>0.258</v>
      </c>
      <c r="F888" s="7" t="n">
        <v>1000</v>
      </c>
    </row>
    <row r="889">
      <c r="A889" s="5" t="inlineStr">
        <is>
          <t>Apoyo democracia</t>
        </is>
      </c>
      <c r="B889" s="5" t="inlineStr">
        <is>
          <t>El Salvador</t>
        </is>
      </c>
      <c r="C889" s="5" t="n">
        <v>2024</v>
      </c>
      <c r="D889" s="5" t="inlineStr">
        <is>
          <t>No sabe</t>
        </is>
      </c>
      <c r="E889" s="6" t="n">
        <v>0.099</v>
      </c>
      <c r="F889" s="7" t="n">
        <v>1000</v>
      </c>
    </row>
    <row r="890">
      <c r="A890" s="5" t="inlineStr">
        <is>
          <t>Apoyo democracia</t>
        </is>
      </c>
      <c r="B890" s="5" t="inlineStr">
        <is>
          <t>El Salvador</t>
        </is>
      </c>
      <c r="C890" s="5" t="n">
        <v>2024</v>
      </c>
      <c r="D890" s="5" t="inlineStr">
        <is>
          <t>No contesta</t>
        </is>
      </c>
      <c r="E890" s="6" t="n">
        <v>0.018</v>
      </c>
      <c r="F890" s="7" t="n">
        <v>1000</v>
      </c>
    </row>
    <row r="891">
      <c r="A891" s="5" t="inlineStr">
        <is>
          <t>Apoyo democracia</t>
        </is>
      </c>
      <c r="B891" s="5" t="inlineStr">
        <is>
          <t>Guatemala</t>
        </is>
      </c>
      <c r="C891" s="5" t="n">
        <v>1996</v>
      </c>
      <c r="D891" s="5" t="inlineStr">
        <is>
          <t>Democracia</t>
        </is>
      </c>
      <c r="E891" s="6" t="n">
        <v>0.504</v>
      </c>
      <c r="F891" s="7" t="n">
        <v>1001</v>
      </c>
    </row>
    <row r="892">
      <c r="A892" s="5" t="inlineStr">
        <is>
          <t>Apoyo democracia</t>
        </is>
      </c>
      <c r="B892" s="5" t="inlineStr">
        <is>
          <t>Guatemala</t>
        </is>
      </c>
      <c r="C892" s="5" t="n">
        <v>1996</v>
      </c>
      <c r="D892" s="5" t="inlineStr">
        <is>
          <t>Gobierno Autoritario</t>
        </is>
      </c>
      <c r="E892" s="6" t="n">
        <v>0.21</v>
      </c>
      <c r="F892" s="7" t="n">
        <v>1001</v>
      </c>
    </row>
    <row r="893">
      <c r="A893" s="5" t="inlineStr">
        <is>
          <t>Apoyo democracia</t>
        </is>
      </c>
      <c r="B893" s="5" t="inlineStr">
        <is>
          <t>Guatemala</t>
        </is>
      </c>
      <c r="C893" s="5" t="n">
        <v>1996</v>
      </c>
      <c r="D893" s="5" t="inlineStr">
        <is>
          <t>Da lo mismo</t>
        </is>
      </c>
      <c r="E893" s="6" t="n">
        <v>0.189</v>
      </c>
      <c r="F893" s="7" t="n">
        <v>1001</v>
      </c>
    </row>
    <row r="894">
      <c r="A894" s="5" t="inlineStr">
        <is>
          <t>Apoyo democracia</t>
        </is>
      </c>
      <c r="B894" s="5" t="inlineStr">
        <is>
          <t>Guatemala</t>
        </is>
      </c>
      <c r="C894" s="5" t="n">
        <v>1996</v>
      </c>
      <c r="D894" s="5" t="inlineStr">
        <is>
          <t>No sabe</t>
        </is>
      </c>
      <c r="E894" s="6" t="n">
        <v>0.045</v>
      </c>
      <c r="F894" s="7" t="n">
        <v>1001</v>
      </c>
    </row>
    <row r="895">
      <c r="A895" s="5" t="inlineStr">
        <is>
          <t>Apoyo democracia</t>
        </is>
      </c>
      <c r="B895" s="5" t="inlineStr">
        <is>
          <t>Guatemala</t>
        </is>
      </c>
      <c r="C895" s="5" t="n">
        <v>1996</v>
      </c>
      <c r="D895" s="5" t="inlineStr">
        <is>
          <t>No contesta</t>
        </is>
      </c>
      <c r="E895" s="6" t="n">
        <v>0.052</v>
      </c>
      <c r="F895" s="7" t="n">
        <v>1001</v>
      </c>
    </row>
    <row r="896">
      <c r="A896" s="5" t="inlineStr">
        <is>
          <t>Apoyo democracia</t>
        </is>
      </c>
      <c r="B896" s="5" t="inlineStr">
        <is>
          <t>Guatemala</t>
        </is>
      </c>
      <c r="C896" s="5" t="n">
        <v>1997</v>
      </c>
      <c r="D896" s="5" t="inlineStr">
        <is>
          <t>Democracia</t>
        </is>
      </c>
      <c r="E896" s="6" t="n">
        <v>0.478</v>
      </c>
      <c r="F896" s="7" t="n">
        <v>1000</v>
      </c>
    </row>
    <row r="897">
      <c r="A897" s="5" t="inlineStr">
        <is>
          <t>Apoyo democracia</t>
        </is>
      </c>
      <c r="B897" s="5" t="inlineStr">
        <is>
          <t>Guatemala</t>
        </is>
      </c>
      <c r="C897" s="5" t="n">
        <v>1997</v>
      </c>
      <c r="D897" s="5" t="inlineStr">
        <is>
          <t>Gobierno Autoritario</t>
        </is>
      </c>
      <c r="E897" s="6" t="n">
        <v>0.264</v>
      </c>
      <c r="F897" s="7" t="n">
        <v>1000</v>
      </c>
    </row>
    <row r="898">
      <c r="A898" s="5" t="inlineStr">
        <is>
          <t>Apoyo democracia</t>
        </is>
      </c>
      <c r="B898" s="5" t="inlineStr">
        <is>
          <t>Guatemala</t>
        </is>
      </c>
      <c r="C898" s="5" t="n">
        <v>1997</v>
      </c>
      <c r="D898" s="5" t="inlineStr">
        <is>
          <t>Da lo mismo</t>
        </is>
      </c>
      <c r="E898" s="6" t="n">
        <v>0.163</v>
      </c>
      <c r="F898" s="7" t="n">
        <v>1000</v>
      </c>
    </row>
    <row r="899">
      <c r="A899" s="5" t="inlineStr">
        <is>
          <t>Apoyo democracia</t>
        </is>
      </c>
      <c r="B899" s="5" t="inlineStr">
        <is>
          <t>Guatemala</t>
        </is>
      </c>
      <c r="C899" s="5" t="n">
        <v>1997</v>
      </c>
      <c r="D899" s="5" t="inlineStr">
        <is>
          <t>No sabe</t>
        </is>
      </c>
      <c r="E899" s="6" t="n">
        <v>0.039</v>
      </c>
      <c r="F899" s="7" t="n">
        <v>1000</v>
      </c>
    </row>
    <row r="900">
      <c r="A900" s="5" t="inlineStr">
        <is>
          <t>Apoyo democracia</t>
        </is>
      </c>
      <c r="B900" s="5" t="inlineStr">
        <is>
          <t>Guatemala</t>
        </is>
      </c>
      <c r="C900" s="5" t="n">
        <v>1997</v>
      </c>
      <c r="D900" s="5" t="inlineStr">
        <is>
          <t>No contesta</t>
        </is>
      </c>
      <c r="E900" s="6" t="n">
        <v>0.05599999999999999</v>
      </c>
      <c r="F900" s="7" t="n">
        <v>1000</v>
      </c>
    </row>
    <row r="901">
      <c r="A901" s="5" t="inlineStr">
        <is>
          <t>Apoyo democracia</t>
        </is>
      </c>
      <c r="B901" s="5" t="inlineStr">
        <is>
          <t>Guatemala</t>
        </is>
      </c>
      <c r="C901" s="5" t="n">
        <v>1998</v>
      </c>
      <c r="D901" s="5" t="inlineStr">
        <is>
          <t>Democracia</t>
        </is>
      </c>
      <c r="E901" s="6" t="n">
        <v>0.535</v>
      </c>
      <c r="F901" s="7" t="n">
        <v>1000</v>
      </c>
    </row>
    <row r="902">
      <c r="A902" s="5" t="inlineStr">
        <is>
          <t>Apoyo democracia</t>
        </is>
      </c>
      <c r="B902" s="5" t="inlineStr">
        <is>
          <t>Guatemala</t>
        </is>
      </c>
      <c r="C902" s="5" t="n">
        <v>1998</v>
      </c>
      <c r="D902" s="5" t="inlineStr">
        <is>
          <t>Gobierno Autoritario</t>
        </is>
      </c>
      <c r="E902" s="6" t="n">
        <v>0.289</v>
      </c>
      <c r="F902" s="7" t="n">
        <v>1000</v>
      </c>
    </row>
    <row r="903">
      <c r="A903" s="5" t="inlineStr">
        <is>
          <t>Apoyo democracia</t>
        </is>
      </c>
      <c r="B903" s="5" t="inlineStr">
        <is>
          <t>Guatemala</t>
        </is>
      </c>
      <c r="C903" s="5" t="n">
        <v>1998</v>
      </c>
      <c r="D903" s="5" t="inlineStr">
        <is>
          <t>Da lo mismo</t>
        </is>
      </c>
      <c r="E903" s="6" t="n">
        <v>0.161</v>
      </c>
      <c r="F903" s="7" t="n">
        <v>1000</v>
      </c>
    </row>
    <row r="904">
      <c r="A904" s="5" t="inlineStr">
        <is>
          <t>Apoyo democracia</t>
        </is>
      </c>
      <c r="B904" s="5" t="inlineStr">
        <is>
          <t>Guatemala</t>
        </is>
      </c>
      <c r="C904" s="5" t="n">
        <v>1998</v>
      </c>
      <c r="D904" s="5" t="inlineStr">
        <is>
          <t>No sabe</t>
        </is>
      </c>
      <c r="E904" s="6" t="n">
        <v>0.012</v>
      </c>
      <c r="F904" s="7" t="n">
        <v>1000</v>
      </c>
    </row>
    <row r="905">
      <c r="A905" s="5" t="inlineStr">
        <is>
          <t>Apoyo democracia</t>
        </is>
      </c>
      <c r="B905" s="5" t="inlineStr">
        <is>
          <t>Guatemala</t>
        </is>
      </c>
      <c r="C905" s="5" t="n">
        <v>1998</v>
      </c>
      <c r="D905" s="5" t="inlineStr">
        <is>
          <t>No contesta</t>
        </is>
      </c>
      <c r="E905" s="6" t="n">
        <v>0.003</v>
      </c>
      <c r="F905" s="7" t="n">
        <v>1000</v>
      </c>
    </row>
    <row r="906">
      <c r="A906" s="5" t="inlineStr">
        <is>
          <t>Apoyo democracia</t>
        </is>
      </c>
      <c r="B906" s="5" t="inlineStr">
        <is>
          <t>Guatemala</t>
        </is>
      </c>
      <c r="C906" s="5" t="n">
        <v>2000</v>
      </c>
      <c r="D906" s="5" t="inlineStr">
        <is>
          <t>Democracia</t>
        </is>
      </c>
      <c r="E906" s="6" t="n">
        <v>0.449</v>
      </c>
      <c r="F906" s="7" t="n">
        <v>989</v>
      </c>
    </row>
    <row r="907">
      <c r="A907" s="5" t="inlineStr">
        <is>
          <t>Apoyo democracia</t>
        </is>
      </c>
      <c r="B907" s="5" t="inlineStr">
        <is>
          <t>Guatemala</t>
        </is>
      </c>
      <c r="C907" s="5" t="n">
        <v>2000</v>
      </c>
      <c r="D907" s="5" t="inlineStr">
        <is>
          <t>Gobierno Autoritario</t>
        </is>
      </c>
      <c r="E907" s="6" t="n">
        <v>0.209</v>
      </c>
      <c r="F907" s="7" t="n">
        <v>989</v>
      </c>
    </row>
    <row r="908">
      <c r="A908" s="5" t="inlineStr">
        <is>
          <t>Apoyo democracia</t>
        </is>
      </c>
      <c r="B908" s="5" t="inlineStr">
        <is>
          <t>Guatemala</t>
        </is>
      </c>
      <c r="C908" s="5" t="n">
        <v>2000</v>
      </c>
      <c r="D908" s="5" t="inlineStr">
        <is>
          <t>Da lo mismo</t>
        </is>
      </c>
      <c r="E908" s="6" t="n">
        <v>0.225</v>
      </c>
      <c r="F908" s="7" t="n">
        <v>989</v>
      </c>
    </row>
    <row r="909">
      <c r="A909" s="5" t="inlineStr">
        <is>
          <t>Apoyo democracia</t>
        </is>
      </c>
      <c r="B909" s="5" t="inlineStr">
        <is>
          <t>Guatemala</t>
        </is>
      </c>
      <c r="C909" s="5" t="n">
        <v>2000</v>
      </c>
      <c r="D909" s="5" t="inlineStr">
        <is>
          <t>No sabe</t>
        </is>
      </c>
      <c r="E909" s="6" t="n">
        <v>0.08800000000000001</v>
      </c>
      <c r="F909" s="7" t="n">
        <v>989</v>
      </c>
    </row>
    <row r="910">
      <c r="A910" s="5" t="inlineStr">
        <is>
          <t>Apoyo democracia</t>
        </is>
      </c>
      <c r="B910" s="5" t="inlineStr">
        <is>
          <t>Guatemala</t>
        </is>
      </c>
      <c r="C910" s="5" t="n">
        <v>2000</v>
      </c>
      <c r="D910" s="5" t="inlineStr">
        <is>
          <t>No contesta</t>
        </is>
      </c>
      <c r="E910" s="6" t="n">
        <v>0.028</v>
      </c>
      <c r="F910" s="7" t="n">
        <v>989</v>
      </c>
    </row>
    <row r="911">
      <c r="A911" s="5" t="inlineStr">
        <is>
          <t>Apoyo democracia</t>
        </is>
      </c>
      <c r="B911" s="5" t="inlineStr">
        <is>
          <t>Guatemala</t>
        </is>
      </c>
      <c r="C911" s="5" t="n">
        <v>2001</v>
      </c>
      <c r="D911" s="5" t="inlineStr">
        <is>
          <t>Democracia</t>
        </is>
      </c>
      <c r="E911" s="6" t="n">
        <v>0.328</v>
      </c>
      <c r="F911" s="7" t="n">
        <v>1002</v>
      </c>
    </row>
    <row r="912">
      <c r="A912" s="5" t="inlineStr">
        <is>
          <t>Apoyo democracia</t>
        </is>
      </c>
      <c r="B912" s="5" t="inlineStr">
        <is>
          <t>Guatemala</t>
        </is>
      </c>
      <c r="C912" s="5" t="n">
        <v>2001</v>
      </c>
      <c r="D912" s="5" t="inlineStr">
        <is>
          <t>Gobierno Autoritario</t>
        </is>
      </c>
      <c r="E912" s="6" t="n">
        <v>0.212</v>
      </c>
      <c r="F912" s="7" t="n">
        <v>1002</v>
      </c>
    </row>
    <row r="913">
      <c r="A913" s="5" t="inlineStr">
        <is>
          <t>Apoyo democracia</t>
        </is>
      </c>
      <c r="B913" s="5" t="inlineStr">
        <is>
          <t>Guatemala</t>
        </is>
      </c>
      <c r="C913" s="5" t="n">
        <v>2001</v>
      </c>
      <c r="D913" s="5" t="inlineStr">
        <is>
          <t>Da lo mismo</t>
        </is>
      </c>
      <c r="E913" s="6" t="n">
        <v>0.216</v>
      </c>
      <c r="F913" s="7" t="n">
        <v>1002</v>
      </c>
    </row>
    <row r="914">
      <c r="A914" s="5" t="inlineStr">
        <is>
          <t>Apoyo democracia</t>
        </is>
      </c>
      <c r="B914" s="5" t="inlineStr">
        <is>
          <t>Guatemala</t>
        </is>
      </c>
      <c r="C914" s="5" t="n">
        <v>2001</v>
      </c>
      <c r="D914" s="5" t="inlineStr">
        <is>
          <t>No sabe</t>
        </is>
      </c>
      <c r="E914" s="6" t="n">
        <v>0.172</v>
      </c>
      <c r="F914" s="7" t="n">
        <v>1002</v>
      </c>
    </row>
    <row r="915">
      <c r="A915" s="5" t="inlineStr">
        <is>
          <t>Apoyo democracia</t>
        </is>
      </c>
      <c r="B915" s="5" t="inlineStr">
        <is>
          <t>Guatemala</t>
        </is>
      </c>
      <c r="C915" s="5" t="n">
        <v>2001</v>
      </c>
      <c r="D915" s="5" t="inlineStr">
        <is>
          <t>No contesta</t>
        </is>
      </c>
      <c r="E915" s="6" t="n">
        <v>0.07200000000000001</v>
      </c>
      <c r="F915" s="7" t="n">
        <v>1002</v>
      </c>
    </row>
    <row r="916">
      <c r="A916" s="5" t="inlineStr">
        <is>
          <t>Apoyo democracia</t>
        </is>
      </c>
      <c r="B916" s="5" t="inlineStr">
        <is>
          <t>Guatemala</t>
        </is>
      </c>
      <c r="C916" s="5" t="n">
        <v>2002</v>
      </c>
      <c r="D916" s="5" t="inlineStr">
        <is>
          <t>Democracia</t>
        </is>
      </c>
      <c r="E916" s="6" t="n">
        <v>0.453</v>
      </c>
      <c r="F916" s="7" t="n">
        <v>1000</v>
      </c>
    </row>
    <row r="917">
      <c r="A917" s="5" t="inlineStr">
        <is>
          <t>Apoyo democracia</t>
        </is>
      </c>
      <c r="B917" s="5" t="inlineStr">
        <is>
          <t>Guatemala</t>
        </is>
      </c>
      <c r="C917" s="5" t="n">
        <v>2002</v>
      </c>
      <c r="D917" s="5" t="inlineStr">
        <is>
          <t>Gobierno Autoritario</t>
        </is>
      </c>
      <c r="E917" s="6" t="n">
        <v>0.124</v>
      </c>
      <c r="F917" s="7" t="n">
        <v>1000</v>
      </c>
    </row>
    <row r="918">
      <c r="A918" s="5" t="inlineStr">
        <is>
          <t>Apoyo democracia</t>
        </is>
      </c>
      <c r="B918" s="5" t="inlineStr">
        <is>
          <t>Guatemala</t>
        </is>
      </c>
      <c r="C918" s="5" t="n">
        <v>2002</v>
      </c>
      <c r="D918" s="5" t="inlineStr">
        <is>
          <t>Da lo mismo</t>
        </is>
      </c>
      <c r="E918" s="6" t="n">
        <v>0.24</v>
      </c>
      <c r="F918" s="7" t="n">
        <v>1000</v>
      </c>
    </row>
    <row r="919">
      <c r="A919" s="5" t="inlineStr">
        <is>
          <t>Apoyo democracia</t>
        </is>
      </c>
      <c r="B919" s="5" t="inlineStr">
        <is>
          <t>Guatemala</t>
        </is>
      </c>
      <c r="C919" s="5" t="n">
        <v>2002</v>
      </c>
      <c r="D919" s="5" t="inlineStr">
        <is>
          <t>No sabe</t>
        </is>
      </c>
      <c r="E919" s="6" t="n">
        <v>0.134</v>
      </c>
      <c r="F919" s="7" t="n">
        <v>1000</v>
      </c>
    </row>
    <row r="920">
      <c r="A920" s="5" t="inlineStr">
        <is>
          <t>Apoyo democracia</t>
        </is>
      </c>
      <c r="B920" s="5" t="inlineStr">
        <is>
          <t>Guatemala</t>
        </is>
      </c>
      <c r="C920" s="5" t="n">
        <v>2002</v>
      </c>
      <c r="D920" s="5" t="inlineStr">
        <is>
          <t>No contesta</t>
        </is>
      </c>
      <c r="E920" s="6" t="n">
        <v>0.05</v>
      </c>
      <c r="F920" s="7" t="n">
        <v>1000</v>
      </c>
    </row>
    <row r="921">
      <c r="A921" s="5" t="inlineStr">
        <is>
          <t>Apoyo democracia</t>
        </is>
      </c>
      <c r="B921" s="5" t="inlineStr">
        <is>
          <t>Guatemala</t>
        </is>
      </c>
      <c r="C921" s="5" t="n">
        <v>2003</v>
      </c>
      <c r="D921" s="5" t="inlineStr">
        <is>
          <t>Democracia</t>
        </is>
      </c>
      <c r="E921" s="6" t="n">
        <v>0.33</v>
      </c>
      <c r="F921" s="7" t="n">
        <v>1006</v>
      </c>
    </row>
    <row r="922">
      <c r="A922" s="5" t="inlineStr">
        <is>
          <t>Apoyo democracia</t>
        </is>
      </c>
      <c r="B922" s="5" t="inlineStr">
        <is>
          <t>Guatemala</t>
        </is>
      </c>
      <c r="C922" s="5" t="n">
        <v>2003</v>
      </c>
      <c r="D922" s="5" t="inlineStr">
        <is>
          <t>Gobierno Autoritario</t>
        </is>
      </c>
      <c r="E922" s="6" t="n">
        <v>0.1</v>
      </c>
      <c r="F922" s="7" t="n">
        <v>1006</v>
      </c>
    </row>
    <row r="923">
      <c r="A923" s="5" t="inlineStr">
        <is>
          <t>Apoyo democracia</t>
        </is>
      </c>
      <c r="B923" s="5" t="inlineStr">
        <is>
          <t>Guatemala</t>
        </is>
      </c>
      <c r="C923" s="5" t="n">
        <v>2003</v>
      </c>
      <c r="D923" s="5" t="inlineStr">
        <is>
          <t>Da lo mismo</t>
        </is>
      </c>
      <c r="E923" s="6" t="n">
        <v>0.236</v>
      </c>
      <c r="F923" s="7" t="n">
        <v>1006</v>
      </c>
    </row>
    <row r="924">
      <c r="A924" s="5" t="inlineStr">
        <is>
          <t>Apoyo democracia</t>
        </is>
      </c>
      <c r="B924" s="5" t="inlineStr">
        <is>
          <t>Guatemala</t>
        </is>
      </c>
      <c r="C924" s="5" t="n">
        <v>2003</v>
      </c>
      <c r="D924" s="5" t="inlineStr">
        <is>
          <t>No sabe</t>
        </is>
      </c>
      <c r="E924" s="6" t="n">
        <v>0.228</v>
      </c>
      <c r="F924" s="7" t="n">
        <v>1006</v>
      </c>
    </row>
    <row r="925">
      <c r="A925" s="5" t="inlineStr">
        <is>
          <t>Apoyo democracia</t>
        </is>
      </c>
      <c r="B925" s="5" t="inlineStr">
        <is>
          <t>Guatemala</t>
        </is>
      </c>
      <c r="C925" s="5" t="n">
        <v>2003</v>
      </c>
      <c r="D925" s="5" t="inlineStr">
        <is>
          <t>No contesta</t>
        </is>
      </c>
      <c r="E925" s="6" t="n">
        <v>0.105</v>
      </c>
      <c r="F925" s="7" t="n">
        <v>1006</v>
      </c>
    </row>
    <row r="926">
      <c r="A926" s="5" t="inlineStr">
        <is>
          <t>Apoyo democracia</t>
        </is>
      </c>
      <c r="B926" s="5" t="inlineStr">
        <is>
          <t>Guatemala</t>
        </is>
      </c>
      <c r="C926" s="5" t="n">
        <v>2004</v>
      </c>
      <c r="D926" s="5" t="inlineStr">
        <is>
          <t>Democracia</t>
        </is>
      </c>
      <c r="E926" s="6" t="n">
        <v>0.351</v>
      </c>
      <c r="F926" s="7" t="n">
        <v>1000</v>
      </c>
    </row>
    <row r="927">
      <c r="A927" s="5" t="inlineStr">
        <is>
          <t>Apoyo democracia</t>
        </is>
      </c>
      <c r="B927" s="5" t="inlineStr">
        <is>
          <t>Guatemala</t>
        </is>
      </c>
      <c r="C927" s="5" t="n">
        <v>2004</v>
      </c>
      <c r="D927" s="5" t="inlineStr">
        <is>
          <t>Gobierno Autoritario</t>
        </is>
      </c>
      <c r="E927" s="6" t="n">
        <v>0.111</v>
      </c>
      <c r="F927" s="7" t="n">
        <v>1000</v>
      </c>
    </row>
    <row r="928">
      <c r="A928" s="5" t="inlineStr">
        <is>
          <t>Apoyo democracia</t>
        </is>
      </c>
      <c r="B928" s="5" t="inlineStr">
        <is>
          <t>Guatemala</t>
        </is>
      </c>
      <c r="C928" s="5" t="n">
        <v>2004</v>
      </c>
      <c r="D928" s="5" t="inlineStr">
        <is>
          <t>Da lo mismo</t>
        </is>
      </c>
      <c r="E928" s="6" t="n">
        <v>0.247</v>
      </c>
      <c r="F928" s="7" t="n">
        <v>1000</v>
      </c>
    </row>
    <row r="929">
      <c r="A929" s="5" t="inlineStr">
        <is>
          <t>Apoyo democracia</t>
        </is>
      </c>
      <c r="B929" s="5" t="inlineStr">
        <is>
          <t>Guatemala</t>
        </is>
      </c>
      <c r="C929" s="5" t="n">
        <v>2004</v>
      </c>
      <c r="D929" s="5" t="inlineStr">
        <is>
          <t>No sabe</t>
        </is>
      </c>
      <c r="E929" s="6" t="n">
        <v>0.185</v>
      </c>
      <c r="F929" s="7" t="n">
        <v>1000</v>
      </c>
    </row>
    <row r="930">
      <c r="A930" s="5" t="inlineStr">
        <is>
          <t>Apoyo democracia</t>
        </is>
      </c>
      <c r="B930" s="5" t="inlineStr">
        <is>
          <t>Guatemala</t>
        </is>
      </c>
      <c r="C930" s="5" t="n">
        <v>2004</v>
      </c>
      <c r="D930" s="5" t="inlineStr">
        <is>
          <t>No contesta</t>
        </is>
      </c>
      <c r="E930" s="6" t="n">
        <v>0.106</v>
      </c>
      <c r="F930" s="7" t="n">
        <v>1000</v>
      </c>
    </row>
    <row r="931">
      <c r="A931" s="5" t="inlineStr">
        <is>
          <t>Apoyo democracia</t>
        </is>
      </c>
      <c r="B931" s="5" t="inlineStr">
        <is>
          <t>Guatemala</t>
        </is>
      </c>
      <c r="C931" s="5" t="n">
        <v>2005</v>
      </c>
      <c r="D931" s="5" t="inlineStr">
        <is>
          <t>Democracia</t>
        </is>
      </c>
      <c r="E931" s="6" t="n">
        <v>0.322</v>
      </c>
      <c r="F931" s="7" t="n">
        <v>1000</v>
      </c>
    </row>
    <row r="932">
      <c r="A932" s="5" t="inlineStr">
        <is>
          <t>Apoyo democracia</t>
        </is>
      </c>
      <c r="B932" s="5" t="inlineStr">
        <is>
          <t>Guatemala</t>
        </is>
      </c>
      <c r="C932" s="5" t="n">
        <v>2005</v>
      </c>
      <c r="D932" s="5" t="inlineStr">
        <is>
          <t>Gobierno Autoritario</t>
        </is>
      </c>
      <c r="E932" s="6" t="n">
        <v>0.169</v>
      </c>
      <c r="F932" s="7" t="n">
        <v>1000</v>
      </c>
    </row>
    <row r="933">
      <c r="A933" s="5" t="inlineStr">
        <is>
          <t>Apoyo democracia</t>
        </is>
      </c>
      <c r="B933" s="5" t="inlineStr">
        <is>
          <t>Guatemala</t>
        </is>
      </c>
      <c r="C933" s="5" t="n">
        <v>2005</v>
      </c>
      <c r="D933" s="5" t="inlineStr">
        <is>
          <t>Da lo mismo</t>
        </is>
      </c>
      <c r="E933" s="6" t="n">
        <v>0.364</v>
      </c>
      <c r="F933" s="7" t="n">
        <v>1000</v>
      </c>
    </row>
    <row r="934">
      <c r="A934" s="5" t="inlineStr">
        <is>
          <t>Apoyo democracia</t>
        </is>
      </c>
      <c r="B934" s="5" t="inlineStr">
        <is>
          <t>Guatemala</t>
        </is>
      </c>
      <c r="C934" s="5" t="n">
        <v>2005</v>
      </c>
      <c r="D934" s="5" t="inlineStr">
        <is>
          <t>No sabe</t>
        </is>
      </c>
      <c r="E934" s="6" t="n">
        <v>0.119</v>
      </c>
      <c r="F934" s="7" t="n">
        <v>1000</v>
      </c>
    </row>
    <row r="935">
      <c r="A935" s="5" t="inlineStr">
        <is>
          <t>Apoyo democracia</t>
        </is>
      </c>
      <c r="B935" s="5" t="inlineStr">
        <is>
          <t>Guatemala</t>
        </is>
      </c>
      <c r="C935" s="5" t="n">
        <v>2005</v>
      </c>
      <c r="D935" s="5" t="inlineStr">
        <is>
          <t>No contesta</t>
        </is>
      </c>
      <c r="E935" s="6" t="n">
        <v>0.026</v>
      </c>
      <c r="F935" s="7" t="n">
        <v>1000</v>
      </c>
    </row>
    <row r="936">
      <c r="A936" s="5" t="inlineStr">
        <is>
          <t>Apoyo democracia</t>
        </is>
      </c>
      <c r="B936" s="5" t="inlineStr">
        <is>
          <t>Guatemala</t>
        </is>
      </c>
      <c r="C936" s="5" t="n">
        <v>2006</v>
      </c>
      <c r="D936" s="5" t="inlineStr">
        <is>
          <t>Democracia</t>
        </is>
      </c>
      <c r="E936" s="6" t="n">
        <v>0.408</v>
      </c>
      <c r="F936" s="7" t="n">
        <v>1000</v>
      </c>
    </row>
    <row r="937">
      <c r="A937" s="5" t="inlineStr">
        <is>
          <t>Apoyo democracia</t>
        </is>
      </c>
      <c r="B937" s="5" t="inlineStr">
        <is>
          <t>Guatemala</t>
        </is>
      </c>
      <c r="C937" s="5" t="n">
        <v>2006</v>
      </c>
      <c r="D937" s="5" t="inlineStr">
        <is>
          <t>Gobierno Autoritario</t>
        </is>
      </c>
      <c r="E937" s="6" t="n">
        <v>0.347</v>
      </c>
      <c r="F937" s="7" t="n">
        <v>1000</v>
      </c>
    </row>
    <row r="938">
      <c r="A938" s="5" t="inlineStr">
        <is>
          <t>Apoyo democracia</t>
        </is>
      </c>
      <c r="B938" s="5" t="inlineStr">
        <is>
          <t>Guatemala</t>
        </is>
      </c>
      <c r="C938" s="5" t="n">
        <v>2006</v>
      </c>
      <c r="D938" s="5" t="inlineStr">
        <is>
          <t>Da lo mismo</t>
        </is>
      </c>
      <c r="E938" s="6" t="n">
        <v>0.155</v>
      </c>
      <c r="F938" s="7" t="n">
        <v>1000</v>
      </c>
    </row>
    <row r="939">
      <c r="A939" s="5" t="inlineStr">
        <is>
          <t>Apoyo democracia</t>
        </is>
      </c>
      <c r="B939" s="5" t="inlineStr">
        <is>
          <t>Guatemala</t>
        </is>
      </c>
      <c r="C939" s="5" t="n">
        <v>2006</v>
      </c>
      <c r="D939" s="5" t="inlineStr">
        <is>
          <t>No sabe</t>
        </is>
      </c>
      <c r="E939" s="6" t="n">
        <v>0.081</v>
      </c>
      <c r="F939" s="7" t="n">
        <v>1000</v>
      </c>
    </row>
    <row r="940">
      <c r="A940" s="5" t="inlineStr">
        <is>
          <t>Apoyo democracia</t>
        </is>
      </c>
      <c r="B940" s="5" t="inlineStr">
        <is>
          <t>Guatemala</t>
        </is>
      </c>
      <c r="C940" s="5" t="n">
        <v>2006</v>
      </c>
      <c r="D940" s="5" t="inlineStr">
        <is>
          <t>No contesta</t>
        </is>
      </c>
      <c r="E940" s="6" t="n">
        <v>0.009000000000000001</v>
      </c>
      <c r="F940" s="7" t="n">
        <v>1000</v>
      </c>
    </row>
    <row r="941">
      <c r="A941" s="5" t="inlineStr">
        <is>
          <t>Apoyo democracia</t>
        </is>
      </c>
      <c r="B941" s="5" t="inlineStr">
        <is>
          <t>Guatemala</t>
        </is>
      </c>
      <c r="C941" s="5" t="n">
        <v>2007</v>
      </c>
      <c r="D941" s="5" t="inlineStr">
        <is>
          <t>Democracia</t>
        </is>
      </c>
      <c r="E941" s="6" t="n">
        <v>0.315</v>
      </c>
      <c r="F941" s="7" t="n">
        <v>1000</v>
      </c>
    </row>
    <row r="942">
      <c r="A942" s="5" t="inlineStr">
        <is>
          <t>Apoyo democracia</t>
        </is>
      </c>
      <c r="B942" s="5" t="inlineStr">
        <is>
          <t>Guatemala</t>
        </is>
      </c>
      <c r="C942" s="5" t="n">
        <v>2007</v>
      </c>
      <c r="D942" s="5" t="inlineStr">
        <is>
          <t>Gobierno Autoritario</t>
        </is>
      </c>
      <c r="E942" s="6" t="n">
        <v>0.324</v>
      </c>
      <c r="F942" s="7" t="n">
        <v>1000</v>
      </c>
    </row>
    <row r="943">
      <c r="A943" s="5" t="inlineStr">
        <is>
          <t>Apoyo democracia</t>
        </is>
      </c>
      <c r="B943" s="5" t="inlineStr">
        <is>
          <t>Guatemala</t>
        </is>
      </c>
      <c r="C943" s="5" t="n">
        <v>2007</v>
      </c>
      <c r="D943" s="5" t="inlineStr">
        <is>
          <t>Da lo mismo</t>
        </is>
      </c>
      <c r="E943" s="6" t="n">
        <v>0.179</v>
      </c>
      <c r="F943" s="7" t="n">
        <v>1000</v>
      </c>
    </row>
    <row r="944">
      <c r="A944" s="5" t="inlineStr">
        <is>
          <t>Apoyo democracia</t>
        </is>
      </c>
      <c r="B944" s="5" t="inlineStr">
        <is>
          <t>Guatemala</t>
        </is>
      </c>
      <c r="C944" s="5" t="n">
        <v>2007</v>
      </c>
      <c r="D944" s="5" t="inlineStr">
        <is>
          <t>No sabe</t>
        </is>
      </c>
      <c r="E944" s="6" t="n">
        <v>0.159</v>
      </c>
      <c r="F944" s="7" t="n">
        <v>1000</v>
      </c>
    </row>
    <row r="945">
      <c r="A945" s="5" t="inlineStr">
        <is>
          <t>Apoyo democracia</t>
        </is>
      </c>
      <c r="B945" s="5" t="inlineStr">
        <is>
          <t>Guatemala</t>
        </is>
      </c>
      <c r="C945" s="5" t="n">
        <v>2007</v>
      </c>
      <c r="D945" s="5" t="inlineStr">
        <is>
          <t>No contesta</t>
        </is>
      </c>
      <c r="E945" s="6" t="n">
        <v>0.023</v>
      </c>
      <c r="F945" s="7" t="n">
        <v>1000</v>
      </c>
    </row>
    <row r="946">
      <c r="A946" s="5" t="inlineStr">
        <is>
          <t>Apoyo democracia</t>
        </is>
      </c>
      <c r="B946" s="5" t="inlineStr">
        <is>
          <t>Guatemala</t>
        </is>
      </c>
      <c r="C946" s="5" t="n">
        <v>2008</v>
      </c>
      <c r="D946" s="5" t="inlineStr">
        <is>
          <t>Democracia</t>
        </is>
      </c>
      <c r="E946" s="6" t="n">
        <v>0.339</v>
      </c>
      <c r="F946" s="7" t="n">
        <v>1000</v>
      </c>
    </row>
    <row r="947">
      <c r="A947" s="5" t="inlineStr">
        <is>
          <t>Apoyo democracia</t>
        </is>
      </c>
      <c r="B947" s="5" t="inlineStr">
        <is>
          <t>Guatemala</t>
        </is>
      </c>
      <c r="C947" s="5" t="n">
        <v>2008</v>
      </c>
      <c r="D947" s="5" t="inlineStr">
        <is>
          <t>Gobierno Autoritario</t>
        </is>
      </c>
      <c r="E947" s="6" t="n">
        <v>0.27</v>
      </c>
      <c r="F947" s="7" t="n">
        <v>1000</v>
      </c>
    </row>
    <row r="948">
      <c r="A948" s="5" t="inlineStr">
        <is>
          <t>Apoyo democracia</t>
        </is>
      </c>
      <c r="B948" s="5" t="inlineStr">
        <is>
          <t>Guatemala</t>
        </is>
      </c>
      <c r="C948" s="5" t="n">
        <v>2008</v>
      </c>
      <c r="D948" s="5" t="inlineStr">
        <is>
          <t>Da lo mismo</t>
        </is>
      </c>
      <c r="E948" s="6" t="n">
        <v>0.214</v>
      </c>
      <c r="F948" s="7" t="n">
        <v>1000</v>
      </c>
    </row>
    <row r="949">
      <c r="A949" s="5" t="inlineStr">
        <is>
          <t>Apoyo democracia</t>
        </is>
      </c>
      <c r="B949" s="5" t="inlineStr">
        <is>
          <t>Guatemala</t>
        </is>
      </c>
      <c r="C949" s="5" t="n">
        <v>2008</v>
      </c>
      <c r="D949" s="5" t="inlineStr">
        <is>
          <t>No sabe</t>
        </is>
      </c>
      <c r="E949" s="6" t="n">
        <v>0.164</v>
      </c>
      <c r="F949" s="7" t="n">
        <v>1000</v>
      </c>
    </row>
    <row r="950">
      <c r="A950" s="5" t="inlineStr">
        <is>
          <t>Apoyo democracia</t>
        </is>
      </c>
      <c r="B950" s="5" t="inlineStr">
        <is>
          <t>Guatemala</t>
        </is>
      </c>
      <c r="C950" s="5" t="n">
        <v>2008</v>
      </c>
      <c r="D950" s="5" t="inlineStr">
        <is>
          <t>No contesta</t>
        </is>
      </c>
      <c r="E950" s="6" t="n">
        <v>0.013</v>
      </c>
      <c r="F950" s="7" t="n">
        <v>1000</v>
      </c>
    </row>
    <row r="951">
      <c r="A951" s="5" t="inlineStr">
        <is>
          <t>Apoyo democracia</t>
        </is>
      </c>
      <c r="B951" s="5" t="inlineStr">
        <is>
          <t>Guatemala</t>
        </is>
      </c>
      <c r="C951" s="5" t="n">
        <v>2009</v>
      </c>
      <c r="D951" s="5" t="inlineStr">
        <is>
          <t>Democracia</t>
        </is>
      </c>
      <c r="E951" s="6" t="n">
        <v>0.414</v>
      </c>
      <c r="F951" s="7" t="n">
        <v>1000</v>
      </c>
    </row>
    <row r="952">
      <c r="A952" s="5" t="inlineStr">
        <is>
          <t>Apoyo democracia</t>
        </is>
      </c>
      <c r="B952" s="5" t="inlineStr">
        <is>
          <t>Guatemala</t>
        </is>
      </c>
      <c r="C952" s="5" t="n">
        <v>2009</v>
      </c>
      <c r="D952" s="5" t="inlineStr">
        <is>
          <t>Gobierno Autoritario</t>
        </is>
      </c>
      <c r="E952" s="6" t="n">
        <v>0.3</v>
      </c>
      <c r="F952" s="7" t="n">
        <v>1000</v>
      </c>
    </row>
    <row r="953">
      <c r="A953" s="5" t="inlineStr">
        <is>
          <t>Apoyo democracia</t>
        </is>
      </c>
      <c r="B953" s="5" t="inlineStr">
        <is>
          <t>Guatemala</t>
        </is>
      </c>
      <c r="C953" s="5" t="n">
        <v>2009</v>
      </c>
      <c r="D953" s="5" t="inlineStr">
        <is>
          <t>Da lo mismo</t>
        </is>
      </c>
      <c r="E953" s="6" t="n">
        <v>0.201</v>
      </c>
      <c r="F953" s="7" t="n">
        <v>1000</v>
      </c>
    </row>
    <row r="954">
      <c r="A954" s="5" t="inlineStr">
        <is>
          <t>Apoyo democracia</t>
        </is>
      </c>
      <c r="B954" s="5" t="inlineStr">
        <is>
          <t>Guatemala</t>
        </is>
      </c>
      <c r="C954" s="5" t="n">
        <v>2009</v>
      </c>
      <c r="D954" s="5" t="inlineStr">
        <is>
          <t>No sabe</t>
        </is>
      </c>
      <c r="E954" s="6" t="n">
        <v>0.063</v>
      </c>
      <c r="F954" s="7" t="n">
        <v>1000</v>
      </c>
    </row>
    <row r="955">
      <c r="A955" s="5" t="inlineStr">
        <is>
          <t>Apoyo democracia</t>
        </is>
      </c>
      <c r="B955" s="5" t="inlineStr">
        <is>
          <t>Guatemala</t>
        </is>
      </c>
      <c r="C955" s="5" t="n">
        <v>2009</v>
      </c>
      <c r="D955" s="5" t="inlineStr">
        <is>
          <t>No contesta</t>
        </is>
      </c>
      <c r="E955" s="6" t="n">
        <v>0.021</v>
      </c>
      <c r="F955" s="7" t="n">
        <v>1000</v>
      </c>
    </row>
    <row r="956">
      <c r="A956" s="5" t="inlineStr">
        <is>
          <t>Apoyo democracia</t>
        </is>
      </c>
      <c r="B956" s="5" t="inlineStr">
        <is>
          <t>Guatemala</t>
        </is>
      </c>
      <c r="C956" s="5" t="n">
        <v>2010</v>
      </c>
      <c r="D956" s="5" t="inlineStr">
        <is>
          <t>Democracia</t>
        </is>
      </c>
      <c r="E956" s="6" t="n">
        <v>0.458</v>
      </c>
      <c r="F956" s="7" t="n">
        <v>1000</v>
      </c>
    </row>
    <row r="957">
      <c r="A957" s="5" t="inlineStr">
        <is>
          <t>Apoyo democracia</t>
        </is>
      </c>
      <c r="B957" s="5" t="inlineStr">
        <is>
          <t>Guatemala</t>
        </is>
      </c>
      <c r="C957" s="5" t="n">
        <v>2010</v>
      </c>
      <c r="D957" s="5" t="inlineStr">
        <is>
          <t>Gobierno Autoritario</t>
        </is>
      </c>
      <c r="E957" s="6" t="n">
        <v>0.17</v>
      </c>
      <c r="F957" s="7" t="n">
        <v>1000</v>
      </c>
    </row>
    <row r="958">
      <c r="A958" s="5" t="inlineStr">
        <is>
          <t>Apoyo democracia</t>
        </is>
      </c>
      <c r="B958" s="5" t="inlineStr">
        <is>
          <t>Guatemala</t>
        </is>
      </c>
      <c r="C958" s="5" t="n">
        <v>2010</v>
      </c>
      <c r="D958" s="5" t="inlineStr">
        <is>
          <t>Da lo mismo</t>
        </is>
      </c>
      <c r="E958" s="6" t="n">
        <v>0.246</v>
      </c>
      <c r="F958" s="7" t="n">
        <v>1000</v>
      </c>
    </row>
    <row r="959">
      <c r="A959" s="5" t="inlineStr">
        <is>
          <t>Apoyo democracia</t>
        </is>
      </c>
      <c r="B959" s="5" t="inlineStr">
        <is>
          <t>Guatemala</t>
        </is>
      </c>
      <c r="C959" s="5" t="n">
        <v>2010</v>
      </c>
      <c r="D959" s="5" t="inlineStr">
        <is>
          <t>No sabe</t>
        </is>
      </c>
      <c r="E959" s="6" t="n">
        <v>0.113</v>
      </c>
      <c r="F959" s="7" t="n">
        <v>1000</v>
      </c>
    </row>
    <row r="960">
      <c r="A960" s="5" t="inlineStr">
        <is>
          <t>Apoyo democracia</t>
        </is>
      </c>
      <c r="B960" s="5" t="inlineStr">
        <is>
          <t>Guatemala</t>
        </is>
      </c>
      <c r="C960" s="5" t="n">
        <v>2010</v>
      </c>
      <c r="D960" s="5" t="inlineStr">
        <is>
          <t>No contesta</t>
        </is>
      </c>
      <c r="E960" s="6" t="n">
        <v>0.012</v>
      </c>
      <c r="F960" s="7" t="n">
        <v>1000</v>
      </c>
    </row>
    <row r="961">
      <c r="A961" s="5" t="inlineStr">
        <is>
          <t>Apoyo democracia</t>
        </is>
      </c>
      <c r="B961" s="5" t="inlineStr">
        <is>
          <t>Guatemala</t>
        </is>
      </c>
      <c r="C961" s="5" t="n">
        <v>2011</v>
      </c>
      <c r="D961" s="5" t="inlineStr">
        <is>
          <t>Democracia</t>
        </is>
      </c>
      <c r="E961" s="6" t="n">
        <v>0.36</v>
      </c>
      <c r="F961" s="7" t="n">
        <v>1000</v>
      </c>
    </row>
    <row r="962">
      <c r="A962" s="5" t="inlineStr">
        <is>
          <t>Apoyo democracia</t>
        </is>
      </c>
      <c r="B962" s="5" t="inlineStr">
        <is>
          <t>Guatemala</t>
        </is>
      </c>
      <c r="C962" s="5" t="n">
        <v>2011</v>
      </c>
      <c r="D962" s="5" t="inlineStr">
        <is>
          <t>Gobierno Autoritario</t>
        </is>
      </c>
      <c r="E962" s="6" t="n">
        <v>0.219</v>
      </c>
      <c r="F962" s="7" t="n">
        <v>1000</v>
      </c>
    </row>
    <row r="963">
      <c r="A963" s="5" t="inlineStr">
        <is>
          <t>Apoyo democracia</t>
        </is>
      </c>
      <c r="B963" s="5" t="inlineStr">
        <is>
          <t>Guatemala</t>
        </is>
      </c>
      <c r="C963" s="5" t="n">
        <v>2011</v>
      </c>
      <c r="D963" s="5" t="inlineStr">
        <is>
          <t>Da lo mismo</t>
        </is>
      </c>
      <c r="E963" s="6" t="n">
        <v>0.308</v>
      </c>
      <c r="F963" s="7" t="n">
        <v>1000</v>
      </c>
    </row>
    <row r="964">
      <c r="A964" s="5" t="inlineStr">
        <is>
          <t>Apoyo democracia</t>
        </is>
      </c>
      <c r="B964" s="5" t="inlineStr">
        <is>
          <t>Guatemala</t>
        </is>
      </c>
      <c r="C964" s="5" t="n">
        <v>2011</v>
      </c>
      <c r="D964" s="5" t="inlineStr">
        <is>
          <t>No sabe</t>
        </is>
      </c>
      <c r="E964" s="6" t="n">
        <v>0.102</v>
      </c>
      <c r="F964" s="7" t="n">
        <v>1000</v>
      </c>
    </row>
    <row r="965">
      <c r="A965" s="5" t="inlineStr">
        <is>
          <t>Apoyo democracia</t>
        </is>
      </c>
      <c r="B965" s="5" t="inlineStr">
        <is>
          <t>Guatemala</t>
        </is>
      </c>
      <c r="C965" s="5" t="n">
        <v>2011</v>
      </c>
      <c r="D965" s="5" t="inlineStr">
        <is>
          <t>No contesta</t>
        </is>
      </c>
      <c r="E965" s="6" t="n">
        <v>0.01</v>
      </c>
      <c r="F965" s="7" t="n">
        <v>1000</v>
      </c>
    </row>
    <row r="966">
      <c r="A966" s="5" t="inlineStr">
        <is>
          <t>Apoyo democracia</t>
        </is>
      </c>
      <c r="B966" s="5" t="inlineStr">
        <is>
          <t>Guatemala</t>
        </is>
      </c>
      <c r="C966" s="5" t="n">
        <v>2016</v>
      </c>
      <c r="D966" s="5" t="inlineStr">
        <is>
          <t>Democracia</t>
        </is>
      </c>
      <c r="E966" s="6" t="n">
        <v>0.315</v>
      </c>
      <c r="F966" s="7" t="n">
        <v>1000</v>
      </c>
    </row>
    <row r="967">
      <c r="A967" s="5" t="inlineStr">
        <is>
          <t>Apoyo democracia</t>
        </is>
      </c>
      <c r="B967" s="5" t="inlineStr">
        <is>
          <t>Guatemala</t>
        </is>
      </c>
      <c r="C967" s="5" t="n">
        <v>2016</v>
      </c>
      <c r="D967" s="5" t="inlineStr">
        <is>
          <t>Gobierno Autoritario</t>
        </is>
      </c>
      <c r="E967" s="6" t="n">
        <v>0.168</v>
      </c>
      <c r="F967" s="7" t="n">
        <v>1000</v>
      </c>
    </row>
    <row r="968">
      <c r="A968" s="5" t="inlineStr">
        <is>
          <t>Apoyo democracia</t>
        </is>
      </c>
      <c r="B968" s="5" t="inlineStr">
        <is>
          <t>Guatemala</t>
        </is>
      </c>
      <c r="C968" s="5" t="n">
        <v>2016</v>
      </c>
      <c r="D968" s="5" t="inlineStr">
        <is>
          <t>Da lo mismo</t>
        </is>
      </c>
      <c r="E968" s="6" t="n">
        <v>0.306</v>
      </c>
      <c r="F968" s="7" t="n">
        <v>1000</v>
      </c>
    </row>
    <row r="969">
      <c r="A969" s="5" t="inlineStr">
        <is>
          <t>Apoyo democracia</t>
        </is>
      </c>
      <c r="B969" s="5" t="inlineStr">
        <is>
          <t>Guatemala</t>
        </is>
      </c>
      <c r="C969" s="5" t="n">
        <v>2016</v>
      </c>
      <c r="D969" s="5" t="inlineStr">
        <is>
          <t>No sabe</t>
        </is>
      </c>
      <c r="E969" s="6" t="n">
        <v>0.207</v>
      </c>
      <c r="F969" s="7" t="n">
        <v>1000</v>
      </c>
    </row>
    <row r="970">
      <c r="A970" s="5" t="inlineStr">
        <is>
          <t>Apoyo democracia</t>
        </is>
      </c>
      <c r="B970" s="5" t="inlineStr">
        <is>
          <t>Guatemala</t>
        </is>
      </c>
      <c r="C970" s="5" t="n">
        <v>2016</v>
      </c>
      <c r="D970" s="5" t="inlineStr">
        <is>
          <t>No contesta</t>
        </is>
      </c>
      <c r="E970" s="6" t="n">
        <v>0.004</v>
      </c>
      <c r="F970" s="7" t="n">
        <v>1000</v>
      </c>
    </row>
    <row r="971">
      <c r="A971" s="5" t="inlineStr">
        <is>
          <t>Apoyo democracia</t>
        </is>
      </c>
      <c r="B971" s="5" t="inlineStr">
        <is>
          <t>Guatemala</t>
        </is>
      </c>
      <c r="C971" s="5" t="n">
        <v>2017</v>
      </c>
      <c r="D971" s="5" t="inlineStr">
        <is>
          <t>Democracia</t>
        </is>
      </c>
      <c r="E971" s="6" t="n">
        <v>0.364</v>
      </c>
      <c r="F971" s="7" t="n">
        <v>1000</v>
      </c>
    </row>
    <row r="972">
      <c r="A972" s="5" t="inlineStr">
        <is>
          <t>Apoyo democracia</t>
        </is>
      </c>
      <c r="B972" s="5" t="inlineStr">
        <is>
          <t>Guatemala</t>
        </is>
      </c>
      <c r="C972" s="5" t="n">
        <v>2017</v>
      </c>
      <c r="D972" s="5" t="inlineStr">
        <is>
          <t>Gobierno Autoritario</t>
        </is>
      </c>
      <c r="E972" s="6" t="n">
        <v>0.187</v>
      </c>
      <c r="F972" s="7" t="n">
        <v>1000</v>
      </c>
    </row>
    <row r="973">
      <c r="A973" s="5" t="inlineStr">
        <is>
          <t>Apoyo democracia</t>
        </is>
      </c>
      <c r="B973" s="5" t="inlineStr">
        <is>
          <t>Guatemala</t>
        </is>
      </c>
      <c r="C973" s="5" t="n">
        <v>2017</v>
      </c>
      <c r="D973" s="5" t="inlineStr">
        <is>
          <t>Da lo mismo</t>
        </is>
      </c>
      <c r="E973" s="6" t="n">
        <v>0.294</v>
      </c>
      <c r="F973" s="7" t="n">
        <v>1000</v>
      </c>
    </row>
    <row r="974">
      <c r="A974" s="5" t="inlineStr">
        <is>
          <t>Apoyo democracia</t>
        </is>
      </c>
      <c r="B974" s="5" t="inlineStr">
        <is>
          <t>Guatemala</t>
        </is>
      </c>
      <c r="C974" s="5" t="n">
        <v>2017</v>
      </c>
      <c r="D974" s="5" t="inlineStr">
        <is>
          <t>No sabe</t>
        </is>
      </c>
      <c r="E974" s="6" t="n">
        <v>0.146</v>
      </c>
      <c r="F974" s="7" t="n">
        <v>1000</v>
      </c>
    </row>
    <row r="975">
      <c r="A975" s="5" t="inlineStr">
        <is>
          <t>Apoyo democracia</t>
        </is>
      </c>
      <c r="B975" s="5" t="inlineStr">
        <is>
          <t>Guatemala</t>
        </is>
      </c>
      <c r="C975" s="5" t="n">
        <v>2017</v>
      </c>
      <c r="D975" s="5" t="inlineStr">
        <is>
          <t>No contesta</t>
        </is>
      </c>
      <c r="E975" s="6" t="n">
        <v>0.009000000000000001</v>
      </c>
      <c r="F975" s="7" t="n">
        <v>1000</v>
      </c>
    </row>
    <row r="976">
      <c r="A976" s="5" t="inlineStr">
        <is>
          <t>Apoyo democracia</t>
        </is>
      </c>
      <c r="B976" s="5" t="inlineStr">
        <is>
          <t>Guatemala</t>
        </is>
      </c>
      <c r="C976" s="5" t="n">
        <v>2018</v>
      </c>
      <c r="D976" s="5" t="inlineStr">
        <is>
          <t>Democracia</t>
        </is>
      </c>
      <c r="E976" s="6" t="n">
        <v>0.279</v>
      </c>
      <c r="F976" s="7" t="n">
        <v>1000</v>
      </c>
    </row>
    <row r="977">
      <c r="A977" s="5" t="inlineStr">
        <is>
          <t>Apoyo democracia</t>
        </is>
      </c>
      <c r="B977" s="5" t="inlineStr">
        <is>
          <t>Guatemala</t>
        </is>
      </c>
      <c r="C977" s="5" t="n">
        <v>2018</v>
      </c>
      <c r="D977" s="5" t="inlineStr">
        <is>
          <t>Gobierno Autoritario</t>
        </is>
      </c>
      <c r="E977" s="6" t="n">
        <v>0.198</v>
      </c>
      <c r="F977" s="7" t="n">
        <v>1000</v>
      </c>
    </row>
    <row r="978">
      <c r="A978" s="5" t="inlineStr">
        <is>
          <t>Apoyo democracia</t>
        </is>
      </c>
      <c r="B978" s="5" t="inlineStr">
        <is>
          <t>Guatemala</t>
        </is>
      </c>
      <c r="C978" s="5" t="n">
        <v>2018</v>
      </c>
      <c r="D978" s="5" t="inlineStr">
        <is>
          <t>Da lo mismo</t>
        </is>
      </c>
      <c r="E978" s="6" t="n">
        <v>0.34</v>
      </c>
      <c r="F978" s="7" t="n">
        <v>1000</v>
      </c>
    </row>
    <row r="979">
      <c r="A979" s="5" t="inlineStr">
        <is>
          <t>Apoyo democracia</t>
        </is>
      </c>
      <c r="B979" s="5" t="inlineStr">
        <is>
          <t>Guatemala</t>
        </is>
      </c>
      <c r="C979" s="5" t="n">
        <v>2018</v>
      </c>
      <c r="D979" s="5" t="inlineStr">
        <is>
          <t>No sabe</t>
        </is>
      </c>
      <c r="E979" s="6" t="n">
        <v>0.168</v>
      </c>
      <c r="F979" s="7" t="n">
        <v>1000</v>
      </c>
    </row>
    <row r="980">
      <c r="A980" s="5" t="inlineStr">
        <is>
          <t>Apoyo democracia</t>
        </is>
      </c>
      <c r="B980" s="5" t="inlineStr">
        <is>
          <t>Guatemala</t>
        </is>
      </c>
      <c r="C980" s="5" t="n">
        <v>2018</v>
      </c>
      <c r="D980" s="5" t="inlineStr">
        <is>
          <t>No contesta</t>
        </is>
      </c>
      <c r="E980" s="6" t="n">
        <v>0.015</v>
      </c>
      <c r="F980" s="7" t="n">
        <v>1000</v>
      </c>
    </row>
    <row r="981">
      <c r="A981" s="5" t="inlineStr">
        <is>
          <t>Apoyo democracia</t>
        </is>
      </c>
      <c r="B981" s="5" t="inlineStr">
        <is>
          <t>Guatemala</t>
        </is>
      </c>
      <c r="C981" s="5" t="n">
        <v>2020</v>
      </c>
      <c r="D981" s="5" t="inlineStr">
        <is>
          <t>Democracia</t>
        </is>
      </c>
      <c r="E981" s="6" t="n">
        <v>0.371</v>
      </c>
      <c r="F981" s="7" t="n">
        <v>1000</v>
      </c>
    </row>
    <row r="982">
      <c r="A982" s="5" t="inlineStr">
        <is>
          <t>Apoyo democracia</t>
        </is>
      </c>
      <c r="B982" s="5" t="inlineStr">
        <is>
          <t>Guatemala</t>
        </is>
      </c>
      <c r="C982" s="5" t="n">
        <v>2020</v>
      </c>
      <c r="D982" s="5" t="inlineStr">
        <is>
          <t>Gobierno Autoritario</t>
        </is>
      </c>
      <c r="E982" s="6" t="n">
        <v>0.144</v>
      </c>
      <c r="F982" s="7" t="n">
        <v>1000</v>
      </c>
    </row>
    <row r="983">
      <c r="A983" s="5" t="inlineStr">
        <is>
          <t>Apoyo democracia</t>
        </is>
      </c>
      <c r="B983" s="5" t="inlineStr">
        <is>
          <t>Guatemala</t>
        </is>
      </c>
      <c r="C983" s="5" t="n">
        <v>2020</v>
      </c>
      <c r="D983" s="5" t="inlineStr">
        <is>
          <t>Da lo mismo</t>
        </is>
      </c>
      <c r="E983" s="6" t="n">
        <v>0.307</v>
      </c>
      <c r="F983" s="7" t="n">
        <v>1000</v>
      </c>
    </row>
    <row r="984">
      <c r="A984" s="5" t="inlineStr">
        <is>
          <t>Apoyo democracia</t>
        </is>
      </c>
      <c r="B984" s="5" t="inlineStr">
        <is>
          <t>Guatemala</t>
        </is>
      </c>
      <c r="C984" s="5" t="n">
        <v>2020</v>
      </c>
      <c r="D984" s="5" t="inlineStr">
        <is>
          <t>No sabe</t>
        </is>
      </c>
      <c r="E984" s="6" t="n">
        <v>0.159</v>
      </c>
      <c r="F984" s="7" t="n">
        <v>1000</v>
      </c>
    </row>
    <row r="985">
      <c r="A985" s="5" t="inlineStr">
        <is>
          <t>Apoyo democracia</t>
        </is>
      </c>
      <c r="B985" s="5" t="inlineStr">
        <is>
          <t>Guatemala</t>
        </is>
      </c>
      <c r="C985" s="5" t="n">
        <v>2020</v>
      </c>
      <c r="D985" s="5" t="inlineStr">
        <is>
          <t>No contesta</t>
        </is>
      </c>
      <c r="E985" s="6" t="n">
        <v>0.019</v>
      </c>
      <c r="F985" s="7" t="n">
        <v>1000</v>
      </c>
    </row>
    <row r="986">
      <c r="A986" s="5" t="inlineStr">
        <is>
          <t>Apoyo democracia</t>
        </is>
      </c>
      <c r="B986" s="5" t="inlineStr">
        <is>
          <t>Guatemala</t>
        </is>
      </c>
      <c r="C986" s="5" t="n">
        <v>2024</v>
      </c>
      <c r="D986" s="5" t="inlineStr">
        <is>
          <t>Democracia</t>
        </is>
      </c>
      <c r="E986" s="6" t="n">
        <v>0.345</v>
      </c>
      <c r="F986" s="7" t="n">
        <v>1000</v>
      </c>
    </row>
    <row r="987">
      <c r="A987" s="5" t="inlineStr">
        <is>
          <t>Apoyo democracia</t>
        </is>
      </c>
      <c r="B987" s="5" t="inlineStr">
        <is>
          <t>Guatemala</t>
        </is>
      </c>
      <c r="C987" s="5" t="n">
        <v>2024</v>
      </c>
      <c r="D987" s="5" t="inlineStr">
        <is>
          <t>Gobierno Autoritario</t>
        </is>
      </c>
      <c r="E987" s="6" t="n">
        <v>0.188</v>
      </c>
      <c r="F987" s="7" t="n">
        <v>1000</v>
      </c>
    </row>
    <row r="988">
      <c r="A988" s="5" t="inlineStr">
        <is>
          <t>Apoyo democracia</t>
        </is>
      </c>
      <c r="B988" s="5" t="inlineStr">
        <is>
          <t>Guatemala</t>
        </is>
      </c>
      <c r="C988" s="5" t="n">
        <v>2024</v>
      </c>
      <c r="D988" s="5" t="inlineStr">
        <is>
          <t>Da lo mismo</t>
        </is>
      </c>
      <c r="E988" s="6" t="n">
        <v>0.326</v>
      </c>
      <c r="F988" s="7" t="n">
        <v>1000</v>
      </c>
    </row>
    <row r="989">
      <c r="A989" s="5" t="inlineStr">
        <is>
          <t>Apoyo democracia</t>
        </is>
      </c>
      <c r="B989" s="5" t="inlineStr">
        <is>
          <t>Guatemala</t>
        </is>
      </c>
      <c r="C989" s="5" t="n">
        <v>2024</v>
      </c>
      <c r="D989" s="5" t="inlineStr">
        <is>
          <t>No sabe</t>
        </is>
      </c>
      <c r="E989" s="6" t="n">
        <v>0.125</v>
      </c>
      <c r="F989" s="7" t="n">
        <v>1000</v>
      </c>
    </row>
    <row r="990">
      <c r="A990" s="5" t="inlineStr">
        <is>
          <t>Apoyo democracia</t>
        </is>
      </c>
      <c r="B990" s="5" t="inlineStr">
        <is>
          <t>Guatemala</t>
        </is>
      </c>
      <c r="C990" s="5" t="n">
        <v>2024</v>
      </c>
      <c r="D990" s="5" t="inlineStr">
        <is>
          <t>No contesta</t>
        </is>
      </c>
      <c r="E990" s="6" t="n">
        <v>0.016</v>
      </c>
      <c r="F990" s="7" t="n">
        <v>1000</v>
      </c>
    </row>
    <row r="991">
      <c r="A991" s="5" t="inlineStr">
        <is>
          <t>Apoyo democracia</t>
        </is>
      </c>
      <c r="B991" s="5" t="inlineStr">
        <is>
          <t>Honduras</t>
        </is>
      </c>
      <c r="C991" s="5" t="n">
        <v>1996</v>
      </c>
      <c r="D991" s="5" t="inlineStr">
        <is>
          <t>Democracia</t>
        </is>
      </c>
      <c r="E991" s="6" t="n">
        <v>0.423</v>
      </c>
      <c r="F991" s="7" t="n">
        <v>998</v>
      </c>
    </row>
    <row r="992">
      <c r="A992" s="5" t="inlineStr">
        <is>
          <t>Apoyo democracia</t>
        </is>
      </c>
      <c r="B992" s="5" t="inlineStr">
        <is>
          <t>Honduras</t>
        </is>
      </c>
      <c r="C992" s="5" t="n">
        <v>1996</v>
      </c>
      <c r="D992" s="5" t="inlineStr">
        <is>
          <t>Gobierno Autoritario</t>
        </is>
      </c>
      <c r="E992" s="6" t="n">
        <v>0.144</v>
      </c>
      <c r="F992" s="7" t="n">
        <v>998</v>
      </c>
    </row>
    <row r="993">
      <c r="A993" s="5" t="inlineStr">
        <is>
          <t>Apoyo democracia</t>
        </is>
      </c>
      <c r="B993" s="5" t="inlineStr">
        <is>
          <t>Honduras</t>
        </is>
      </c>
      <c r="C993" s="5" t="n">
        <v>1996</v>
      </c>
      <c r="D993" s="5" t="inlineStr">
        <is>
          <t>Da lo mismo</t>
        </is>
      </c>
      <c r="E993" s="6" t="n">
        <v>0.292</v>
      </c>
      <c r="F993" s="7" t="n">
        <v>998</v>
      </c>
    </row>
    <row r="994">
      <c r="A994" s="5" t="inlineStr">
        <is>
          <t>Apoyo democracia</t>
        </is>
      </c>
      <c r="B994" s="5" t="inlineStr">
        <is>
          <t>Honduras</t>
        </is>
      </c>
      <c r="C994" s="5" t="n">
        <v>1996</v>
      </c>
      <c r="D994" s="5" t="inlineStr">
        <is>
          <t>No sabe</t>
        </is>
      </c>
      <c r="E994" s="6" t="n">
        <v>0.107</v>
      </c>
      <c r="F994" s="7" t="n">
        <v>998</v>
      </c>
    </row>
    <row r="995">
      <c r="A995" s="5" t="inlineStr">
        <is>
          <t>Apoyo democracia</t>
        </is>
      </c>
      <c r="B995" s="5" t="inlineStr">
        <is>
          <t>Honduras</t>
        </is>
      </c>
      <c r="C995" s="5" t="n">
        <v>1996</v>
      </c>
      <c r="D995" s="5" t="inlineStr">
        <is>
          <t>No contesta</t>
        </is>
      </c>
      <c r="E995" s="6" t="n">
        <v>0.034</v>
      </c>
      <c r="F995" s="7" t="n">
        <v>998</v>
      </c>
    </row>
    <row r="996">
      <c r="A996" s="5" t="inlineStr">
        <is>
          <t>Apoyo democracia</t>
        </is>
      </c>
      <c r="B996" s="5" t="inlineStr">
        <is>
          <t>Honduras</t>
        </is>
      </c>
      <c r="C996" s="5" t="n">
        <v>1997</v>
      </c>
      <c r="D996" s="5" t="inlineStr">
        <is>
          <t>Democracia</t>
        </is>
      </c>
      <c r="E996" s="6" t="n">
        <v>0.633</v>
      </c>
      <c r="F996" s="7" t="n">
        <v>1011</v>
      </c>
    </row>
    <row r="997">
      <c r="A997" s="5" t="inlineStr">
        <is>
          <t>Apoyo democracia</t>
        </is>
      </c>
      <c r="B997" s="5" t="inlineStr">
        <is>
          <t>Honduras</t>
        </is>
      </c>
      <c r="C997" s="5" t="n">
        <v>1997</v>
      </c>
      <c r="D997" s="5" t="inlineStr">
        <is>
          <t>Gobierno Autoritario</t>
        </is>
      </c>
      <c r="E997" s="6" t="n">
        <v>0.166</v>
      </c>
      <c r="F997" s="7" t="n">
        <v>1011</v>
      </c>
    </row>
    <row r="998">
      <c r="A998" s="5" t="inlineStr">
        <is>
          <t>Apoyo democracia</t>
        </is>
      </c>
      <c r="B998" s="5" t="inlineStr">
        <is>
          <t>Honduras</t>
        </is>
      </c>
      <c r="C998" s="5" t="n">
        <v>1997</v>
      </c>
      <c r="D998" s="5" t="inlineStr">
        <is>
          <t>Da lo mismo</t>
        </is>
      </c>
      <c r="E998" s="6" t="n">
        <v>0.156</v>
      </c>
      <c r="F998" s="7" t="n">
        <v>1011</v>
      </c>
    </row>
    <row r="999">
      <c r="A999" s="5" t="inlineStr">
        <is>
          <t>Apoyo democracia</t>
        </is>
      </c>
      <c r="B999" s="5" t="inlineStr">
        <is>
          <t>Honduras</t>
        </is>
      </c>
      <c r="C999" s="5" t="n">
        <v>1997</v>
      </c>
      <c r="D999" s="5" t="inlineStr">
        <is>
          <t>No sabe</t>
        </is>
      </c>
      <c r="E999" s="6" t="n">
        <v>0.03700000000000001</v>
      </c>
      <c r="F999" s="7" t="n">
        <v>1011</v>
      </c>
    </row>
    <row r="1000">
      <c r="A1000" s="5" t="inlineStr">
        <is>
          <t>Apoyo democracia</t>
        </is>
      </c>
      <c r="B1000" s="5" t="inlineStr">
        <is>
          <t>Honduras</t>
        </is>
      </c>
      <c r="C1000" s="5" t="n">
        <v>1997</v>
      </c>
      <c r="D1000" s="5" t="inlineStr">
        <is>
          <t>No contesta</t>
        </is>
      </c>
      <c r="E1000" s="6" t="n">
        <v>0.008</v>
      </c>
      <c r="F1000" s="7" t="n">
        <v>1011</v>
      </c>
    </row>
    <row r="1001">
      <c r="A1001" s="5" t="inlineStr">
        <is>
          <t>Apoyo democracia</t>
        </is>
      </c>
      <c r="B1001" s="5" t="inlineStr">
        <is>
          <t>Honduras</t>
        </is>
      </c>
      <c r="C1001" s="5" t="n">
        <v>1998</v>
      </c>
      <c r="D1001" s="5" t="inlineStr">
        <is>
          <t>Democracia</t>
        </is>
      </c>
      <c r="E1001" s="6" t="n">
        <v>0.5660000000000001</v>
      </c>
      <c r="F1001" s="7" t="n">
        <v>1000</v>
      </c>
    </row>
    <row r="1002">
      <c r="A1002" s="5" t="inlineStr">
        <is>
          <t>Apoyo democracia</t>
        </is>
      </c>
      <c r="B1002" s="5" t="inlineStr">
        <is>
          <t>Honduras</t>
        </is>
      </c>
      <c r="C1002" s="5" t="n">
        <v>1998</v>
      </c>
      <c r="D1002" s="5" t="inlineStr">
        <is>
          <t>Gobierno Autoritario</t>
        </is>
      </c>
      <c r="E1002" s="6" t="n">
        <v>0.09300000000000001</v>
      </c>
      <c r="F1002" s="7" t="n">
        <v>1000</v>
      </c>
    </row>
    <row r="1003">
      <c r="A1003" s="5" t="inlineStr">
        <is>
          <t>Apoyo democracia</t>
        </is>
      </c>
      <c r="B1003" s="5" t="inlineStr">
        <is>
          <t>Honduras</t>
        </is>
      </c>
      <c r="C1003" s="5" t="n">
        <v>1998</v>
      </c>
      <c r="D1003" s="5" t="inlineStr">
        <is>
          <t>Da lo mismo</t>
        </is>
      </c>
      <c r="E1003" s="6" t="n">
        <v>0.208</v>
      </c>
      <c r="F1003" s="7" t="n">
        <v>1000</v>
      </c>
    </row>
    <row r="1004">
      <c r="A1004" s="5" t="inlineStr">
        <is>
          <t>Apoyo democracia</t>
        </is>
      </c>
      <c r="B1004" s="5" t="inlineStr">
        <is>
          <t>Honduras</t>
        </is>
      </c>
      <c r="C1004" s="5" t="n">
        <v>1998</v>
      </c>
      <c r="D1004" s="5" t="inlineStr">
        <is>
          <t>No sabe</t>
        </is>
      </c>
      <c r="E1004" s="6" t="n">
        <v>0.103</v>
      </c>
      <c r="F1004" s="7" t="n">
        <v>1000</v>
      </c>
    </row>
    <row r="1005">
      <c r="A1005" s="5" t="inlineStr">
        <is>
          <t>Apoyo democracia</t>
        </is>
      </c>
      <c r="B1005" s="5" t="inlineStr">
        <is>
          <t>Honduras</t>
        </is>
      </c>
      <c r="C1005" s="5" t="n">
        <v>1998</v>
      </c>
      <c r="D1005" s="5" t="inlineStr">
        <is>
          <t>No contesta</t>
        </is>
      </c>
      <c r="E1005" s="6" t="n">
        <v>0.03</v>
      </c>
      <c r="F1005" s="7" t="n">
        <v>1000</v>
      </c>
    </row>
    <row r="1006">
      <c r="A1006" s="5" t="inlineStr">
        <is>
          <t>Apoyo democracia</t>
        </is>
      </c>
      <c r="B1006" s="5" t="inlineStr">
        <is>
          <t>Honduras</t>
        </is>
      </c>
      <c r="C1006" s="5" t="n">
        <v>2000</v>
      </c>
      <c r="D1006" s="5" t="inlineStr">
        <is>
          <t>Democracia</t>
        </is>
      </c>
      <c r="E1006" s="6" t="n">
        <v>0.642</v>
      </c>
      <c r="F1006" s="7" t="n">
        <v>997</v>
      </c>
    </row>
    <row r="1007">
      <c r="A1007" s="5" t="inlineStr">
        <is>
          <t>Apoyo democracia</t>
        </is>
      </c>
      <c r="B1007" s="5" t="inlineStr">
        <is>
          <t>Honduras</t>
        </is>
      </c>
      <c r="C1007" s="5" t="n">
        <v>2000</v>
      </c>
      <c r="D1007" s="5" t="inlineStr">
        <is>
          <t>Gobierno Autoritario</t>
        </is>
      </c>
      <c r="E1007" s="6" t="n">
        <v>0.153</v>
      </c>
      <c r="F1007" s="7" t="n">
        <v>997</v>
      </c>
    </row>
    <row r="1008">
      <c r="A1008" s="5" t="inlineStr">
        <is>
          <t>Apoyo democracia</t>
        </is>
      </c>
      <c r="B1008" s="5" t="inlineStr">
        <is>
          <t>Honduras</t>
        </is>
      </c>
      <c r="C1008" s="5" t="n">
        <v>2000</v>
      </c>
      <c r="D1008" s="5" t="inlineStr">
        <is>
          <t>Da lo mismo</t>
        </is>
      </c>
      <c r="E1008" s="6" t="n">
        <v>0.127</v>
      </c>
      <c r="F1008" s="7" t="n">
        <v>997</v>
      </c>
    </row>
    <row r="1009">
      <c r="A1009" s="5" t="inlineStr">
        <is>
          <t>Apoyo democracia</t>
        </is>
      </c>
      <c r="B1009" s="5" t="inlineStr">
        <is>
          <t>Honduras</t>
        </is>
      </c>
      <c r="C1009" s="5" t="n">
        <v>2000</v>
      </c>
      <c r="D1009" s="5" t="inlineStr">
        <is>
          <t>No sabe</t>
        </is>
      </c>
      <c r="E1009" s="6" t="n">
        <v>0.07099999999999999</v>
      </c>
      <c r="F1009" s="7" t="n">
        <v>997</v>
      </c>
    </row>
    <row r="1010">
      <c r="A1010" s="5" t="inlineStr">
        <is>
          <t>Apoyo democracia</t>
        </is>
      </c>
      <c r="B1010" s="5" t="inlineStr">
        <is>
          <t>Honduras</t>
        </is>
      </c>
      <c r="C1010" s="5" t="n">
        <v>2000</v>
      </c>
      <c r="D1010" s="5" t="inlineStr">
        <is>
          <t>No contesta</t>
        </is>
      </c>
      <c r="E1010" s="6" t="n">
        <v>0.006</v>
      </c>
      <c r="F1010" s="7" t="n">
        <v>997</v>
      </c>
    </row>
    <row r="1011">
      <c r="A1011" s="5" t="inlineStr">
        <is>
          <t>Apoyo democracia</t>
        </is>
      </c>
      <c r="B1011" s="5" t="inlineStr">
        <is>
          <t>Honduras</t>
        </is>
      </c>
      <c r="C1011" s="5" t="n">
        <v>2001</v>
      </c>
      <c r="D1011" s="5" t="inlineStr">
        <is>
          <t>Democracia</t>
        </is>
      </c>
      <c r="E1011" s="6" t="n">
        <v>0.574</v>
      </c>
      <c r="F1011" s="7" t="n">
        <v>1000</v>
      </c>
    </row>
    <row r="1012">
      <c r="A1012" s="5" t="inlineStr">
        <is>
          <t>Apoyo democracia</t>
        </is>
      </c>
      <c r="B1012" s="5" t="inlineStr">
        <is>
          <t>Honduras</t>
        </is>
      </c>
      <c r="C1012" s="5" t="n">
        <v>2001</v>
      </c>
      <c r="D1012" s="5" t="inlineStr">
        <is>
          <t>Gobierno Autoritario</t>
        </is>
      </c>
      <c r="E1012" s="6" t="n">
        <v>0.08500000000000001</v>
      </c>
      <c r="F1012" s="7" t="n">
        <v>1000</v>
      </c>
    </row>
    <row r="1013">
      <c r="A1013" s="5" t="inlineStr">
        <is>
          <t>Apoyo democracia</t>
        </is>
      </c>
      <c r="B1013" s="5" t="inlineStr">
        <is>
          <t>Honduras</t>
        </is>
      </c>
      <c r="C1013" s="5" t="n">
        <v>2001</v>
      </c>
      <c r="D1013" s="5" t="inlineStr">
        <is>
          <t>Da lo mismo</t>
        </is>
      </c>
      <c r="E1013" s="6" t="n">
        <v>0.213</v>
      </c>
      <c r="F1013" s="7" t="n">
        <v>1000</v>
      </c>
    </row>
    <row r="1014">
      <c r="A1014" s="5" t="inlineStr">
        <is>
          <t>Apoyo democracia</t>
        </is>
      </c>
      <c r="B1014" s="5" t="inlineStr">
        <is>
          <t>Honduras</t>
        </is>
      </c>
      <c r="C1014" s="5" t="n">
        <v>2001</v>
      </c>
      <c r="D1014" s="5" t="inlineStr">
        <is>
          <t>No sabe</t>
        </is>
      </c>
      <c r="E1014" s="6" t="n">
        <v>0.08400000000000001</v>
      </c>
      <c r="F1014" s="7" t="n">
        <v>1000</v>
      </c>
    </row>
    <row r="1015">
      <c r="A1015" s="5" t="inlineStr">
        <is>
          <t>Apoyo democracia</t>
        </is>
      </c>
      <c r="B1015" s="5" t="inlineStr">
        <is>
          <t>Honduras</t>
        </is>
      </c>
      <c r="C1015" s="5" t="n">
        <v>2001</v>
      </c>
      <c r="D1015" s="5" t="inlineStr">
        <is>
          <t>No contesta</t>
        </is>
      </c>
      <c r="E1015" s="6" t="n">
        <v>0.044</v>
      </c>
      <c r="F1015" s="7" t="n">
        <v>1000</v>
      </c>
    </row>
    <row r="1016">
      <c r="A1016" s="5" t="inlineStr">
        <is>
          <t>Apoyo democracia</t>
        </is>
      </c>
      <c r="B1016" s="5" t="inlineStr">
        <is>
          <t>Honduras</t>
        </is>
      </c>
      <c r="C1016" s="5" t="n">
        <v>2002</v>
      </c>
      <c r="D1016" s="5" t="inlineStr">
        <is>
          <t>Democracia</t>
        </is>
      </c>
      <c r="E1016" s="6" t="n">
        <v>0.569</v>
      </c>
      <c r="F1016" s="7" t="n">
        <v>1004</v>
      </c>
    </row>
    <row r="1017">
      <c r="A1017" s="5" t="inlineStr">
        <is>
          <t>Apoyo democracia</t>
        </is>
      </c>
      <c r="B1017" s="5" t="inlineStr">
        <is>
          <t>Honduras</t>
        </is>
      </c>
      <c r="C1017" s="5" t="n">
        <v>2002</v>
      </c>
      <c r="D1017" s="5" t="inlineStr">
        <is>
          <t>Gobierno Autoritario</t>
        </is>
      </c>
      <c r="E1017" s="6" t="n">
        <v>0.143</v>
      </c>
      <c r="F1017" s="7" t="n">
        <v>1004</v>
      </c>
    </row>
    <row r="1018">
      <c r="A1018" s="5" t="inlineStr">
        <is>
          <t>Apoyo democracia</t>
        </is>
      </c>
      <c r="B1018" s="5" t="inlineStr">
        <is>
          <t>Honduras</t>
        </is>
      </c>
      <c r="C1018" s="5" t="n">
        <v>2002</v>
      </c>
      <c r="D1018" s="5" t="inlineStr">
        <is>
          <t>Da lo mismo</t>
        </is>
      </c>
      <c r="E1018" s="6" t="n">
        <v>0.132</v>
      </c>
      <c r="F1018" s="7" t="n">
        <v>1004</v>
      </c>
    </row>
    <row r="1019">
      <c r="A1019" s="5" t="inlineStr">
        <is>
          <t>Apoyo democracia</t>
        </is>
      </c>
      <c r="B1019" s="5" t="inlineStr">
        <is>
          <t>Honduras</t>
        </is>
      </c>
      <c r="C1019" s="5" t="n">
        <v>2002</v>
      </c>
      <c r="D1019" s="5" t="inlineStr">
        <is>
          <t>No sabe</t>
        </is>
      </c>
      <c r="E1019" s="6" t="n">
        <v>0.115</v>
      </c>
      <c r="F1019" s="7" t="n">
        <v>1004</v>
      </c>
    </row>
    <row r="1020">
      <c r="A1020" s="5" t="inlineStr">
        <is>
          <t>Apoyo democracia</t>
        </is>
      </c>
      <c r="B1020" s="5" t="inlineStr">
        <is>
          <t>Honduras</t>
        </is>
      </c>
      <c r="C1020" s="5" t="n">
        <v>2002</v>
      </c>
      <c r="D1020" s="5" t="inlineStr">
        <is>
          <t>No contesta</t>
        </is>
      </c>
      <c r="E1020" s="6" t="n">
        <v>0.04099999999999999</v>
      </c>
      <c r="F1020" s="7" t="n">
        <v>1004</v>
      </c>
    </row>
    <row r="1021">
      <c r="A1021" s="5" t="inlineStr">
        <is>
          <t>Apoyo democracia</t>
        </is>
      </c>
      <c r="B1021" s="5" t="inlineStr">
        <is>
          <t>Honduras</t>
        </is>
      </c>
      <c r="C1021" s="5" t="n">
        <v>2003</v>
      </c>
      <c r="D1021" s="5" t="inlineStr">
        <is>
          <t>Democracia</t>
        </is>
      </c>
      <c r="E1021" s="6" t="n">
        <v>0.547</v>
      </c>
      <c r="F1021" s="7" t="n">
        <v>1006</v>
      </c>
    </row>
    <row r="1022">
      <c r="A1022" s="5" t="inlineStr">
        <is>
          <t>Apoyo democracia</t>
        </is>
      </c>
      <c r="B1022" s="5" t="inlineStr">
        <is>
          <t>Honduras</t>
        </is>
      </c>
      <c r="C1022" s="5" t="n">
        <v>2003</v>
      </c>
      <c r="D1022" s="5" t="inlineStr">
        <is>
          <t>Gobierno Autoritario</t>
        </is>
      </c>
      <c r="E1022" s="6" t="n">
        <v>0.125</v>
      </c>
      <c r="F1022" s="7" t="n">
        <v>1006</v>
      </c>
    </row>
    <row r="1023">
      <c r="A1023" s="5" t="inlineStr">
        <is>
          <t>Apoyo democracia</t>
        </is>
      </c>
      <c r="B1023" s="5" t="inlineStr">
        <is>
          <t>Honduras</t>
        </is>
      </c>
      <c r="C1023" s="5" t="n">
        <v>2003</v>
      </c>
      <c r="D1023" s="5" t="inlineStr">
        <is>
          <t>Da lo mismo</t>
        </is>
      </c>
      <c r="E1023" s="6" t="n">
        <v>0.227</v>
      </c>
      <c r="F1023" s="7" t="n">
        <v>1006</v>
      </c>
    </row>
    <row r="1024">
      <c r="A1024" s="5" t="inlineStr">
        <is>
          <t>Apoyo democracia</t>
        </is>
      </c>
      <c r="B1024" s="5" t="inlineStr">
        <is>
          <t>Honduras</t>
        </is>
      </c>
      <c r="C1024" s="5" t="n">
        <v>2003</v>
      </c>
      <c r="D1024" s="5" t="inlineStr">
        <is>
          <t>No sabe</t>
        </is>
      </c>
      <c r="E1024" s="6" t="n">
        <v>0.076</v>
      </c>
      <c r="F1024" s="7" t="n">
        <v>1006</v>
      </c>
    </row>
    <row r="1025">
      <c r="A1025" s="5" t="inlineStr">
        <is>
          <t>Apoyo democracia</t>
        </is>
      </c>
      <c r="B1025" s="5" t="inlineStr">
        <is>
          <t>Honduras</t>
        </is>
      </c>
      <c r="C1025" s="5" t="n">
        <v>2003</v>
      </c>
      <c r="D1025" s="5" t="inlineStr">
        <is>
          <t>No contesta</t>
        </is>
      </c>
      <c r="E1025" s="6" t="n">
        <v>0.025</v>
      </c>
      <c r="F1025" s="7" t="n">
        <v>1006</v>
      </c>
    </row>
    <row r="1026">
      <c r="A1026" s="5" t="inlineStr">
        <is>
          <t>Apoyo democracia</t>
        </is>
      </c>
      <c r="B1026" s="5" t="inlineStr">
        <is>
          <t>Honduras</t>
        </is>
      </c>
      <c r="C1026" s="5" t="n">
        <v>2004</v>
      </c>
      <c r="D1026" s="5" t="inlineStr">
        <is>
          <t>Democracia</t>
        </is>
      </c>
      <c r="E1026" s="6" t="n">
        <v>0.458</v>
      </c>
      <c r="F1026" s="7" t="n">
        <v>1000</v>
      </c>
    </row>
    <row r="1027">
      <c r="A1027" s="5" t="inlineStr">
        <is>
          <t>Apoyo democracia</t>
        </is>
      </c>
      <c r="B1027" s="5" t="inlineStr">
        <is>
          <t>Honduras</t>
        </is>
      </c>
      <c r="C1027" s="5" t="n">
        <v>2004</v>
      </c>
      <c r="D1027" s="5" t="inlineStr">
        <is>
          <t>Gobierno Autoritario</t>
        </is>
      </c>
      <c r="E1027" s="6" t="n">
        <v>0.109</v>
      </c>
      <c r="F1027" s="7" t="n">
        <v>1000</v>
      </c>
    </row>
    <row r="1028">
      <c r="A1028" s="5" t="inlineStr">
        <is>
          <t>Apoyo democracia</t>
        </is>
      </c>
      <c r="B1028" s="5" t="inlineStr">
        <is>
          <t>Honduras</t>
        </is>
      </c>
      <c r="C1028" s="5" t="n">
        <v>2004</v>
      </c>
      <c r="D1028" s="5" t="inlineStr">
        <is>
          <t>Da lo mismo</t>
        </is>
      </c>
      <c r="E1028" s="6" t="n">
        <v>0.319</v>
      </c>
      <c r="F1028" s="7" t="n">
        <v>1000</v>
      </c>
    </row>
    <row r="1029">
      <c r="A1029" s="5" t="inlineStr">
        <is>
          <t>Apoyo democracia</t>
        </is>
      </c>
      <c r="B1029" s="5" t="inlineStr">
        <is>
          <t>Honduras</t>
        </is>
      </c>
      <c r="C1029" s="5" t="n">
        <v>2004</v>
      </c>
      <c r="D1029" s="5" t="inlineStr">
        <is>
          <t>No sabe</t>
        </is>
      </c>
      <c r="E1029" s="6" t="n">
        <v>0.08900000000000001</v>
      </c>
      <c r="F1029" s="7" t="n">
        <v>1000</v>
      </c>
    </row>
    <row r="1030">
      <c r="A1030" s="5" t="inlineStr">
        <is>
          <t>Apoyo democracia</t>
        </is>
      </c>
      <c r="B1030" s="5" t="inlineStr">
        <is>
          <t>Honduras</t>
        </is>
      </c>
      <c r="C1030" s="5" t="n">
        <v>2004</v>
      </c>
      <c r="D1030" s="5" t="inlineStr">
        <is>
          <t>No contesta</t>
        </is>
      </c>
      <c r="E1030" s="6" t="n">
        <v>0.024</v>
      </c>
      <c r="F1030" s="7" t="n">
        <v>1000</v>
      </c>
    </row>
    <row r="1031">
      <c r="A1031" s="5" t="inlineStr">
        <is>
          <t>Apoyo democracia</t>
        </is>
      </c>
      <c r="B1031" s="5" t="inlineStr">
        <is>
          <t>Honduras</t>
        </is>
      </c>
      <c r="C1031" s="5" t="n">
        <v>2005</v>
      </c>
      <c r="D1031" s="5" t="inlineStr">
        <is>
          <t>Democracia</t>
        </is>
      </c>
      <c r="E1031" s="6" t="n">
        <v>0.327</v>
      </c>
      <c r="F1031" s="7" t="n">
        <v>1000</v>
      </c>
    </row>
    <row r="1032">
      <c r="A1032" s="5" t="inlineStr">
        <is>
          <t>Apoyo democracia</t>
        </is>
      </c>
      <c r="B1032" s="5" t="inlineStr">
        <is>
          <t>Honduras</t>
        </is>
      </c>
      <c r="C1032" s="5" t="n">
        <v>2005</v>
      </c>
      <c r="D1032" s="5" t="inlineStr">
        <is>
          <t>Gobierno Autoritario</t>
        </is>
      </c>
      <c r="E1032" s="6" t="n">
        <v>0.099</v>
      </c>
      <c r="F1032" s="7" t="n">
        <v>1000</v>
      </c>
    </row>
    <row r="1033">
      <c r="A1033" s="5" t="inlineStr">
        <is>
          <t>Apoyo democracia</t>
        </is>
      </c>
      <c r="B1033" s="5" t="inlineStr">
        <is>
          <t>Honduras</t>
        </is>
      </c>
      <c r="C1033" s="5" t="n">
        <v>2005</v>
      </c>
      <c r="D1033" s="5" t="inlineStr">
        <is>
          <t>Da lo mismo</t>
        </is>
      </c>
      <c r="E1033" s="6" t="n">
        <v>0.192</v>
      </c>
      <c r="F1033" s="7" t="n">
        <v>1000</v>
      </c>
    </row>
    <row r="1034">
      <c r="A1034" s="5" t="inlineStr">
        <is>
          <t>Apoyo democracia</t>
        </is>
      </c>
      <c r="B1034" s="5" t="inlineStr">
        <is>
          <t>Honduras</t>
        </is>
      </c>
      <c r="C1034" s="5" t="n">
        <v>2005</v>
      </c>
      <c r="D1034" s="5" t="inlineStr">
        <is>
          <t>No sabe</t>
        </is>
      </c>
      <c r="E1034" s="6" t="n">
        <v>0.34</v>
      </c>
      <c r="F1034" s="7" t="n">
        <v>1000</v>
      </c>
    </row>
    <row r="1035">
      <c r="A1035" s="5" t="inlineStr">
        <is>
          <t>Apoyo democracia</t>
        </is>
      </c>
      <c r="B1035" s="5" t="inlineStr">
        <is>
          <t>Honduras</t>
        </is>
      </c>
      <c r="C1035" s="5" t="n">
        <v>2005</v>
      </c>
      <c r="D1035" s="5" t="inlineStr">
        <is>
          <t>No contesta</t>
        </is>
      </c>
      <c r="E1035" s="6" t="n">
        <v>0.04099999999999999</v>
      </c>
      <c r="F1035" s="7" t="n">
        <v>1000</v>
      </c>
    </row>
    <row r="1036">
      <c r="A1036" s="5" t="inlineStr">
        <is>
          <t>Apoyo democracia</t>
        </is>
      </c>
      <c r="B1036" s="5" t="inlineStr">
        <is>
          <t>Honduras</t>
        </is>
      </c>
      <c r="C1036" s="5" t="n">
        <v>2006</v>
      </c>
      <c r="D1036" s="5" t="inlineStr">
        <is>
          <t>Democracia</t>
        </is>
      </c>
      <c r="E1036" s="6" t="n">
        <v>0.51</v>
      </c>
      <c r="F1036" s="7" t="n">
        <v>1000</v>
      </c>
    </row>
    <row r="1037">
      <c r="A1037" s="5" t="inlineStr">
        <is>
          <t>Apoyo democracia</t>
        </is>
      </c>
      <c r="B1037" s="5" t="inlineStr">
        <is>
          <t>Honduras</t>
        </is>
      </c>
      <c r="C1037" s="5" t="n">
        <v>2006</v>
      </c>
      <c r="D1037" s="5" t="inlineStr">
        <is>
          <t>Gobierno Autoritario</t>
        </is>
      </c>
      <c r="E1037" s="6" t="n">
        <v>0.117</v>
      </c>
      <c r="F1037" s="7" t="n">
        <v>1000</v>
      </c>
    </row>
    <row r="1038">
      <c r="A1038" s="5" t="inlineStr">
        <is>
          <t>Apoyo democracia</t>
        </is>
      </c>
      <c r="B1038" s="5" t="inlineStr">
        <is>
          <t>Honduras</t>
        </is>
      </c>
      <c r="C1038" s="5" t="n">
        <v>2006</v>
      </c>
      <c r="D1038" s="5" t="inlineStr">
        <is>
          <t>Da lo mismo</t>
        </is>
      </c>
      <c r="E1038" s="6" t="n">
        <v>0.256</v>
      </c>
      <c r="F1038" s="7" t="n">
        <v>1000</v>
      </c>
    </row>
    <row r="1039">
      <c r="A1039" s="5" t="inlineStr">
        <is>
          <t>Apoyo democracia</t>
        </is>
      </c>
      <c r="B1039" s="5" t="inlineStr">
        <is>
          <t>Honduras</t>
        </is>
      </c>
      <c r="C1039" s="5" t="n">
        <v>2006</v>
      </c>
      <c r="D1039" s="5" t="inlineStr">
        <is>
          <t>No sabe</t>
        </is>
      </c>
      <c r="E1039" s="6" t="n">
        <v>0.107</v>
      </c>
      <c r="F1039" s="7" t="n">
        <v>1000</v>
      </c>
    </row>
    <row r="1040">
      <c r="A1040" s="5" t="inlineStr">
        <is>
          <t>Apoyo democracia</t>
        </is>
      </c>
      <c r="B1040" s="5" t="inlineStr">
        <is>
          <t>Honduras</t>
        </is>
      </c>
      <c r="C1040" s="5" t="n">
        <v>2006</v>
      </c>
      <c r="D1040" s="5" t="inlineStr">
        <is>
          <t>No contesta</t>
        </is>
      </c>
      <c r="E1040" s="6" t="n">
        <v>0.01</v>
      </c>
      <c r="F1040" s="7" t="n">
        <v>1000</v>
      </c>
    </row>
    <row r="1041">
      <c r="A1041" s="5" t="inlineStr">
        <is>
          <t>Apoyo democracia</t>
        </is>
      </c>
      <c r="B1041" s="5" t="inlineStr">
        <is>
          <t>Honduras</t>
        </is>
      </c>
      <c r="C1041" s="5" t="n">
        <v>2007</v>
      </c>
      <c r="D1041" s="5" t="inlineStr">
        <is>
          <t>Democracia</t>
        </is>
      </c>
      <c r="E1041" s="6" t="n">
        <v>0.381</v>
      </c>
      <c r="F1041" s="7" t="n">
        <v>1000</v>
      </c>
    </row>
    <row r="1042">
      <c r="A1042" s="5" t="inlineStr">
        <is>
          <t>Apoyo democracia</t>
        </is>
      </c>
      <c r="B1042" s="5" t="inlineStr">
        <is>
          <t>Honduras</t>
        </is>
      </c>
      <c r="C1042" s="5" t="n">
        <v>2007</v>
      </c>
      <c r="D1042" s="5" t="inlineStr">
        <is>
          <t>Gobierno Autoritario</t>
        </is>
      </c>
      <c r="E1042" s="6" t="n">
        <v>0.17</v>
      </c>
      <c r="F1042" s="7" t="n">
        <v>1000</v>
      </c>
    </row>
    <row r="1043">
      <c r="A1043" s="5" t="inlineStr">
        <is>
          <t>Apoyo democracia</t>
        </is>
      </c>
      <c r="B1043" s="5" t="inlineStr">
        <is>
          <t>Honduras</t>
        </is>
      </c>
      <c r="C1043" s="5" t="n">
        <v>2007</v>
      </c>
      <c r="D1043" s="5" t="inlineStr">
        <is>
          <t>Da lo mismo</t>
        </is>
      </c>
      <c r="E1043" s="6" t="n">
        <v>0.269</v>
      </c>
      <c r="F1043" s="7" t="n">
        <v>1000</v>
      </c>
    </row>
    <row r="1044">
      <c r="A1044" s="5" t="inlineStr">
        <is>
          <t>Apoyo democracia</t>
        </is>
      </c>
      <c r="B1044" s="5" t="inlineStr">
        <is>
          <t>Honduras</t>
        </is>
      </c>
      <c r="C1044" s="5" t="n">
        <v>2007</v>
      </c>
      <c r="D1044" s="5" t="inlineStr">
        <is>
          <t>No sabe</t>
        </is>
      </c>
      <c r="E1044" s="6" t="n">
        <v>0.124</v>
      </c>
      <c r="F1044" s="7" t="n">
        <v>1000</v>
      </c>
    </row>
    <row r="1045">
      <c r="A1045" s="5" t="inlineStr">
        <is>
          <t>Apoyo democracia</t>
        </is>
      </c>
      <c r="B1045" s="5" t="inlineStr">
        <is>
          <t>Honduras</t>
        </is>
      </c>
      <c r="C1045" s="5" t="n">
        <v>2007</v>
      </c>
      <c r="D1045" s="5" t="inlineStr">
        <is>
          <t>No contesta</t>
        </is>
      </c>
      <c r="E1045" s="6" t="n">
        <v>0.055</v>
      </c>
      <c r="F1045" s="7" t="n">
        <v>1000</v>
      </c>
    </row>
    <row r="1046">
      <c r="A1046" s="5" t="inlineStr">
        <is>
          <t>Apoyo democracia</t>
        </is>
      </c>
      <c r="B1046" s="5" t="inlineStr">
        <is>
          <t>Honduras</t>
        </is>
      </c>
      <c r="C1046" s="5" t="n">
        <v>2008</v>
      </c>
      <c r="D1046" s="5" t="inlineStr">
        <is>
          <t>Democracia</t>
        </is>
      </c>
      <c r="E1046" s="6" t="n">
        <v>0.4429999999999999</v>
      </c>
      <c r="F1046" s="7" t="n">
        <v>1000</v>
      </c>
    </row>
    <row r="1047">
      <c r="A1047" s="5" t="inlineStr">
        <is>
          <t>Apoyo democracia</t>
        </is>
      </c>
      <c r="B1047" s="5" t="inlineStr">
        <is>
          <t>Honduras</t>
        </is>
      </c>
      <c r="C1047" s="5" t="n">
        <v>2008</v>
      </c>
      <c r="D1047" s="5" t="inlineStr">
        <is>
          <t>Gobierno Autoritario</t>
        </is>
      </c>
      <c r="E1047" s="6" t="n">
        <v>0.149</v>
      </c>
      <c r="F1047" s="7" t="n">
        <v>1000</v>
      </c>
    </row>
    <row r="1048">
      <c r="A1048" s="5" t="inlineStr">
        <is>
          <t>Apoyo democracia</t>
        </is>
      </c>
      <c r="B1048" s="5" t="inlineStr">
        <is>
          <t>Honduras</t>
        </is>
      </c>
      <c r="C1048" s="5" t="n">
        <v>2008</v>
      </c>
      <c r="D1048" s="5" t="inlineStr">
        <is>
          <t>Da lo mismo</t>
        </is>
      </c>
      <c r="E1048" s="6" t="n">
        <v>0.287</v>
      </c>
      <c r="F1048" s="7" t="n">
        <v>1000</v>
      </c>
    </row>
    <row r="1049">
      <c r="A1049" s="5" t="inlineStr">
        <is>
          <t>Apoyo democracia</t>
        </is>
      </c>
      <c r="B1049" s="5" t="inlineStr">
        <is>
          <t>Honduras</t>
        </is>
      </c>
      <c r="C1049" s="5" t="n">
        <v>2008</v>
      </c>
      <c r="D1049" s="5" t="inlineStr">
        <is>
          <t>No sabe</t>
        </is>
      </c>
      <c r="E1049" s="6" t="n">
        <v>0.102</v>
      </c>
      <c r="F1049" s="7" t="n">
        <v>1000</v>
      </c>
    </row>
    <row r="1050">
      <c r="A1050" s="5" t="inlineStr">
        <is>
          <t>Apoyo democracia</t>
        </is>
      </c>
      <c r="B1050" s="5" t="inlineStr">
        <is>
          <t>Honduras</t>
        </is>
      </c>
      <c r="C1050" s="5" t="n">
        <v>2008</v>
      </c>
      <c r="D1050" s="5" t="inlineStr">
        <is>
          <t>No contesta</t>
        </is>
      </c>
      <c r="E1050" s="6" t="n">
        <v>0.019</v>
      </c>
      <c r="F1050" s="7" t="n">
        <v>1000</v>
      </c>
    </row>
    <row r="1051">
      <c r="A1051" s="5" t="inlineStr">
        <is>
          <t>Apoyo democracia</t>
        </is>
      </c>
      <c r="B1051" s="5" t="inlineStr">
        <is>
          <t>Honduras</t>
        </is>
      </c>
      <c r="C1051" s="5" t="n">
        <v>2009</v>
      </c>
      <c r="D1051" s="5" t="inlineStr">
        <is>
          <t>Democracia</t>
        </is>
      </c>
      <c r="E1051" s="6" t="n">
        <v>0.535</v>
      </c>
      <c r="F1051" s="7" t="n">
        <v>1000</v>
      </c>
    </row>
    <row r="1052">
      <c r="A1052" s="5" t="inlineStr">
        <is>
          <t>Apoyo democracia</t>
        </is>
      </c>
      <c r="B1052" s="5" t="inlineStr">
        <is>
          <t>Honduras</t>
        </is>
      </c>
      <c r="C1052" s="5" t="n">
        <v>2009</v>
      </c>
      <c r="D1052" s="5" t="inlineStr">
        <is>
          <t>Gobierno Autoritario</t>
        </is>
      </c>
      <c r="E1052" s="6" t="n">
        <v>0.116</v>
      </c>
      <c r="F1052" s="7" t="n">
        <v>1000</v>
      </c>
    </row>
    <row r="1053">
      <c r="A1053" s="5" t="inlineStr">
        <is>
          <t>Apoyo democracia</t>
        </is>
      </c>
      <c r="B1053" s="5" t="inlineStr">
        <is>
          <t>Honduras</t>
        </is>
      </c>
      <c r="C1053" s="5" t="n">
        <v>2009</v>
      </c>
      <c r="D1053" s="5" t="inlineStr">
        <is>
          <t>Da lo mismo</t>
        </is>
      </c>
      <c r="E1053" s="6" t="n">
        <v>0.215</v>
      </c>
      <c r="F1053" s="7" t="n">
        <v>1000</v>
      </c>
    </row>
    <row r="1054">
      <c r="A1054" s="5" t="inlineStr">
        <is>
          <t>Apoyo democracia</t>
        </is>
      </c>
      <c r="B1054" s="5" t="inlineStr">
        <is>
          <t>Honduras</t>
        </is>
      </c>
      <c r="C1054" s="5" t="n">
        <v>2009</v>
      </c>
      <c r="D1054" s="5" t="inlineStr">
        <is>
          <t>No sabe</t>
        </is>
      </c>
      <c r="E1054" s="6" t="n">
        <v>0.121</v>
      </c>
      <c r="F1054" s="7" t="n">
        <v>1000</v>
      </c>
    </row>
    <row r="1055">
      <c r="A1055" s="5" t="inlineStr">
        <is>
          <t>Apoyo democracia</t>
        </is>
      </c>
      <c r="B1055" s="5" t="inlineStr">
        <is>
          <t>Honduras</t>
        </is>
      </c>
      <c r="C1055" s="5" t="n">
        <v>2009</v>
      </c>
      <c r="D1055" s="5" t="inlineStr">
        <is>
          <t>No contesta</t>
        </is>
      </c>
      <c r="E1055" s="6" t="n">
        <v>0.013</v>
      </c>
      <c r="F1055" s="7" t="n">
        <v>1000</v>
      </c>
    </row>
    <row r="1056">
      <c r="A1056" s="5" t="inlineStr">
        <is>
          <t>Apoyo democracia</t>
        </is>
      </c>
      <c r="B1056" s="5" t="inlineStr">
        <is>
          <t>Honduras</t>
        </is>
      </c>
      <c r="C1056" s="5" t="n">
        <v>2010</v>
      </c>
      <c r="D1056" s="5" t="inlineStr">
        <is>
          <t>Democracia</t>
        </is>
      </c>
      <c r="E1056" s="6" t="n">
        <v>0.526</v>
      </c>
      <c r="F1056" s="7" t="n">
        <v>1000</v>
      </c>
    </row>
    <row r="1057">
      <c r="A1057" s="5" t="inlineStr">
        <is>
          <t>Apoyo democracia</t>
        </is>
      </c>
      <c r="B1057" s="5" t="inlineStr">
        <is>
          <t>Honduras</t>
        </is>
      </c>
      <c r="C1057" s="5" t="n">
        <v>2010</v>
      </c>
      <c r="D1057" s="5" t="inlineStr">
        <is>
          <t>Gobierno Autoritario</t>
        </is>
      </c>
      <c r="E1057" s="6" t="n">
        <v>0.159</v>
      </c>
      <c r="F1057" s="7" t="n">
        <v>1000</v>
      </c>
    </row>
    <row r="1058">
      <c r="A1058" s="5" t="inlineStr">
        <is>
          <t>Apoyo democracia</t>
        </is>
      </c>
      <c r="B1058" s="5" t="inlineStr">
        <is>
          <t>Honduras</t>
        </is>
      </c>
      <c r="C1058" s="5" t="n">
        <v>2010</v>
      </c>
      <c r="D1058" s="5" t="inlineStr">
        <is>
          <t>Da lo mismo</t>
        </is>
      </c>
      <c r="E1058" s="6" t="n">
        <v>0.202</v>
      </c>
      <c r="F1058" s="7" t="n">
        <v>1000</v>
      </c>
    </row>
    <row r="1059">
      <c r="A1059" s="5" t="inlineStr">
        <is>
          <t>Apoyo democracia</t>
        </is>
      </c>
      <c r="B1059" s="5" t="inlineStr">
        <is>
          <t>Honduras</t>
        </is>
      </c>
      <c r="C1059" s="5" t="n">
        <v>2010</v>
      </c>
      <c r="D1059" s="5" t="inlineStr">
        <is>
          <t>No sabe</t>
        </is>
      </c>
      <c r="E1059" s="6" t="n">
        <v>0.076</v>
      </c>
      <c r="F1059" s="7" t="n">
        <v>1000</v>
      </c>
    </row>
    <row r="1060">
      <c r="A1060" s="5" t="inlineStr">
        <is>
          <t>Apoyo democracia</t>
        </is>
      </c>
      <c r="B1060" s="5" t="inlineStr">
        <is>
          <t>Honduras</t>
        </is>
      </c>
      <c r="C1060" s="5" t="n">
        <v>2010</v>
      </c>
      <c r="D1060" s="5" t="inlineStr">
        <is>
          <t>No contesta</t>
        </is>
      </c>
      <c r="E1060" s="6" t="n">
        <v>0.03700000000000001</v>
      </c>
      <c r="F1060" s="7" t="n">
        <v>1000</v>
      </c>
    </row>
    <row r="1061">
      <c r="A1061" s="5" t="inlineStr">
        <is>
          <t>Apoyo democracia</t>
        </is>
      </c>
      <c r="B1061" s="5" t="inlineStr">
        <is>
          <t>Honduras</t>
        </is>
      </c>
      <c r="C1061" s="5" t="n">
        <v>2011</v>
      </c>
      <c r="D1061" s="5" t="inlineStr">
        <is>
          <t>Democracia</t>
        </is>
      </c>
      <c r="E1061" s="6" t="n">
        <v>0.433</v>
      </c>
      <c r="F1061" s="7" t="n">
        <v>1000</v>
      </c>
    </row>
    <row r="1062">
      <c r="A1062" s="5" t="inlineStr">
        <is>
          <t>Apoyo democracia</t>
        </is>
      </c>
      <c r="B1062" s="5" t="inlineStr">
        <is>
          <t>Honduras</t>
        </is>
      </c>
      <c r="C1062" s="5" t="n">
        <v>2011</v>
      </c>
      <c r="D1062" s="5" t="inlineStr">
        <is>
          <t>Gobierno Autoritario</t>
        </is>
      </c>
      <c r="E1062" s="6" t="n">
        <v>0.27</v>
      </c>
      <c r="F1062" s="7" t="n">
        <v>1000</v>
      </c>
    </row>
    <row r="1063">
      <c r="A1063" s="5" t="inlineStr">
        <is>
          <t>Apoyo democracia</t>
        </is>
      </c>
      <c r="B1063" s="5" t="inlineStr">
        <is>
          <t>Honduras</t>
        </is>
      </c>
      <c r="C1063" s="5" t="n">
        <v>2011</v>
      </c>
      <c r="D1063" s="5" t="inlineStr">
        <is>
          <t>Da lo mismo</t>
        </is>
      </c>
      <c r="E1063" s="6" t="n">
        <v>0.232</v>
      </c>
      <c r="F1063" s="7" t="n">
        <v>1000</v>
      </c>
    </row>
    <row r="1064">
      <c r="A1064" s="5" t="inlineStr">
        <is>
          <t>Apoyo democracia</t>
        </is>
      </c>
      <c r="B1064" s="5" t="inlineStr">
        <is>
          <t>Honduras</t>
        </is>
      </c>
      <c r="C1064" s="5" t="n">
        <v>2011</v>
      </c>
      <c r="D1064" s="5" t="inlineStr">
        <is>
          <t>No sabe</t>
        </is>
      </c>
      <c r="E1064" s="6" t="n">
        <v>0.061</v>
      </c>
      <c r="F1064" s="7" t="n">
        <v>1000</v>
      </c>
    </row>
    <row r="1065">
      <c r="A1065" s="5" t="inlineStr">
        <is>
          <t>Apoyo democracia</t>
        </is>
      </c>
      <c r="B1065" s="5" t="inlineStr">
        <is>
          <t>Honduras</t>
        </is>
      </c>
      <c r="C1065" s="5" t="n">
        <v>2011</v>
      </c>
      <c r="D1065" s="5" t="inlineStr">
        <is>
          <t>No contesta</t>
        </is>
      </c>
      <c r="E1065" s="6" t="n">
        <v>0.005</v>
      </c>
      <c r="F1065" s="7" t="n">
        <v>1000</v>
      </c>
    </row>
    <row r="1066">
      <c r="A1066" s="5" t="inlineStr">
        <is>
          <t>Apoyo democracia</t>
        </is>
      </c>
      <c r="B1066" s="5" t="inlineStr">
        <is>
          <t>Honduras</t>
        </is>
      </c>
      <c r="C1066" s="5" t="n">
        <v>2016</v>
      </c>
      <c r="D1066" s="5" t="inlineStr">
        <is>
          <t>Democracia</t>
        </is>
      </c>
      <c r="E1066" s="6" t="n">
        <v>0.421</v>
      </c>
      <c r="F1066" s="7" t="n">
        <v>1000</v>
      </c>
    </row>
    <row r="1067">
      <c r="A1067" s="5" t="inlineStr">
        <is>
          <t>Apoyo democracia</t>
        </is>
      </c>
      <c r="B1067" s="5" t="inlineStr">
        <is>
          <t>Honduras</t>
        </is>
      </c>
      <c r="C1067" s="5" t="n">
        <v>2016</v>
      </c>
      <c r="D1067" s="5" t="inlineStr">
        <is>
          <t>Gobierno Autoritario</t>
        </is>
      </c>
      <c r="E1067" s="6" t="n">
        <v>0.094</v>
      </c>
      <c r="F1067" s="7" t="n">
        <v>1000</v>
      </c>
    </row>
    <row r="1068">
      <c r="A1068" s="5" t="inlineStr">
        <is>
          <t>Apoyo democracia</t>
        </is>
      </c>
      <c r="B1068" s="5" t="inlineStr">
        <is>
          <t>Honduras</t>
        </is>
      </c>
      <c r="C1068" s="5" t="n">
        <v>2016</v>
      </c>
      <c r="D1068" s="5" t="inlineStr">
        <is>
          <t>Da lo mismo</t>
        </is>
      </c>
      <c r="E1068" s="6" t="n">
        <v>0.344</v>
      </c>
      <c r="F1068" s="7" t="n">
        <v>1000</v>
      </c>
    </row>
    <row r="1069">
      <c r="A1069" s="5" t="inlineStr">
        <is>
          <t>Apoyo democracia</t>
        </is>
      </c>
      <c r="B1069" s="5" t="inlineStr">
        <is>
          <t>Honduras</t>
        </is>
      </c>
      <c r="C1069" s="5" t="n">
        <v>2016</v>
      </c>
      <c r="D1069" s="5" t="inlineStr">
        <is>
          <t>No sabe</t>
        </is>
      </c>
      <c r="E1069" s="6" t="n">
        <v>0.131</v>
      </c>
      <c r="F1069" s="7" t="n">
        <v>1000</v>
      </c>
    </row>
    <row r="1070">
      <c r="A1070" s="5" t="inlineStr">
        <is>
          <t>Apoyo democracia</t>
        </is>
      </c>
      <c r="B1070" s="5" t="inlineStr">
        <is>
          <t>Honduras</t>
        </is>
      </c>
      <c r="C1070" s="5" t="n">
        <v>2016</v>
      </c>
      <c r="D1070" s="5" t="inlineStr">
        <is>
          <t>No contesta</t>
        </is>
      </c>
      <c r="E1070" s="6" t="n">
        <v>0.009000000000000001</v>
      </c>
      <c r="F1070" s="7" t="n">
        <v>1000</v>
      </c>
    </row>
    <row r="1071">
      <c r="A1071" s="5" t="inlineStr">
        <is>
          <t>Apoyo democracia</t>
        </is>
      </c>
      <c r="B1071" s="5" t="inlineStr">
        <is>
          <t>Honduras</t>
        </is>
      </c>
      <c r="C1071" s="5" t="n">
        <v>2017</v>
      </c>
      <c r="D1071" s="5" t="inlineStr">
        <is>
          <t>Democracia</t>
        </is>
      </c>
      <c r="E1071" s="6" t="n">
        <v>0.339</v>
      </c>
      <c r="F1071" s="7" t="n">
        <v>1000</v>
      </c>
    </row>
    <row r="1072">
      <c r="A1072" s="5" t="inlineStr">
        <is>
          <t>Apoyo democracia</t>
        </is>
      </c>
      <c r="B1072" s="5" t="inlineStr">
        <is>
          <t>Honduras</t>
        </is>
      </c>
      <c r="C1072" s="5" t="n">
        <v>2017</v>
      </c>
      <c r="D1072" s="5" t="inlineStr">
        <is>
          <t>Gobierno Autoritario</t>
        </is>
      </c>
      <c r="E1072" s="6" t="n">
        <v>0.107</v>
      </c>
      <c r="F1072" s="7" t="n">
        <v>1000</v>
      </c>
    </row>
    <row r="1073">
      <c r="A1073" s="5" t="inlineStr">
        <is>
          <t>Apoyo democracia</t>
        </is>
      </c>
      <c r="B1073" s="5" t="inlineStr">
        <is>
          <t>Honduras</t>
        </is>
      </c>
      <c r="C1073" s="5" t="n">
        <v>2017</v>
      </c>
      <c r="D1073" s="5" t="inlineStr">
        <is>
          <t>Da lo mismo</t>
        </is>
      </c>
      <c r="E1073" s="6" t="n">
        <v>0.41</v>
      </c>
      <c r="F1073" s="7" t="n">
        <v>1000</v>
      </c>
    </row>
    <row r="1074">
      <c r="A1074" s="5" t="inlineStr">
        <is>
          <t>Apoyo democracia</t>
        </is>
      </c>
      <c r="B1074" s="5" t="inlineStr">
        <is>
          <t>Honduras</t>
        </is>
      </c>
      <c r="C1074" s="5" t="n">
        <v>2017</v>
      </c>
      <c r="D1074" s="5" t="inlineStr">
        <is>
          <t>No sabe</t>
        </is>
      </c>
      <c r="E1074" s="6" t="n">
        <v>0.125</v>
      </c>
      <c r="F1074" s="7" t="n">
        <v>1000</v>
      </c>
    </row>
    <row r="1075">
      <c r="A1075" s="5" t="inlineStr">
        <is>
          <t>Apoyo democracia</t>
        </is>
      </c>
      <c r="B1075" s="5" t="inlineStr">
        <is>
          <t>Honduras</t>
        </is>
      </c>
      <c r="C1075" s="5" t="n">
        <v>2017</v>
      </c>
      <c r="D1075" s="5" t="inlineStr">
        <is>
          <t>No contesta</t>
        </is>
      </c>
      <c r="E1075" s="6" t="n">
        <v>0.019</v>
      </c>
      <c r="F1075" s="7" t="n">
        <v>1000</v>
      </c>
    </row>
    <row r="1076">
      <c r="A1076" s="5" t="inlineStr">
        <is>
          <t>Apoyo democracia</t>
        </is>
      </c>
      <c r="B1076" s="5" t="inlineStr">
        <is>
          <t>Honduras</t>
        </is>
      </c>
      <c r="C1076" s="5" t="n">
        <v>2018</v>
      </c>
      <c r="D1076" s="5" t="inlineStr">
        <is>
          <t>Democracia</t>
        </is>
      </c>
      <c r="E1076" s="6" t="n">
        <v>0.345</v>
      </c>
      <c r="F1076" s="7" t="n">
        <v>1000</v>
      </c>
    </row>
    <row r="1077">
      <c r="A1077" s="5" t="inlineStr">
        <is>
          <t>Apoyo democracia</t>
        </is>
      </c>
      <c r="B1077" s="5" t="inlineStr">
        <is>
          <t>Honduras</t>
        </is>
      </c>
      <c r="C1077" s="5" t="n">
        <v>2018</v>
      </c>
      <c r="D1077" s="5" t="inlineStr">
        <is>
          <t>Gobierno Autoritario</t>
        </is>
      </c>
      <c r="E1077" s="6" t="n">
        <v>0.101</v>
      </c>
      <c r="F1077" s="7" t="n">
        <v>1000</v>
      </c>
    </row>
    <row r="1078">
      <c r="A1078" s="5" t="inlineStr">
        <is>
          <t>Apoyo democracia</t>
        </is>
      </c>
      <c r="B1078" s="5" t="inlineStr">
        <is>
          <t>Honduras</t>
        </is>
      </c>
      <c r="C1078" s="5" t="n">
        <v>2018</v>
      </c>
      <c r="D1078" s="5" t="inlineStr">
        <is>
          <t>Da lo mismo</t>
        </is>
      </c>
      <c r="E1078" s="6" t="n">
        <v>0.408</v>
      </c>
      <c r="F1078" s="7" t="n">
        <v>1000</v>
      </c>
    </row>
    <row r="1079">
      <c r="A1079" s="5" t="inlineStr">
        <is>
          <t>Apoyo democracia</t>
        </is>
      </c>
      <c r="B1079" s="5" t="inlineStr">
        <is>
          <t>Honduras</t>
        </is>
      </c>
      <c r="C1079" s="5" t="n">
        <v>2018</v>
      </c>
      <c r="D1079" s="5" t="inlineStr">
        <is>
          <t>No sabe</t>
        </is>
      </c>
      <c r="E1079" s="6" t="n">
        <v>0.128</v>
      </c>
      <c r="F1079" s="7" t="n">
        <v>1000</v>
      </c>
    </row>
    <row r="1080">
      <c r="A1080" s="5" t="inlineStr">
        <is>
          <t>Apoyo democracia</t>
        </is>
      </c>
      <c r="B1080" s="5" t="inlineStr">
        <is>
          <t>Honduras</t>
        </is>
      </c>
      <c r="C1080" s="5" t="n">
        <v>2018</v>
      </c>
      <c r="D1080" s="5" t="inlineStr">
        <is>
          <t>No contesta</t>
        </is>
      </c>
      <c r="E1080" s="6" t="n">
        <v>0.019</v>
      </c>
      <c r="F1080" s="7" t="n">
        <v>1000</v>
      </c>
    </row>
    <row r="1081">
      <c r="A1081" s="5" t="inlineStr">
        <is>
          <t>Apoyo democracia</t>
        </is>
      </c>
      <c r="B1081" s="5" t="inlineStr">
        <is>
          <t>Honduras</t>
        </is>
      </c>
      <c r="C1081" s="5" t="n">
        <v>2020</v>
      </c>
      <c r="D1081" s="5" t="inlineStr">
        <is>
          <t>Democracia</t>
        </is>
      </c>
      <c r="E1081" s="6" t="n">
        <v>0.301</v>
      </c>
      <c r="F1081" s="7" t="n">
        <v>998</v>
      </c>
    </row>
    <row r="1082">
      <c r="A1082" s="5" t="inlineStr">
        <is>
          <t>Apoyo democracia</t>
        </is>
      </c>
      <c r="B1082" s="5" t="inlineStr">
        <is>
          <t>Honduras</t>
        </is>
      </c>
      <c r="C1082" s="5" t="n">
        <v>2020</v>
      </c>
      <c r="D1082" s="5" t="inlineStr">
        <is>
          <t>Gobierno Autoritario</t>
        </is>
      </c>
      <c r="E1082" s="6" t="n">
        <v>0.104</v>
      </c>
      <c r="F1082" s="7" t="n">
        <v>998</v>
      </c>
    </row>
    <row r="1083">
      <c r="A1083" s="5" t="inlineStr">
        <is>
          <t>Apoyo democracia</t>
        </is>
      </c>
      <c r="B1083" s="5" t="inlineStr">
        <is>
          <t>Honduras</t>
        </is>
      </c>
      <c r="C1083" s="5" t="n">
        <v>2020</v>
      </c>
      <c r="D1083" s="5" t="inlineStr">
        <is>
          <t>Da lo mismo</t>
        </is>
      </c>
      <c r="E1083" s="6" t="n">
        <v>0.423</v>
      </c>
      <c r="F1083" s="7" t="n">
        <v>998</v>
      </c>
    </row>
    <row r="1084">
      <c r="A1084" s="5" t="inlineStr">
        <is>
          <t>Apoyo democracia</t>
        </is>
      </c>
      <c r="B1084" s="5" t="inlineStr">
        <is>
          <t>Honduras</t>
        </is>
      </c>
      <c r="C1084" s="5" t="n">
        <v>2020</v>
      </c>
      <c r="D1084" s="5" t="inlineStr">
        <is>
          <t>No sabe</t>
        </is>
      </c>
      <c r="E1084" s="6" t="n">
        <v>0.137</v>
      </c>
      <c r="F1084" s="7" t="n">
        <v>998</v>
      </c>
    </row>
    <row r="1085">
      <c r="A1085" s="5" t="inlineStr">
        <is>
          <t>Apoyo democracia</t>
        </is>
      </c>
      <c r="B1085" s="5" t="inlineStr">
        <is>
          <t>Honduras</t>
        </is>
      </c>
      <c r="C1085" s="5" t="n">
        <v>2020</v>
      </c>
      <c r="D1085" s="5" t="inlineStr">
        <is>
          <t>No contesta</t>
        </is>
      </c>
      <c r="E1085" s="6" t="n">
        <v>0.033</v>
      </c>
      <c r="F1085" s="7" t="n">
        <v>998</v>
      </c>
    </row>
    <row r="1086">
      <c r="A1086" s="5" t="inlineStr">
        <is>
          <t>Apoyo democracia</t>
        </is>
      </c>
      <c r="B1086" s="5" t="inlineStr">
        <is>
          <t>Honduras</t>
        </is>
      </c>
      <c r="C1086" s="5" t="n">
        <v>2024</v>
      </c>
      <c r="D1086" s="5" t="inlineStr">
        <is>
          <t>Democracia</t>
        </is>
      </c>
      <c r="E1086" s="6" t="n">
        <v>0.36</v>
      </c>
      <c r="F1086" s="7" t="n">
        <v>1000</v>
      </c>
    </row>
    <row r="1087">
      <c r="A1087" s="5" t="inlineStr">
        <is>
          <t>Apoyo democracia</t>
        </is>
      </c>
      <c r="B1087" s="5" t="inlineStr">
        <is>
          <t>Honduras</t>
        </is>
      </c>
      <c r="C1087" s="5" t="n">
        <v>2024</v>
      </c>
      <c r="D1087" s="5" t="inlineStr">
        <is>
          <t>Gobierno Autoritario</t>
        </is>
      </c>
      <c r="E1087" s="6" t="n">
        <v>0.119</v>
      </c>
      <c r="F1087" s="7" t="n">
        <v>1000</v>
      </c>
    </row>
    <row r="1088">
      <c r="A1088" s="5" t="inlineStr">
        <is>
          <t>Apoyo democracia</t>
        </is>
      </c>
      <c r="B1088" s="5" t="inlineStr">
        <is>
          <t>Honduras</t>
        </is>
      </c>
      <c r="C1088" s="5" t="n">
        <v>2024</v>
      </c>
      <c r="D1088" s="5" t="inlineStr">
        <is>
          <t>Da lo mismo</t>
        </is>
      </c>
      <c r="E1088" s="6" t="n">
        <v>0.427</v>
      </c>
      <c r="F1088" s="7" t="n">
        <v>1000</v>
      </c>
    </row>
    <row r="1089">
      <c r="A1089" s="5" t="inlineStr">
        <is>
          <t>Apoyo democracia</t>
        </is>
      </c>
      <c r="B1089" s="5" t="inlineStr">
        <is>
          <t>Honduras</t>
        </is>
      </c>
      <c r="C1089" s="5" t="n">
        <v>2024</v>
      </c>
      <c r="D1089" s="5" t="inlineStr">
        <is>
          <t>No sabe</t>
        </is>
      </c>
      <c r="E1089" s="6" t="n">
        <v>0.06900000000000001</v>
      </c>
      <c r="F1089" s="7" t="n">
        <v>1000</v>
      </c>
    </row>
    <row r="1090">
      <c r="A1090" s="5" t="inlineStr">
        <is>
          <t>Apoyo democracia</t>
        </is>
      </c>
      <c r="B1090" s="5" t="inlineStr">
        <is>
          <t>Honduras</t>
        </is>
      </c>
      <c r="C1090" s="5" t="n">
        <v>2024</v>
      </c>
      <c r="D1090" s="5" t="inlineStr">
        <is>
          <t>No contesta</t>
        </is>
      </c>
      <c r="E1090" s="6" t="n">
        <v>0.025</v>
      </c>
      <c r="F1090" s="7" t="n">
        <v>1000</v>
      </c>
    </row>
    <row r="1091">
      <c r="A1091" s="5" t="inlineStr">
        <is>
          <t>Apoyo democracia</t>
        </is>
      </c>
      <c r="B1091" s="5" t="inlineStr">
        <is>
          <t>México</t>
        </is>
      </c>
      <c r="C1091" s="5" t="n">
        <v>1995</v>
      </c>
      <c r="D1091" s="5" t="inlineStr">
        <is>
          <t>Democracia</t>
        </is>
      </c>
      <c r="E1091" s="6" t="n">
        <v>0.493</v>
      </c>
      <c r="F1091" s="7" t="n">
        <v>1204</v>
      </c>
    </row>
    <row r="1092">
      <c r="A1092" s="5" t="inlineStr">
        <is>
          <t>Apoyo democracia</t>
        </is>
      </c>
      <c r="B1092" s="5" t="inlineStr">
        <is>
          <t>México</t>
        </is>
      </c>
      <c r="C1092" s="5" t="n">
        <v>1995</v>
      </c>
      <c r="D1092" s="5" t="inlineStr">
        <is>
          <t>Gobierno Autoritario</t>
        </is>
      </c>
      <c r="E1092" s="6" t="n">
        <v>0.154</v>
      </c>
      <c r="F1092" s="7" t="n">
        <v>1204</v>
      </c>
    </row>
    <row r="1093">
      <c r="A1093" s="5" t="inlineStr">
        <is>
          <t>Apoyo democracia</t>
        </is>
      </c>
      <c r="B1093" s="5" t="inlineStr">
        <is>
          <t>México</t>
        </is>
      </c>
      <c r="C1093" s="5" t="n">
        <v>1995</v>
      </c>
      <c r="D1093" s="5" t="inlineStr">
        <is>
          <t>Da lo mismo</t>
        </is>
      </c>
      <c r="E1093" s="6" t="n">
        <v>0.219</v>
      </c>
      <c r="F1093" s="7" t="n">
        <v>1204</v>
      </c>
    </row>
    <row r="1094">
      <c r="A1094" s="5" t="inlineStr">
        <is>
          <t>Apoyo democracia</t>
        </is>
      </c>
      <c r="B1094" s="5" t="inlineStr">
        <is>
          <t>México</t>
        </is>
      </c>
      <c r="C1094" s="5" t="n">
        <v>1995</v>
      </c>
      <c r="D1094" s="5" t="inlineStr">
        <is>
          <t>No sabe</t>
        </is>
      </c>
      <c r="E1094" s="6" t="n">
        <v>0.108</v>
      </c>
      <c r="F1094" s="7" t="n">
        <v>1204</v>
      </c>
    </row>
    <row r="1095">
      <c r="A1095" s="5" t="inlineStr">
        <is>
          <t>Apoyo democracia</t>
        </is>
      </c>
      <c r="B1095" s="5" t="inlineStr">
        <is>
          <t>México</t>
        </is>
      </c>
      <c r="C1095" s="5" t="n">
        <v>1995</v>
      </c>
      <c r="D1095" s="5" t="inlineStr">
        <is>
          <t>No contesta</t>
        </is>
      </c>
      <c r="E1095" s="6" t="n">
        <v>0.026</v>
      </c>
      <c r="F1095" s="7" t="n">
        <v>1204</v>
      </c>
    </row>
    <row r="1096">
      <c r="A1096" s="5" t="inlineStr">
        <is>
          <t>Apoyo democracia</t>
        </is>
      </c>
      <c r="B1096" s="5" t="inlineStr">
        <is>
          <t>México</t>
        </is>
      </c>
      <c r="C1096" s="5" t="n">
        <v>1996</v>
      </c>
      <c r="D1096" s="5" t="inlineStr">
        <is>
          <t>Democracia</t>
        </is>
      </c>
      <c r="E1096" s="6" t="n">
        <v>0.531</v>
      </c>
      <c r="F1096" s="7" t="n">
        <v>1526</v>
      </c>
    </row>
    <row r="1097">
      <c r="A1097" s="5" t="inlineStr">
        <is>
          <t>Apoyo democracia</t>
        </is>
      </c>
      <c r="B1097" s="5" t="inlineStr">
        <is>
          <t>México</t>
        </is>
      </c>
      <c r="C1097" s="5" t="n">
        <v>1996</v>
      </c>
      <c r="D1097" s="5" t="inlineStr">
        <is>
          <t>Gobierno Autoritario</t>
        </is>
      </c>
      <c r="E1097" s="6" t="n">
        <v>0.235</v>
      </c>
      <c r="F1097" s="7" t="n">
        <v>1526</v>
      </c>
    </row>
    <row r="1098">
      <c r="A1098" s="5" t="inlineStr">
        <is>
          <t>Apoyo democracia</t>
        </is>
      </c>
      <c r="B1098" s="5" t="inlineStr">
        <is>
          <t>México</t>
        </is>
      </c>
      <c r="C1098" s="5" t="n">
        <v>1996</v>
      </c>
      <c r="D1098" s="5" t="inlineStr">
        <is>
          <t>Da lo mismo</t>
        </is>
      </c>
      <c r="E1098" s="6" t="n">
        <v>0.171</v>
      </c>
      <c r="F1098" s="7" t="n">
        <v>1526</v>
      </c>
    </row>
    <row r="1099">
      <c r="A1099" s="5" t="inlineStr">
        <is>
          <t>Apoyo democracia</t>
        </is>
      </c>
      <c r="B1099" s="5" t="inlineStr">
        <is>
          <t>México</t>
        </is>
      </c>
      <c r="C1099" s="5" t="n">
        <v>1996</v>
      </c>
      <c r="D1099" s="5" t="inlineStr">
        <is>
          <t>No sabe</t>
        </is>
      </c>
      <c r="E1099" s="6" t="n">
        <v>0.048</v>
      </c>
      <c r="F1099" s="7" t="n">
        <v>1526</v>
      </c>
    </row>
    <row r="1100">
      <c r="A1100" s="5" t="inlineStr">
        <is>
          <t>Apoyo democracia</t>
        </is>
      </c>
      <c r="B1100" s="5" t="inlineStr">
        <is>
          <t>México</t>
        </is>
      </c>
      <c r="C1100" s="5" t="n">
        <v>1996</v>
      </c>
      <c r="D1100" s="5" t="inlineStr">
        <is>
          <t>No contesta</t>
        </is>
      </c>
      <c r="E1100" s="6" t="n">
        <v>0.014</v>
      </c>
      <c r="F1100" s="7" t="n">
        <v>1526</v>
      </c>
    </row>
    <row r="1101">
      <c r="A1101" s="5" t="inlineStr">
        <is>
          <t>Apoyo democracia</t>
        </is>
      </c>
      <c r="B1101" s="5" t="inlineStr">
        <is>
          <t>México</t>
        </is>
      </c>
      <c r="C1101" s="5" t="n">
        <v>1997</v>
      </c>
      <c r="D1101" s="5" t="inlineStr">
        <is>
          <t>Democracia</t>
        </is>
      </c>
      <c r="E1101" s="6" t="n">
        <v>0.517</v>
      </c>
      <c r="F1101" s="7" t="n">
        <v>1105</v>
      </c>
    </row>
    <row r="1102">
      <c r="A1102" s="5" t="inlineStr">
        <is>
          <t>Apoyo democracia</t>
        </is>
      </c>
      <c r="B1102" s="5" t="inlineStr">
        <is>
          <t>México</t>
        </is>
      </c>
      <c r="C1102" s="5" t="n">
        <v>1997</v>
      </c>
      <c r="D1102" s="5" t="inlineStr">
        <is>
          <t>Gobierno Autoritario</t>
        </is>
      </c>
      <c r="E1102" s="6" t="n">
        <v>0.307</v>
      </c>
      <c r="F1102" s="7" t="n">
        <v>1105</v>
      </c>
    </row>
    <row r="1103">
      <c r="A1103" s="5" t="inlineStr">
        <is>
          <t>Apoyo democracia</t>
        </is>
      </c>
      <c r="B1103" s="5" t="inlineStr">
        <is>
          <t>México</t>
        </is>
      </c>
      <c r="C1103" s="5" t="n">
        <v>1997</v>
      </c>
      <c r="D1103" s="5" t="inlineStr">
        <is>
          <t>Da lo mismo</t>
        </is>
      </c>
      <c r="E1103" s="6" t="n">
        <v>0.154</v>
      </c>
      <c r="F1103" s="7" t="n">
        <v>1105</v>
      </c>
    </row>
    <row r="1104">
      <c r="A1104" s="5" t="inlineStr">
        <is>
          <t>Apoyo democracia</t>
        </is>
      </c>
      <c r="B1104" s="5" t="inlineStr">
        <is>
          <t>México</t>
        </is>
      </c>
      <c r="C1104" s="5" t="n">
        <v>1997</v>
      </c>
      <c r="D1104" s="5" t="inlineStr">
        <is>
          <t>No sabe</t>
        </is>
      </c>
      <c r="E1104" s="6" t="n">
        <v>0.015</v>
      </c>
      <c r="F1104" s="7" t="n">
        <v>1105</v>
      </c>
    </row>
    <row r="1105">
      <c r="A1105" s="5" t="inlineStr">
        <is>
          <t>Apoyo democracia</t>
        </is>
      </c>
      <c r="B1105" s="5" t="inlineStr">
        <is>
          <t>México</t>
        </is>
      </c>
      <c r="C1105" s="5" t="n">
        <v>1997</v>
      </c>
      <c r="D1105" s="5" t="inlineStr">
        <is>
          <t>No contesta</t>
        </is>
      </c>
      <c r="E1105" s="6" t="n">
        <v>0.006999999999999999</v>
      </c>
      <c r="F1105" s="7" t="n">
        <v>1105</v>
      </c>
    </row>
    <row r="1106">
      <c r="A1106" s="5" t="inlineStr">
        <is>
          <t>Apoyo democracia</t>
        </is>
      </c>
      <c r="B1106" s="5" t="inlineStr">
        <is>
          <t>México</t>
        </is>
      </c>
      <c r="C1106" s="5" t="n">
        <v>1998</v>
      </c>
      <c r="D1106" s="5" t="inlineStr">
        <is>
          <t>Democracia</t>
        </is>
      </c>
      <c r="E1106" s="6" t="n">
        <v>0.507</v>
      </c>
      <c r="F1106" s="7" t="n">
        <v>1200</v>
      </c>
    </row>
    <row r="1107">
      <c r="A1107" s="5" t="inlineStr">
        <is>
          <t>Apoyo democracia</t>
        </is>
      </c>
      <c r="B1107" s="5" t="inlineStr">
        <is>
          <t>México</t>
        </is>
      </c>
      <c r="C1107" s="5" t="n">
        <v>1998</v>
      </c>
      <c r="D1107" s="5" t="inlineStr">
        <is>
          <t>Gobierno Autoritario</t>
        </is>
      </c>
      <c r="E1107" s="6" t="n">
        <v>0.282</v>
      </c>
      <c r="F1107" s="7" t="n">
        <v>1200</v>
      </c>
    </row>
    <row r="1108">
      <c r="A1108" s="5" t="inlineStr">
        <is>
          <t>Apoyo democracia</t>
        </is>
      </c>
      <c r="B1108" s="5" t="inlineStr">
        <is>
          <t>México</t>
        </is>
      </c>
      <c r="C1108" s="5" t="n">
        <v>1998</v>
      </c>
      <c r="D1108" s="5" t="inlineStr">
        <is>
          <t>Da lo mismo</t>
        </is>
      </c>
      <c r="E1108" s="6" t="n">
        <v>0.191</v>
      </c>
      <c r="F1108" s="7" t="n">
        <v>1200</v>
      </c>
    </row>
    <row r="1109">
      <c r="A1109" s="5" t="inlineStr">
        <is>
          <t>Apoyo democracia</t>
        </is>
      </c>
      <c r="B1109" s="5" t="inlineStr">
        <is>
          <t>México</t>
        </is>
      </c>
      <c r="C1109" s="5" t="n">
        <v>1998</v>
      </c>
      <c r="D1109" s="5" t="inlineStr">
        <is>
          <t>No sabe</t>
        </is>
      </c>
      <c r="E1109" s="6" t="n">
        <v>0.012</v>
      </c>
      <c r="F1109" s="7" t="n">
        <v>1200</v>
      </c>
    </row>
    <row r="1110">
      <c r="A1110" s="5" t="inlineStr">
        <is>
          <t>Apoyo democracia</t>
        </is>
      </c>
      <c r="B1110" s="5" t="inlineStr">
        <is>
          <t>México</t>
        </is>
      </c>
      <c r="C1110" s="5" t="n">
        <v>1998</v>
      </c>
      <c r="D1110" s="5" t="inlineStr">
        <is>
          <t>No contesta</t>
        </is>
      </c>
      <c r="E1110" s="6" t="n">
        <v>0.009000000000000001</v>
      </c>
      <c r="F1110" s="7" t="n">
        <v>1200</v>
      </c>
    </row>
    <row r="1111">
      <c r="A1111" s="5" t="inlineStr">
        <is>
          <t>Apoyo democracia</t>
        </is>
      </c>
      <c r="B1111" s="5" t="inlineStr">
        <is>
          <t>México</t>
        </is>
      </c>
      <c r="C1111" s="5" t="n">
        <v>2000</v>
      </c>
      <c r="D1111" s="5" t="inlineStr">
        <is>
          <t>Democracia</t>
        </is>
      </c>
      <c r="E1111" s="6" t="n">
        <v>0.45</v>
      </c>
      <c r="F1111" s="7" t="n">
        <v>1166</v>
      </c>
    </row>
    <row r="1112">
      <c r="A1112" s="5" t="inlineStr">
        <is>
          <t>Apoyo democracia</t>
        </is>
      </c>
      <c r="B1112" s="5" t="inlineStr">
        <is>
          <t>México</t>
        </is>
      </c>
      <c r="C1112" s="5" t="n">
        <v>2000</v>
      </c>
      <c r="D1112" s="5" t="inlineStr">
        <is>
          <t>Gobierno Autoritario</t>
        </is>
      </c>
      <c r="E1112" s="6" t="n">
        <v>0.342</v>
      </c>
      <c r="F1112" s="7" t="n">
        <v>1166</v>
      </c>
    </row>
    <row r="1113">
      <c r="A1113" s="5" t="inlineStr">
        <is>
          <t>Apoyo democracia</t>
        </is>
      </c>
      <c r="B1113" s="5" t="inlineStr">
        <is>
          <t>México</t>
        </is>
      </c>
      <c r="C1113" s="5" t="n">
        <v>2000</v>
      </c>
      <c r="D1113" s="5" t="inlineStr">
        <is>
          <t>Da lo mismo</t>
        </is>
      </c>
      <c r="E1113" s="6" t="n">
        <v>0.19</v>
      </c>
      <c r="F1113" s="7" t="n">
        <v>1166</v>
      </c>
    </row>
    <row r="1114">
      <c r="A1114" s="5" t="inlineStr">
        <is>
          <t>Apoyo democracia</t>
        </is>
      </c>
      <c r="B1114" s="5" t="inlineStr">
        <is>
          <t>México</t>
        </is>
      </c>
      <c r="C1114" s="5" t="n">
        <v>2000</v>
      </c>
      <c r="D1114" s="5" t="inlineStr">
        <is>
          <t>No sabe</t>
        </is>
      </c>
      <c r="E1114" s="6" t="n">
        <v>0.015</v>
      </c>
      <c r="F1114" s="7" t="n">
        <v>1166</v>
      </c>
    </row>
    <row r="1115">
      <c r="A1115" s="5" t="inlineStr">
        <is>
          <t>Apoyo democracia</t>
        </is>
      </c>
      <c r="B1115" s="5" t="inlineStr">
        <is>
          <t>México</t>
        </is>
      </c>
      <c r="C1115" s="5" t="n">
        <v>2000</v>
      </c>
      <c r="D1115" s="5" t="inlineStr">
        <is>
          <t>No contesta</t>
        </is>
      </c>
      <c r="E1115" s="6" t="n">
        <v>0.003</v>
      </c>
      <c r="F1115" s="7" t="n">
        <v>1166</v>
      </c>
    </row>
    <row r="1116">
      <c r="A1116" s="5" t="inlineStr">
        <is>
          <t>Apoyo democracia</t>
        </is>
      </c>
      <c r="B1116" s="5" t="inlineStr">
        <is>
          <t>México</t>
        </is>
      </c>
      <c r="C1116" s="5" t="n">
        <v>2001</v>
      </c>
      <c r="D1116" s="5" t="inlineStr">
        <is>
          <t>Democracia</t>
        </is>
      </c>
      <c r="E1116" s="6" t="n">
        <v>0.464</v>
      </c>
      <c r="F1116" s="7" t="n">
        <v>1253</v>
      </c>
    </row>
    <row r="1117">
      <c r="A1117" s="5" t="inlineStr">
        <is>
          <t>Apoyo democracia</t>
        </is>
      </c>
      <c r="B1117" s="5" t="inlineStr">
        <is>
          <t>México</t>
        </is>
      </c>
      <c r="C1117" s="5" t="n">
        <v>2001</v>
      </c>
      <c r="D1117" s="5" t="inlineStr">
        <is>
          <t>Gobierno Autoritario</t>
        </is>
      </c>
      <c r="E1117" s="6" t="n">
        <v>0.354</v>
      </c>
      <c r="F1117" s="7" t="n">
        <v>1253</v>
      </c>
    </row>
    <row r="1118">
      <c r="A1118" s="5" t="inlineStr">
        <is>
          <t>Apoyo democracia</t>
        </is>
      </c>
      <c r="B1118" s="5" t="inlineStr">
        <is>
          <t>México</t>
        </is>
      </c>
      <c r="C1118" s="5" t="n">
        <v>2001</v>
      </c>
      <c r="D1118" s="5" t="inlineStr">
        <is>
          <t>Da lo mismo</t>
        </is>
      </c>
      <c r="E1118" s="6" t="n">
        <v>0.142</v>
      </c>
      <c r="F1118" s="7" t="n">
        <v>1253</v>
      </c>
    </row>
    <row r="1119">
      <c r="A1119" s="5" t="inlineStr">
        <is>
          <t>Apoyo democracia</t>
        </is>
      </c>
      <c r="B1119" s="5" t="inlineStr">
        <is>
          <t>México</t>
        </is>
      </c>
      <c r="C1119" s="5" t="n">
        <v>2001</v>
      </c>
      <c r="D1119" s="5" t="inlineStr">
        <is>
          <t>No sabe</t>
        </is>
      </c>
      <c r="E1119" s="6" t="n">
        <v>0.026</v>
      </c>
      <c r="F1119" s="7" t="n">
        <v>1253</v>
      </c>
    </row>
    <row r="1120">
      <c r="A1120" s="5" t="inlineStr">
        <is>
          <t>Apoyo democracia</t>
        </is>
      </c>
      <c r="B1120" s="5" t="inlineStr">
        <is>
          <t>México</t>
        </is>
      </c>
      <c r="C1120" s="5" t="n">
        <v>2001</v>
      </c>
      <c r="D1120" s="5" t="inlineStr">
        <is>
          <t>No contesta</t>
        </is>
      </c>
      <c r="E1120" s="6" t="n">
        <v>0.013</v>
      </c>
      <c r="F1120" s="7" t="n">
        <v>1253</v>
      </c>
    </row>
    <row r="1121">
      <c r="A1121" s="5" t="inlineStr">
        <is>
          <t>Apoyo democracia</t>
        </is>
      </c>
      <c r="B1121" s="5" t="inlineStr">
        <is>
          <t>México</t>
        </is>
      </c>
      <c r="C1121" s="5" t="n">
        <v>2002</v>
      </c>
      <c r="D1121" s="5" t="inlineStr">
        <is>
          <t>Democracia</t>
        </is>
      </c>
      <c r="E1121" s="6" t="n">
        <v>0.632</v>
      </c>
      <c r="F1121" s="7" t="n">
        <v>1210</v>
      </c>
    </row>
    <row r="1122">
      <c r="A1122" s="5" t="inlineStr">
        <is>
          <t>Apoyo democracia</t>
        </is>
      </c>
      <c r="B1122" s="5" t="inlineStr">
        <is>
          <t>México</t>
        </is>
      </c>
      <c r="C1122" s="5" t="n">
        <v>2002</v>
      </c>
      <c r="D1122" s="5" t="inlineStr">
        <is>
          <t>Gobierno Autoritario</t>
        </is>
      </c>
      <c r="E1122" s="6" t="n">
        <v>0.2</v>
      </c>
      <c r="F1122" s="7" t="n">
        <v>1210</v>
      </c>
    </row>
    <row r="1123">
      <c r="A1123" s="5" t="inlineStr">
        <is>
          <t>Apoyo democracia</t>
        </is>
      </c>
      <c r="B1123" s="5" t="inlineStr">
        <is>
          <t>México</t>
        </is>
      </c>
      <c r="C1123" s="5" t="n">
        <v>2002</v>
      </c>
      <c r="D1123" s="5" t="inlineStr">
        <is>
          <t>Da lo mismo</t>
        </is>
      </c>
      <c r="E1123" s="6" t="n">
        <v>0.136</v>
      </c>
      <c r="F1123" s="7" t="n">
        <v>1210</v>
      </c>
    </row>
    <row r="1124">
      <c r="A1124" s="5" t="inlineStr">
        <is>
          <t>Apoyo democracia</t>
        </is>
      </c>
      <c r="B1124" s="5" t="inlineStr">
        <is>
          <t>México</t>
        </is>
      </c>
      <c r="C1124" s="5" t="n">
        <v>2002</v>
      </c>
      <c r="D1124" s="5" t="inlineStr">
        <is>
          <t>No sabe</t>
        </is>
      </c>
      <c r="E1124" s="6" t="n">
        <v>0.016</v>
      </c>
      <c r="F1124" s="7" t="n">
        <v>1210</v>
      </c>
    </row>
    <row r="1125">
      <c r="A1125" s="5" t="inlineStr">
        <is>
          <t>Apoyo democracia</t>
        </is>
      </c>
      <c r="B1125" s="5" t="inlineStr">
        <is>
          <t>México</t>
        </is>
      </c>
      <c r="C1125" s="5" t="n">
        <v>2002</v>
      </c>
      <c r="D1125" s="5" t="inlineStr">
        <is>
          <t>No contesta</t>
        </is>
      </c>
      <c r="E1125" s="6" t="n">
        <v>0.016</v>
      </c>
      <c r="F1125" s="7" t="n">
        <v>1210</v>
      </c>
    </row>
    <row r="1126">
      <c r="A1126" s="5" t="inlineStr">
        <is>
          <t>Apoyo democracia</t>
        </is>
      </c>
      <c r="B1126" s="5" t="inlineStr">
        <is>
          <t>México</t>
        </is>
      </c>
      <c r="C1126" s="5" t="n">
        <v>2003</v>
      </c>
      <c r="D1126" s="5" t="inlineStr">
        <is>
          <t>Democracia</t>
        </is>
      </c>
      <c r="E1126" s="6" t="n">
        <v>0.5329999999999999</v>
      </c>
      <c r="F1126" s="7" t="n">
        <v>1200</v>
      </c>
    </row>
    <row r="1127">
      <c r="A1127" s="5" t="inlineStr">
        <is>
          <t>Apoyo democracia</t>
        </is>
      </c>
      <c r="B1127" s="5" t="inlineStr">
        <is>
          <t>México</t>
        </is>
      </c>
      <c r="C1127" s="5" t="n">
        <v>2003</v>
      </c>
      <c r="D1127" s="5" t="inlineStr">
        <is>
          <t>Gobierno Autoritario</t>
        </is>
      </c>
      <c r="E1127" s="6" t="n">
        <v>0.139</v>
      </c>
      <c r="F1127" s="7" t="n">
        <v>1200</v>
      </c>
    </row>
    <row r="1128">
      <c r="A1128" s="5" t="inlineStr">
        <is>
          <t>Apoyo democracia</t>
        </is>
      </c>
      <c r="B1128" s="5" t="inlineStr">
        <is>
          <t>México</t>
        </is>
      </c>
      <c r="C1128" s="5" t="n">
        <v>2003</v>
      </c>
      <c r="D1128" s="5" t="inlineStr">
        <is>
          <t>Da lo mismo</t>
        </is>
      </c>
      <c r="E1128" s="6" t="n">
        <v>0.299</v>
      </c>
      <c r="F1128" s="7" t="n">
        <v>1200</v>
      </c>
    </row>
    <row r="1129">
      <c r="A1129" s="5" t="inlineStr">
        <is>
          <t>Apoyo democracia</t>
        </is>
      </c>
      <c r="B1129" s="5" t="inlineStr">
        <is>
          <t>México</t>
        </is>
      </c>
      <c r="C1129" s="5" t="n">
        <v>2003</v>
      </c>
      <c r="D1129" s="5" t="inlineStr">
        <is>
          <t>No sabe</t>
        </is>
      </c>
      <c r="E1129" s="6" t="n">
        <v>0.022</v>
      </c>
      <c r="F1129" s="7" t="n">
        <v>1200</v>
      </c>
    </row>
    <row r="1130">
      <c r="A1130" s="5" t="inlineStr">
        <is>
          <t>Apoyo democracia</t>
        </is>
      </c>
      <c r="B1130" s="5" t="inlineStr">
        <is>
          <t>México</t>
        </is>
      </c>
      <c r="C1130" s="5" t="n">
        <v>2003</v>
      </c>
      <c r="D1130" s="5" t="inlineStr">
        <is>
          <t>No contesta</t>
        </is>
      </c>
      <c r="E1130" s="6" t="n">
        <v>0.008</v>
      </c>
      <c r="F1130" s="7" t="n">
        <v>1200</v>
      </c>
    </row>
    <row r="1131">
      <c r="A1131" s="5" t="inlineStr">
        <is>
          <t>Apoyo democracia</t>
        </is>
      </c>
      <c r="B1131" s="5" t="inlineStr">
        <is>
          <t>México</t>
        </is>
      </c>
      <c r="C1131" s="5" t="n">
        <v>2004</v>
      </c>
      <c r="D1131" s="5" t="inlineStr">
        <is>
          <t>Democracia</t>
        </is>
      </c>
      <c r="E1131" s="6" t="n">
        <v>0.545</v>
      </c>
      <c r="F1131" s="7" t="n">
        <v>1200</v>
      </c>
    </row>
    <row r="1132">
      <c r="A1132" s="5" t="inlineStr">
        <is>
          <t>Apoyo democracia</t>
        </is>
      </c>
      <c r="B1132" s="5" t="inlineStr">
        <is>
          <t>México</t>
        </is>
      </c>
      <c r="C1132" s="5" t="n">
        <v>2004</v>
      </c>
      <c r="D1132" s="5" t="inlineStr">
        <is>
          <t>Gobierno Autoritario</t>
        </is>
      </c>
      <c r="E1132" s="6" t="n">
        <v>0.158</v>
      </c>
      <c r="F1132" s="7" t="n">
        <v>1200</v>
      </c>
    </row>
    <row r="1133">
      <c r="A1133" s="5" t="inlineStr">
        <is>
          <t>Apoyo democracia</t>
        </is>
      </c>
      <c r="B1133" s="5" t="inlineStr">
        <is>
          <t>México</t>
        </is>
      </c>
      <c r="C1133" s="5" t="n">
        <v>2004</v>
      </c>
      <c r="D1133" s="5" t="inlineStr">
        <is>
          <t>Da lo mismo</t>
        </is>
      </c>
      <c r="E1133" s="6" t="n">
        <v>0.263</v>
      </c>
      <c r="F1133" s="7" t="n">
        <v>1200</v>
      </c>
    </row>
    <row r="1134">
      <c r="A1134" s="5" t="inlineStr">
        <is>
          <t>Apoyo democracia</t>
        </is>
      </c>
      <c r="B1134" s="5" t="inlineStr">
        <is>
          <t>México</t>
        </is>
      </c>
      <c r="C1134" s="5" t="n">
        <v>2004</v>
      </c>
      <c r="D1134" s="5" t="inlineStr">
        <is>
          <t>No sabe</t>
        </is>
      </c>
      <c r="E1134" s="6" t="n">
        <v>0.021</v>
      </c>
      <c r="F1134" s="7" t="n">
        <v>1200</v>
      </c>
    </row>
    <row r="1135">
      <c r="A1135" s="5" t="inlineStr">
        <is>
          <t>Apoyo democracia</t>
        </is>
      </c>
      <c r="B1135" s="5" t="inlineStr">
        <is>
          <t>México</t>
        </is>
      </c>
      <c r="C1135" s="5" t="n">
        <v>2004</v>
      </c>
      <c r="D1135" s="5" t="inlineStr">
        <is>
          <t>No contesta</t>
        </is>
      </c>
      <c r="E1135" s="6" t="n">
        <v>0.014</v>
      </c>
      <c r="F1135" s="7" t="n">
        <v>1200</v>
      </c>
    </row>
    <row r="1136">
      <c r="A1136" s="5" t="inlineStr">
        <is>
          <t>Apoyo democracia</t>
        </is>
      </c>
      <c r="B1136" s="5" t="inlineStr">
        <is>
          <t>México</t>
        </is>
      </c>
      <c r="C1136" s="5" t="n">
        <v>2005</v>
      </c>
      <c r="D1136" s="5" t="inlineStr">
        <is>
          <t>Democracia</t>
        </is>
      </c>
      <c r="E1136" s="6" t="n">
        <v>0.586</v>
      </c>
      <c r="F1136" s="7" t="n">
        <v>1200</v>
      </c>
    </row>
    <row r="1137">
      <c r="A1137" s="5" t="inlineStr">
        <is>
          <t>Apoyo democracia</t>
        </is>
      </c>
      <c r="B1137" s="5" t="inlineStr">
        <is>
          <t>México</t>
        </is>
      </c>
      <c r="C1137" s="5" t="n">
        <v>2005</v>
      </c>
      <c r="D1137" s="5" t="inlineStr">
        <is>
          <t>Gobierno Autoritario</t>
        </is>
      </c>
      <c r="E1137" s="6" t="n">
        <v>0.131</v>
      </c>
      <c r="F1137" s="7" t="n">
        <v>1200</v>
      </c>
    </row>
    <row r="1138">
      <c r="A1138" s="5" t="inlineStr">
        <is>
          <t>Apoyo democracia</t>
        </is>
      </c>
      <c r="B1138" s="5" t="inlineStr">
        <is>
          <t>México</t>
        </is>
      </c>
      <c r="C1138" s="5" t="n">
        <v>2005</v>
      </c>
      <c r="D1138" s="5" t="inlineStr">
        <is>
          <t>Da lo mismo</t>
        </is>
      </c>
      <c r="E1138" s="6" t="n">
        <v>0.237</v>
      </c>
      <c r="F1138" s="7" t="n">
        <v>1200</v>
      </c>
    </row>
    <row r="1139">
      <c r="A1139" s="5" t="inlineStr">
        <is>
          <t>Apoyo democracia</t>
        </is>
      </c>
      <c r="B1139" s="5" t="inlineStr">
        <is>
          <t>México</t>
        </is>
      </c>
      <c r="C1139" s="5" t="n">
        <v>2005</v>
      </c>
      <c r="D1139" s="5" t="inlineStr">
        <is>
          <t>No sabe</t>
        </is>
      </c>
      <c r="E1139" s="6" t="n">
        <v>0.022</v>
      </c>
      <c r="F1139" s="7" t="n">
        <v>1200</v>
      </c>
    </row>
    <row r="1140">
      <c r="A1140" s="5" t="inlineStr">
        <is>
          <t>Apoyo democracia</t>
        </is>
      </c>
      <c r="B1140" s="5" t="inlineStr">
        <is>
          <t>México</t>
        </is>
      </c>
      <c r="C1140" s="5" t="n">
        <v>2005</v>
      </c>
      <c r="D1140" s="5" t="inlineStr">
        <is>
          <t>No contesta</t>
        </is>
      </c>
      <c r="E1140" s="6" t="n">
        <v>0.025</v>
      </c>
      <c r="F1140" s="7" t="n">
        <v>1200</v>
      </c>
    </row>
    <row r="1141">
      <c r="A1141" s="5" t="inlineStr">
        <is>
          <t>Apoyo democracia</t>
        </is>
      </c>
      <c r="B1141" s="5" t="inlineStr">
        <is>
          <t>México</t>
        </is>
      </c>
      <c r="C1141" s="5" t="n">
        <v>2006</v>
      </c>
      <c r="D1141" s="5" t="inlineStr">
        <is>
          <t>Democracia</t>
        </is>
      </c>
      <c r="E1141" s="6" t="n">
        <v>0.54</v>
      </c>
      <c r="F1141" s="7" t="n">
        <v>1200</v>
      </c>
    </row>
    <row r="1142">
      <c r="A1142" s="5" t="inlineStr">
        <is>
          <t>Apoyo democracia</t>
        </is>
      </c>
      <c r="B1142" s="5" t="inlineStr">
        <is>
          <t>México</t>
        </is>
      </c>
      <c r="C1142" s="5" t="n">
        <v>2006</v>
      </c>
      <c r="D1142" s="5" t="inlineStr">
        <is>
          <t>Gobierno Autoritario</t>
        </is>
      </c>
      <c r="E1142" s="6" t="n">
        <v>0.153</v>
      </c>
      <c r="F1142" s="7" t="n">
        <v>1200</v>
      </c>
    </row>
    <row r="1143">
      <c r="A1143" s="5" t="inlineStr">
        <is>
          <t>Apoyo democracia</t>
        </is>
      </c>
      <c r="B1143" s="5" t="inlineStr">
        <is>
          <t>México</t>
        </is>
      </c>
      <c r="C1143" s="5" t="n">
        <v>2006</v>
      </c>
      <c r="D1143" s="5" t="inlineStr">
        <is>
          <t>Da lo mismo</t>
        </is>
      </c>
      <c r="E1143" s="6" t="n">
        <v>0.181</v>
      </c>
      <c r="F1143" s="7" t="n">
        <v>1200</v>
      </c>
    </row>
    <row r="1144">
      <c r="A1144" s="5" t="inlineStr">
        <is>
          <t>Apoyo democracia</t>
        </is>
      </c>
      <c r="B1144" s="5" t="inlineStr">
        <is>
          <t>México</t>
        </is>
      </c>
      <c r="C1144" s="5" t="n">
        <v>2006</v>
      </c>
      <c r="D1144" s="5" t="inlineStr">
        <is>
          <t>No sabe</t>
        </is>
      </c>
      <c r="E1144" s="6" t="n">
        <v>0.111</v>
      </c>
      <c r="F1144" s="7" t="n">
        <v>1200</v>
      </c>
    </row>
    <row r="1145">
      <c r="A1145" s="5" t="inlineStr">
        <is>
          <t>Apoyo democracia</t>
        </is>
      </c>
      <c r="B1145" s="5" t="inlineStr">
        <is>
          <t>México</t>
        </is>
      </c>
      <c r="C1145" s="5" t="n">
        <v>2006</v>
      </c>
      <c r="D1145" s="5" t="inlineStr">
        <is>
          <t>No contesta</t>
        </is>
      </c>
      <c r="E1145" s="6" t="n">
        <v>0.016</v>
      </c>
      <c r="F1145" s="7" t="n">
        <v>1200</v>
      </c>
    </row>
    <row r="1146">
      <c r="A1146" s="5" t="inlineStr">
        <is>
          <t>Apoyo democracia</t>
        </is>
      </c>
      <c r="B1146" s="5" t="inlineStr">
        <is>
          <t>México</t>
        </is>
      </c>
      <c r="C1146" s="5" t="n">
        <v>2007</v>
      </c>
      <c r="D1146" s="5" t="inlineStr">
        <is>
          <t>Democracia</t>
        </is>
      </c>
      <c r="E1146" s="6" t="n">
        <v>0.48</v>
      </c>
      <c r="F1146" s="7" t="n">
        <v>1200</v>
      </c>
    </row>
    <row r="1147">
      <c r="A1147" s="5" t="inlineStr">
        <is>
          <t>Apoyo democracia</t>
        </is>
      </c>
      <c r="B1147" s="5" t="inlineStr">
        <is>
          <t>México</t>
        </is>
      </c>
      <c r="C1147" s="5" t="n">
        <v>2007</v>
      </c>
      <c r="D1147" s="5" t="inlineStr">
        <is>
          <t>Gobierno Autoritario</t>
        </is>
      </c>
      <c r="E1147" s="6" t="n">
        <v>0.14</v>
      </c>
      <c r="F1147" s="7" t="n">
        <v>1200</v>
      </c>
    </row>
    <row r="1148">
      <c r="A1148" s="5" t="inlineStr">
        <is>
          <t>Apoyo democracia</t>
        </is>
      </c>
      <c r="B1148" s="5" t="inlineStr">
        <is>
          <t>México</t>
        </is>
      </c>
      <c r="C1148" s="5" t="n">
        <v>2007</v>
      </c>
      <c r="D1148" s="5" t="inlineStr">
        <is>
          <t>Da lo mismo</t>
        </is>
      </c>
      <c r="E1148" s="6" t="n">
        <v>0.298</v>
      </c>
      <c r="F1148" s="7" t="n">
        <v>1200</v>
      </c>
    </row>
    <row r="1149">
      <c r="A1149" s="5" t="inlineStr">
        <is>
          <t>Apoyo democracia</t>
        </is>
      </c>
      <c r="B1149" s="5" t="inlineStr">
        <is>
          <t>México</t>
        </is>
      </c>
      <c r="C1149" s="5" t="n">
        <v>2007</v>
      </c>
      <c r="D1149" s="5" t="inlineStr">
        <is>
          <t>No sabe</t>
        </is>
      </c>
      <c r="E1149" s="6" t="n">
        <v>0.075</v>
      </c>
      <c r="F1149" s="7" t="n">
        <v>1200</v>
      </c>
    </row>
    <row r="1150">
      <c r="A1150" s="5" t="inlineStr">
        <is>
          <t>Apoyo democracia</t>
        </is>
      </c>
      <c r="B1150" s="5" t="inlineStr">
        <is>
          <t>México</t>
        </is>
      </c>
      <c r="C1150" s="5" t="n">
        <v>2007</v>
      </c>
      <c r="D1150" s="5" t="inlineStr">
        <is>
          <t>No contesta</t>
        </is>
      </c>
      <c r="E1150" s="6" t="n">
        <v>0.006999999999999999</v>
      </c>
      <c r="F1150" s="7" t="n">
        <v>1200</v>
      </c>
    </row>
    <row r="1151">
      <c r="A1151" s="5" t="inlineStr">
        <is>
          <t>Apoyo democracia</t>
        </is>
      </c>
      <c r="B1151" s="5" t="inlineStr">
        <is>
          <t>México</t>
        </is>
      </c>
      <c r="C1151" s="5" t="n">
        <v>2008</v>
      </c>
      <c r="D1151" s="5" t="inlineStr">
        <is>
          <t>Democracia</t>
        </is>
      </c>
      <c r="E1151" s="6" t="n">
        <v>0.4320000000000001</v>
      </c>
      <c r="F1151" s="7" t="n">
        <v>1200</v>
      </c>
    </row>
    <row r="1152">
      <c r="A1152" s="5" t="inlineStr">
        <is>
          <t>Apoyo democracia</t>
        </is>
      </c>
      <c r="B1152" s="5" t="inlineStr">
        <is>
          <t>México</t>
        </is>
      </c>
      <c r="C1152" s="5" t="n">
        <v>2008</v>
      </c>
      <c r="D1152" s="5" t="inlineStr">
        <is>
          <t>Gobierno Autoritario</t>
        </is>
      </c>
      <c r="E1152" s="6" t="n">
        <v>0.147</v>
      </c>
      <c r="F1152" s="7" t="n">
        <v>1200</v>
      </c>
    </row>
    <row r="1153">
      <c r="A1153" s="5" t="inlineStr">
        <is>
          <t>Apoyo democracia</t>
        </is>
      </c>
      <c r="B1153" s="5" t="inlineStr">
        <is>
          <t>México</t>
        </is>
      </c>
      <c r="C1153" s="5" t="n">
        <v>2008</v>
      </c>
      <c r="D1153" s="5" t="inlineStr">
        <is>
          <t>Da lo mismo</t>
        </is>
      </c>
      <c r="E1153" s="6" t="n">
        <v>0.32</v>
      </c>
      <c r="F1153" s="7" t="n">
        <v>1200</v>
      </c>
    </row>
    <row r="1154">
      <c r="A1154" s="5" t="inlineStr">
        <is>
          <t>Apoyo democracia</t>
        </is>
      </c>
      <c r="B1154" s="5" t="inlineStr">
        <is>
          <t>México</t>
        </is>
      </c>
      <c r="C1154" s="5" t="n">
        <v>2008</v>
      </c>
      <c r="D1154" s="5" t="inlineStr">
        <is>
          <t>No sabe</t>
        </is>
      </c>
      <c r="E1154" s="6" t="n">
        <v>0.094</v>
      </c>
      <c r="F1154" s="7" t="n">
        <v>1200</v>
      </c>
    </row>
    <row r="1155">
      <c r="A1155" s="5" t="inlineStr">
        <is>
          <t>Apoyo democracia</t>
        </is>
      </c>
      <c r="B1155" s="5" t="inlineStr">
        <is>
          <t>México</t>
        </is>
      </c>
      <c r="C1155" s="5" t="n">
        <v>2008</v>
      </c>
      <c r="D1155" s="5" t="inlineStr">
        <is>
          <t>No contesta</t>
        </is>
      </c>
      <c r="E1155" s="6" t="n">
        <v>0.008</v>
      </c>
      <c r="F1155" s="7" t="n">
        <v>1200</v>
      </c>
    </row>
    <row r="1156">
      <c r="A1156" s="5" t="inlineStr">
        <is>
          <t>Apoyo democracia</t>
        </is>
      </c>
      <c r="B1156" s="5" t="inlineStr">
        <is>
          <t>México</t>
        </is>
      </c>
      <c r="C1156" s="5" t="n">
        <v>2009</v>
      </c>
      <c r="D1156" s="5" t="inlineStr">
        <is>
          <t>Democracia</t>
        </is>
      </c>
      <c r="E1156" s="6" t="n">
        <v>0.421</v>
      </c>
      <c r="F1156" s="7" t="n">
        <v>1200</v>
      </c>
    </row>
    <row r="1157">
      <c r="A1157" s="5" t="inlineStr">
        <is>
          <t>Apoyo democracia</t>
        </is>
      </c>
      <c r="B1157" s="5" t="inlineStr">
        <is>
          <t>México</t>
        </is>
      </c>
      <c r="C1157" s="5" t="n">
        <v>2009</v>
      </c>
      <c r="D1157" s="5" t="inlineStr">
        <is>
          <t>Gobierno Autoritario</t>
        </is>
      </c>
      <c r="E1157" s="6" t="n">
        <v>0.144</v>
      </c>
      <c r="F1157" s="7" t="n">
        <v>1200</v>
      </c>
    </row>
    <row r="1158">
      <c r="A1158" s="5" t="inlineStr">
        <is>
          <t>Apoyo democracia</t>
        </is>
      </c>
      <c r="B1158" s="5" t="inlineStr">
        <is>
          <t>México</t>
        </is>
      </c>
      <c r="C1158" s="5" t="n">
        <v>2009</v>
      </c>
      <c r="D1158" s="5" t="inlineStr">
        <is>
          <t>Da lo mismo</t>
        </is>
      </c>
      <c r="E1158" s="6" t="n">
        <v>0.335</v>
      </c>
      <c r="F1158" s="7" t="n">
        <v>1200</v>
      </c>
    </row>
    <row r="1159">
      <c r="A1159" s="5" t="inlineStr">
        <is>
          <t>Apoyo democracia</t>
        </is>
      </c>
      <c r="B1159" s="5" t="inlineStr">
        <is>
          <t>México</t>
        </is>
      </c>
      <c r="C1159" s="5" t="n">
        <v>2009</v>
      </c>
      <c r="D1159" s="5" t="inlineStr">
        <is>
          <t>No sabe</t>
        </is>
      </c>
      <c r="E1159" s="6" t="n">
        <v>0.078</v>
      </c>
      <c r="F1159" s="7" t="n">
        <v>1200</v>
      </c>
    </row>
    <row r="1160">
      <c r="A1160" s="5" t="inlineStr">
        <is>
          <t>Apoyo democracia</t>
        </is>
      </c>
      <c r="B1160" s="5" t="inlineStr">
        <is>
          <t>México</t>
        </is>
      </c>
      <c r="C1160" s="5" t="n">
        <v>2009</v>
      </c>
      <c r="D1160" s="5" t="inlineStr">
        <is>
          <t>No contesta</t>
        </is>
      </c>
      <c r="E1160" s="6" t="n">
        <v>0.022</v>
      </c>
      <c r="F1160" s="7" t="n">
        <v>1200</v>
      </c>
    </row>
    <row r="1161">
      <c r="A1161" s="5" t="inlineStr">
        <is>
          <t>Apoyo democracia</t>
        </is>
      </c>
      <c r="B1161" s="5" t="inlineStr">
        <is>
          <t>México</t>
        </is>
      </c>
      <c r="C1161" s="5" t="n">
        <v>2010</v>
      </c>
      <c r="D1161" s="5" t="inlineStr">
        <is>
          <t>Democracia</t>
        </is>
      </c>
      <c r="E1161" s="6" t="n">
        <v>0.487</v>
      </c>
      <c r="F1161" s="7" t="n">
        <v>1200</v>
      </c>
    </row>
    <row r="1162">
      <c r="A1162" s="5" t="inlineStr">
        <is>
          <t>Apoyo democracia</t>
        </is>
      </c>
      <c r="B1162" s="5" t="inlineStr">
        <is>
          <t>México</t>
        </is>
      </c>
      <c r="C1162" s="5" t="n">
        <v>2010</v>
      </c>
      <c r="D1162" s="5" t="inlineStr">
        <is>
          <t>Gobierno Autoritario</t>
        </is>
      </c>
      <c r="E1162" s="6" t="n">
        <v>0.104</v>
      </c>
      <c r="F1162" s="7" t="n">
        <v>1200</v>
      </c>
    </row>
    <row r="1163">
      <c r="A1163" s="5" t="inlineStr">
        <is>
          <t>Apoyo democracia</t>
        </is>
      </c>
      <c r="B1163" s="5" t="inlineStr">
        <is>
          <t>México</t>
        </is>
      </c>
      <c r="C1163" s="5" t="n">
        <v>2010</v>
      </c>
      <c r="D1163" s="5" t="inlineStr">
        <is>
          <t>Da lo mismo</t>
        </is>
      </c>
      <c r="E1163" s="6" t="n">
        <v>0.327</v>
      </c>
      <c r="F1163" s="7" t="n">
        <v>1200</v>
      </c>
    </row>
    <row r="1164">
      <c r="A1164" s="5" t="inlineStr">
        <is>
          <t>Apoyo democracia</t>
        </is>
      </c>
      <c r="B1164" s="5" t="inlineStr">
        <is>
          <t>México</t>
        </is>
      </c>
      <c r="C1164" s="5" t="n">
        <v>2010</v>
      </c>
      <c r="D1164" s="5" t="inlineStr">
        <is>
          <t>No sabe</t>
        </is>
      </c>
      <c r="E1164" s="6" t="n">
        <v>0.081</v>
      </c>
      <c r="F1164" s="7" t="n">
        <v>1200</v>
      </c>
    </row>
    <row r="1165">
      <c r="A1165" s="5" t="inlineStr">
        <is>
          <t>Apoyo democracia</t>
        </is>
      </c>
      <c r="B1165" s="5" t="inlineStr">
        <is>
          <t>México</t>
        </is>
      </c>
      <c r="C1165" s="5" t="n">
        <v>2010</v>
      </c>
      <c r="D1165" s="5" t="inlineStr">
        <is>
          <t>No contesta</t>
        </is>
      </c>
      <c r="E1165" s="6" t="n">
        <v>0.002</v>
      </c>
      <c r="F1165" s="7" t="n">
        <v>1200</v>
      </c>
    </row>
    <row r="1166">
      <c r="A1166" s="5" t="inlineStr">
        <is>
          <t>Apoyo democracia</t>
        </is>
      </c>
      <c r="B1166" s="5" t="inlineStr">
        <is>
          <t>México</t>
        </is>
      </c>
      <c r="C1166" s="5" t="n">
        <v>2011</v>
      </c>
      <c r="D1166" s="5" t="inlineStr">
        <is>
          <t>Democracia</t>
        </is>
      </c>
      <c r="E1166" s="6" t="n">
        <v>0.396</v>
      </c>
      <c r="F1166" s="7" t="n">
        <v>1200</v>
      </c>
    </row>
    <row r="1167">
      <c r="A1167" s="5" t="inlineStr">
        <is>
          <t>Apoyo democracia</t>
        </is>
      </c>
      <c r="B1167" s="5" t="inlineStr">
        <is>
          <t>México</t>
        </is>
      </c>
      <c r="C1167" s="5" t="n">
        <v>2011</v>
      </c>
      <c r="D1167" s="5" t="inlineStr">
        <is>
          <t>Gobierno Autoritario</t>
        </is>
      </c>
      <c r="E1167" s="6" t="n">
        <v>0.138</v>
      </c>
      <c r="F1167" s="7" t="n">
        <v>1200</v>
      </c>
    </row>
    <row r="1168">
      <c r="A1168" s="5" t="inlineStr">
        <is>
          <t>Apoyo democracia</t>
        </is>
      </c>
      <c r="B1168" s="5" t="inlineStr">
        <is>
          <t>México</t>
        </is>
      </c>
      <c r="C1168" s="5" t="n">
        <v>2011</v>
      </c>
      <c r="D1168" s="5" t="inlineStr">
        <is>
          <t>Da lo mismo</t>
        </is>
      </c>
      <c r="E1168" s="6" t="n">
        <v>0.363</v>
      </c>
      <c r="F1168" s="7" t="n">
        <v>1200</v>
      </c>
    </row>
    <row r="1169">
      <c r="A1169" s="5" t="inlineStr">
        <is>
          <t>Apoyo democracia</t>
        </is>
      </c>
      <c r="B1169" s="5" t="inlineStr">
        <is>
          <t>México</t>
        </is>
      </c>
      <c r="C1169" s="5" t="n">
        <v>2011</v>
      </c>
      <c r="D1169" s="5" t="inlineStr">
        <is>
          <t>No sabe</t>
        </is>
      </c>
      <c r="E1169" s="6" t="n">
        <v>0.095</v>
      </c>
      <c r="F1169" s="7" t="n">
        <v>1200</v>
      </c>
    </row>
    <row r="1170">
      <c r="A1170" s="5" t="inlineStr">
        <is>
          <t>Apoyo democracia</t>
        </is>
      </c>
      <c r="B1170" s="5" t="inlineStr">
        <is>
          <t>México</t>
        </is>
      </c>
      <c r="C1170" s="5" t="n">
        <v>2011</v>
      </c>
      <c r="D1170" s="5" t="inlineStr">
        <is>
          <t>No contesta</t>
        </is>
      </c>
      <c r="E1170" s="6" t="n">
        <v>0.008</v>
      </c>
      <c r="F1170" s="7" t="n">
        <v>1200</v>
      </c>
    </row>
    <row r="1171">
      <c r="A1171" s="5" t="inlineStr">
        <is>
          <t>Apoyo democracia</t>
        </is>
      </c>
      <c r="B1171" s="5" t="inlineStr">
        <is>
          <t>México</t>
        </is>
      </c>
      <c r="C1171" s="5" t="n">
        <v>2015</v>
      </c>
      <c r="D1171" s="5" t="inlineStr">
        <is>
          <t>Democracia</t>
        </is>
      </c>
      <c r="E1171" s="6" t="n">
        <v>0.484</v>
      </c>
      <c r="F1171" s="7" t="n">
        <v>1200</v>
      </c>
    </row>
    <row r="1172">
      <c r="A1172" s="5" t="inlineStr">
        <is>
          <t>Apoyo democracia</t>
        </is>
      </c>
      <c r="B1172" s="5" t="inlineStr">
        <is>
          <t>México</t>
        </is>
      </c>
      <c r="C1172" s="5" t="n">
        <v>2015</v>
      </c>
      <c r="D1172" s="5" t="inlineStr">
        <is>
          <t>Gobierno Autoritario</t>
        </is>
      </c>
      <c r="E1172" s="6" t="n">
        <v>0.151</v>
      </c>
      <c r="F1172" s="7" t="n">
        <v>1200</v>
      </c>
    </row>
    <row r="1173">
      <c r="A1173" s="5" t="inlineStr">
        <is>
          <t>Apoyo democracia</t>
        </is>
      </c>
      <c r="B1173" s="5" t="inlineStr">
        <is>
          <t>México</t>
        </is>
      </c>
      <c r="C1173" s="5" t="n">
        <v>2015</v>
      </c>
      <c r="D1173" s="5" t="inlineStr">
        <is>
          <t>Da lo mismo</t>
        </is>
      </c>
      <c r="E1173" s="6" t="n">
        <v>0.31</v>
      </c>
      <c r="F1173" s="7" t="n">
        <v>1200</v>
      </c>
    </row>
    <row r="1174">
      <c r="A1174" s="5" t="inlineStr">
        <is>
          <t>Apoyo democracia</t>
        </is>
      </c>
      <c r="B1174" s="5" t="inlineStr">
        <is>
          <t>México</t>
        </is>
      </c>
      <c r="C1174" s="5" t="n">
        <v>2015</v>
      </c>
      <c r="D1174" s="5" t="inlineStr">
        <is>
          <t>No sabe</t>
        </is>
      </c>
      <c r="E1174" s="6" t="n">
        <v>0.05</v>
      </c>
      <c r="F1174" s="7" t="n">
        <v>1200</v>
      </c>
    </row>
    <row r="1175">
      <c r="A1175" s="5" t="inlineStr">
        <is>
          <t>Apoyo democracia</t>
        </is>
      </c>
      <c r="B1175" s="5" t="inlineStr">
        <is>
          <t>México</t>
        </is>
      </c>
      <c r="C1175" s="5" t="n">
        <v>2015</v>
      </c>
      <c r="D1175" s="5" t="inlineStr">
        <is>
          <t>No contesta</t>
        </is>
      </c>
      <c r="E1175" s="6" t="n">
        <v>0.005</v>
      </c>
      <c r="F1175" s="7" t="n">
        <v>1200</v>
      </c>
    </row>
    <row r="1176">
      <c r="A1176" s="5" t="inlineStr">
        <is>
          <t>Apoyo democracia</t>
        </is>
      </c>
      <c r="B1176" s="5" t="inlineStr">
        <is>
          <t>México</t>
        </is>
      </c>
      <c r="C1176" s="5" t="n">
        <v>2016</v>
      </c>
      <c r="D1176" s="5" t="inlineStr">
        <is>
          <t>Democracia</t>
        </is>
      </c>
      <c r="E1176" s="6" t="n">
        <v>0.46</v>
      </c>
      <c r="F1176" s="7" t="n">
        <v>1200</v>
      </c>
    </row>
    <row r="1177">
      <c r="A1177" s="5" t="inlineStr">
        <is>
          <t>Apoyo democracia</t>
        </is>
      </c>
      <c r="B1177" s="5" t="inlineStr">
        <is>
          <t>México</t>
        </is>
      </c>
      <c r="C1177" s="5" t="n">
        <v>2016</v>
      </c>
      <c r="D1177" s="5" t="inlineStr">
        <is>
          <t>Gobierno Autoritario</t>
        </is>
      </c>
      <c r="E1177" s="6" t="n">
        <v>0.171</v>
      </c>
      <c r="F1177" s="7" t="n">
        <v>1200</v>
      </c>
    </row>
    <row r="1178">
      <c r="A1178" s="5" t="inlineStr">
        <is>
          <t>Apoyo democracia</t>
        </is>
      </c>
      <c r="B1178" s="5" t="inlineStr">
        <is>
          <t>México</t>
        </is>
      </c>
      <c r="C1178" s="5" t="n">
        <v>2016</v>
      </c>
      <c r="D1178" s="5" t="inlineStr">
        <is>
          <t>Da lo mismo</t>
        </is>
      </c>
      <c r="E1178" s="6" t="n">
        <v>0.28</v>
      </c>
      <c r="F1178" s="7" t="n">
        <v>1200</v>
      </c>
    </row>
    <row r="1179">
      <c r="A1179" s="5" t="inlineStr">
        <is>
          <t>Apoyo democracia</t>
        </is>
      </c>
      <c r="B1179" s="5" t="inlineStr">
        <is>
          <t>México</t>
        </is>
      </c>
      <c r="C1179" s="5" t="n">
        <v>2016</v>
      </c>
      <c r="D1179" s="5" t="inlineStr">
        <is>
          <t>No sabe</t>
        </is>
      </c>
      <c r="E1179" s="6" t="n">
        <v>0.068</v>
      </c>
      <c r="F1179" s="7" t="n">
        <v>1200</v>
      </c>
    </row>
    <row r="1180">
      <c r="A1180" s="5" t="inlineStr">
        <is>
          <t>Apoyo democracia</t>
        </is>
      </c>
      <c r="B1180" s="5" t="inlineStr">
        <is>
          <t>México</t>
        </is>
      </c>
      <c r="C1180" s="5" t="n">
        <v>2016</v>
      </c>
      <c r="D1180" s="5" t="inlineStr">
        <is>
          <t>No contesta</t>
        </is>
      </c>
      <c r="E1180" s="6" t="n">
        <v>0.02</v>
      </c>
      <c r="F1180" s="7" t="n">
        <v>1200</v>
      </c>
    </row>
    <row r="1181">
      <c r="A1181" s="5" t="inlineStr">
        <is>
          <t>Apoyo democracia</t>
        </is>
      </c>
      <c r="B1181" s="5" t="inlineStr">
        <is>
          <t>México</t>
        </is>
      </c>
      <c r="C1181" s="5" t="n">
        <v>2017</v>
      </c>
      <c r="D1181" s="5" t="inlineStr">
        <is>
          <t>Democracia</t>
        </is>
      </c>
      <c r="E1181" s="6" t="n">
        <v>0.377</v>
      </c>
      <c r="F1181" s="7" t="n">
        <v>1200</v>
      </c>
    </row>
    <row r="1182">
      <c r="A1182" s="5" t="inlineStr">
        <is>
          <t>Apoyo democracia</t>
        </is>
      </c>
      <c r="B1182" s="5" t="inlineStr">
        <is>
          <t>México</t>
        </is>
      </c>
      <c r="C1182" s="5" t="n">
        <v>2017</v>
      </c>
      <c r="D1182" s="5" t="inlineStr">
        <is>
          <t>Gobierno Autoritario</t>
        </is>
      </c>
      <c r="E1182" s="6" t="n">
        <v>0.129</v>
      </c>
      <c r="F1182" s="7" t="n">
        <v>1200</v>
      </c>
    </row>
    <row r="1183">
      <c r="A1183" s="5" t="inlineStr">
        <is>
          <t>Apoyo democracia</t>
        </is>
      </c>
      <c r="B1183" s="5" t="inlineStr">
        <is>
          <t>México</t>
        </is>
      </c>
      <c r="C1183" s="5" t="n">
        <v>2017</v>
      </c>
      <c r="D1183" s="5" t="inlineStr">
        <is>
          <t>Da lo mismo</t>
        </is>
      </c>
      <c r="E1183" s="6" t="n">
        <v>0.384</v>
      </c>
      <c r="F1183" s="7" t="n">
        <v>1200</v>
      </c>
    </row>
    <row r="1184">
      <c r="A1184" s="5" t="inlineStr">
        <is>
          <t>Apoyo democracia</t>
        </is>
      </c>
      <c r="B1184" s="5" t="inlineStr">
        <is>
          <t>México</t>
        </is>
      </c>
      <c r="C1184" s="5" t="n">
        <v>2017</v>
      </c>
      <c r="D1184" s="5" t="inlineStr">
        <is>
          <t>No sabe</t>
        </is>
      </c>
      <c r="E1184" s="6" t="n">
        <v>0.098</v>
      </c>
      <c r="F1184" s="7" t="n">
        <v>1200</v>
      </c>
    </row>
    <row r="1185">
      <c r="A1185" s="5" t="inlineStr">
        <is>
          <t>Apoyo democracia</t>
        </is>
      </c>
      <c r="B1185" s="5" t="inlineStr">
        <is>
          <t>México</t>
        </is>
      </c>
      <c r="C1185" s="5" t="n">
        <v>2017</v>
      </c>
      <c r="D1185" s="5" t="inlineStr">
        <is>
          <t>No contesta</t>
        </is>
      </c>
      <c r="E1185" s="6" t="n">
        <v>0.012</v>
      </c>
      <c r="F1185" s="7" t="n">
        <v>1200</v>
      </c>
    </row>
    <row r="1186">
      <c r="A1186" s="5" t="inlineStr">
        <is>
          <t>Apoyo democracia</t>
        </is>
      </c>
      <c r="B1186" s="5" t="inlineStr">
        <is>
          <t>México</t>
        </is>
      </c>
      <c r="C1186" s="5" t="n">
        <v>2018</v>
      </c>
      <c r="D1186" s="5" t="inlineStr">
        <is>
          <t>Democracia</t>
        </is>
      </c>
      <c r="E1186" s="6" t="n">
        <v>0.3779999999999999</v>
      </c>
      <c r="F1186" s="7" t="n">
        <v>1200</v>
      </c>
    </row>
    <row r="1187">
      <c r="A1187" s="5" t="inlineStr">
        <is>
          <t>Apoyo democracia</t>
        </is>
      </c>
      <c r="B1187" s="5" t="inlineStr">
        <is>
          <t>México</t>
        </is>
      </c>
      <c r="C1187" s="5" t="n">
        <v>2018</v>
      </c>
      <c r="D1187" s="5" t="inlineStr">
        <is>
          <t>Gobierno Autoritario</t>
        </is>
      </c>
      <c r="E1187" s="6" t="n">
        <v>0.109</v>
      </c>
      <c r="F1187" s="7" t="n">
        <v>1200</v>
      </c>
    </row>
    <row r="1188">
      <c r="A1188" s="5" t="inlineStr">
        <is>
          <t>Apoyo democracia</t>
        </is>
      </c>
      <c r="B1188" s="5" t="inlineStr">
        <is>
          <t>México</t>
        </is>
      </c>
      <c r="C1188" s="5" t="n">
        <v>2018</v>
      </c>
      <c r="D1188" s="5" t="inlineStr">
        <is>
          <t>Da lo mismo</t>
        </is>
      </c>
      <c r="E1188" s="6" t="n">
        <v>0.38</v>
      </c>
      <c r="F1188" s="7" t="n">
        <v>1200</v>
      </c>
    </row>
    <row r="1189">
      <c r="A1189" s="5" t="inlineStr">
        <is>
          <t>Apoyo democracia</t>
        </is>
      </c>
      <c r="B1189" s="5" t="inlineStr">
        <is>
          <t>México</t>
        </is>
      </c>
      <c r="C1189" s="5" t="n">
        <v>2018</v>
      </c>
      <c r="D1189" s="5" t="inlineStr">
        <is>
          <t>No sabe</t>
        </is>
      </c>
      <c r="E1189" s="6" t="n">
        <v>0.108</v>
      </c>
      <c r="F1189" s="7" t="n">
        <v>1200</v>
      </c>
    </row>
    <row r="1190">
      <c r="A1190" s="5" t="inlineStr">
        <is>
          <t>Apoyo democracia</t>
        </is>
      </c>
      <c r="B1190" s="5" t="inlineStr">
        <is>
          <t>México</t>
        </is>
      </c>
      <c r="C1190" s="5" t="n">
        <v>2018</v>
      </c>
      <c r="D1190" s="5" t="inlineStr">
        <is>
          <t>No contesta</t>
        </is>
      </c>
      <c r="E1190" s="6" t="n">
        <v>0.024</v>
      </c>
      <c r="F1190" s="7" t="n">
        <v>1200</v>
      </c>
    </row>
    <row r="1191">
      <c r="A1191" s="5" t="inlineStr">
        <is>
          <t>Apoyo democracia</t>
        </is>
      </c>
      <c r="B1191" s="5" t="inlineStr">
        <is>
          <t>México</t>
        </is>
      </c>
      <c r="C1191" s="5" t="n">
        <v>2020</v>
      </c>
      <c r="D1191" s="5" t="inlineStr">
        <is>
          <t>Democracia</t>
        </is>
      </c>
      <c r="E1191" s="6" t="n">
        <v>0.429</v>
      </c>
      <c r="F1191" s="7" t="n">
        <v>1202</v>
      </c>
    </row>
    <row r="1192">
      <c r="A1192" s="5" t="inlineStr">
        <is>
          <t>Apoyo democracia</t>
        </is>
      </c>
      <c r="B1192" s="5" t="inlineStr">
        <is>
          <t>México</t>
        </is>
      </c>
      <c r="C1192" s="5" t="n">
        <v>2020</v>
      </c>
      <c r="D1192" s="5" t="inlineStr">
        <is>
          <t>Gobierno Autoritario</t>
        </is>
      </c>
      <c r="E1192" s="6" t="n">
        <v>0.224</v>
      </c>
      <c r="F1192" s="7" t="n">
        <v>1202</v>
      </c>
    </row>
    <row r="1193">
      <c r="A1193" s="5" t="inlineStr">
        <is>
          <t>Apoyo democracia</t>
        </is>
      </c>
      <c r="B1193" s="5" t="inlineStr">
        <is>
          <t>México</t>
        </is>
      </c>
      <c r="C1193" s="5" t="n">
        <v>2020</v>
      </c>
      <c r="D1193" s="5" t="inlineStr">
        <is>
          <t>Da lo mismo</t>
        </is>
      </c>
      <c r="E1193" s="6" t="n">
        <v>0.257</v>
      </c>
      <c r="F1193" s="7" t="n">
        <v>1202</v>
      </c>
    </row>
    <row r="1194">
      <c r="A1194" s="5" t="inlineStr">
        <is>
          <t>Apoyo democracia</t>
        </is>
      </c>
      <c r="B1194" s="5" t="inlineStr">
        <is>
          <t>México</t>
        </is>
      </c>
      <c r="C1194" s="5" t="n">
        <v>2020</v>
      </c>
      <c r="D1194" s="5" t="inlineStr">
        <is>
          <t>No sabe</t>
        </is>
      </c>
      <c r="E1194" s="6" t="n">
        <v>0.08500000000000001</v>
      </c>
      <c r="F1194" s="7" t="n">
        <v>1202</v>
      </c>
    </row>
    <row r="1195">
      <c r="A1195" s="5" t="inlineStr">
        <is>
          <t>Apoyo democracia</t>
        </is>
      </c>
      <c r="B1195" s="5" t="inlineStr">
        <is>
          <t>México</t>
        </is>
      </c>
      <c r="C1195" s="5" t="n">
        <v>2020</v>
      </c>
      <c r="D1195" s="5" t="inlineStr">
        <is>
          <t>No contesta</t>
        </is>
      </c>
      <c r="E1195" s="6" t="n">
        <v>0.004</v>
      </c>
      <c r="F1195" s="7" t="n">
        <v>1202</v>
      </c>
    </row>
    <row r="1196">
      <c r="A1196" s="5" t="inlineStr">
        <is>
          <t>Apoyo democracia</t>
        </is>
      </c>
      <c r="B1196" s="5" t="inlineStr">
        <is>
          <t>México</t>
        </is>
      </c>
      <c r="C1196" s="5" t="n">
        <v>2024</v>
      </c>
      <c r="D1196" s="5" t="inlineStr">
        <is>
          <t>Democracia</t>
        </is>
      </c>
      <c r="E1196" s="6" t="n">
        <v>0.494</v>
      </c>
      <c r="F1196" s="7" t="n">
        <v>1200</v>
      </c>
    </row>
    <row r="1197">
      <c r="A1197" s="5" t="inlineStr">
        <is>
          <t>Apoyo democracia</t>
        </is>
      </c>
      <c r="B1197" s="5" t="inlineStr">
        <is>
          <t>México</t>
        </is>
      </c>
      <c r="C1197" s="5" t="n">
        <v>2024</v>
      </c>
      <c r="D1197" s="5" t="inlineStr">
        <is>
          <t>Gobierno Autoritario</t>
        </is>
      </c>
      <c r="E1197" s="6" t="n">
        <v>0.241</v>
      </c>
      <c r="F1197" s="7" t="n">
        <v>1200</v>
      </c>
    </row>
    <row r="1198">
      <c r="A1198" s="5" t="inlineStr">
        <is>
          <t>Apoyo democracia</t>
        </is>
      </c>
      <c r="B1198" s="5" t="inlineStr">
        <is>
          <t>México</t>
        </is>
      </c>
      <c r="C1198" s="5" t="n">
        <v>2024</v>
      </c>
      <c r="D1198" s="5" t="inlineStr">
        <is>
          <t>Da lo mismo</t>
        </is>
      </c>
      <c r="E1198" s="6" t="n">
        <v>0.219</v>
      </c>
      <c r="F1198" s="7" t="n">
        <v>1200</v>
      </c>
    </row>
    <row r="1199">
      <c r="A1199" s="5" t="inlineStr">
        <is>
          <t>Apoyo democracia</t>
        </is>
      </c>
      <c r="B1199" s="5" t="inlineStr">
        <is>
          <t>México</t>
        </is>
      </c>
      <c r="C1199" s="5" t="n">
        <v>2024</v>
      </c>
      <c r="D1199" s="5" t="inlineStr">
        <is>
          <t>No sabe</t>
        </is>
      </c>
      <c r="E1199" s="6" t="n">
        <v>0.042</v>
      </c>
      <c r="F1199" s="7" t="n">
        <v>1200</v>
      </c>
    </row>
    <row r="1200">
      <c r="A1200" s="5" t="inlineStr">
        <is>
          <t>Apoyo democracia</t>
        </is>
      </c>
      <c r="B1200" s="5" t="inlineStr">
        <is>
          <t>México</t>
        </is>
      </c>
      <c r="C1200" s="5" t="n">
        <v>2024</v>
      </c>
      <c r="D1200" s="5" t="inlineStr">
        <is>
          <t>No contesta</t>
        </is>
      </c>
      <c r="E1200" s="6" t="n">
        <v>0.004</v>
      </c>
      <c r="F1200" s="7" t="n">
        <v>1200</v>
      </c>
    </row>
    <row r="1201">
      <c r="A1201" s="5" t="inlineStr">
        <is>
          <t>Apoyo democracia</t>
        </is>
      </c>
      <c r="B1201" s="5" t="inlineStr">
        <is>
          <t>Nicaragua</t>
        </is>
      </c>
      <c r="C1201" s="5" t="n">
        <v>1996</v>
      </c>
      <c r="D1201" s="5" t="inlineStr">
        <is>
          <t>Democracia</t>
        </is>
      </c>
      <c r="E1201" s="6" t="n">
        <v>0.591</v>
      </c>
      <c r="F1201" s="7" t="n">
        <v>1034</v>
      </c>
    </row>
    <row r="1202">
      <c r="A1202" s="5" t="inlineStr">
        <is>
          <t>Apoyo democracia</t>
        </is>
      </c>
      <c r="B1202" s="5" t="inlineStr">
        <is>
          <t>Nicaragua</t>
        </is>
      </c>
      <c r="C1202" s="5" t="n">
        <v>1996</v>
      </c>
      <c r="D1202" s="5" t="inlineStr">
        <is>
          <t>Gobierno Autoritario</t>
        </is>
      </c>
      <c r="E1202" s="6" t="n">
        <v>0.138</v>
      </c>
      <c r="F1202" s="7" t="n">
        <v>1034</v>
      </c>
    </row>
    <row r="1203">
      <c r="A1203" s="5" t="inlineStr">
        <is>
          <t>Apoyo democracia</t>
        </is>
      </c>
      <c r="B1203" s="5" t="inlineStr">
        <is>
          <t>Nicaragua</t>
        </is>
      </c>
      <c r="C1203" s="5" t="n">
        <v>1996</v>
      </c>
      <c r="D1203" s="5" t="inlineStr">
        <is>
          <t>Da lo mismo</t>
        </is>
      </c>
      <c r="E1203" s="6" t="n">
        <v>0.195</v>
      </c>
      <c r="F1203" s="7" t="n">
        <v>1034</v>
      </c>
    </row>
    <row r="1204">
      <c r="A1204" s="5" t="inlineStr">
        <is>
          <t>Apoyo democracia</t>
        </is>
      </c>
      <c r="B1204" s="5" t="inlineStr">
        <is>
          <t>Nicaragua</t>
        </is>
      </c>
      <c r="C1204" s="5" t="n">
        <v>1996</v>
      </c>
      <c r="D1204" s="5" t="inlineStr">
        <is>
          <t>No sabe</t>
        </is>
      </c>
      <c r="E1204" s="6" t="n">
        <v>0.047</v>
      </c>
      <c r="F1204" s="7" t="n">
        <v>1034</v>
      </c>
    </row>
    <row r="1205">
      <c r="A1205" s="5" t="inlineStr">
        <is>
          <t>Apoyo democracia</t>
        </is>
      </c>
      <c r="B1205" s="5" t="inlineStr">
        <is>
          <t>Nicaragua</t>
        </is>
      </c>
      <c r="C1205" s="5" t="n">
        <v>1996</v>
      </c>
      <c r="D1205" s="5" t="inlineStr">
        <is>
          <t>No contesta</t>
        </is>
      </c>
      <c r="E1205" s="6" t="n">
        <v>0.028</v>
      </c>
      <c r="F1205" s="7" t="n">
        <v>1034</v>
      </c>
    </row>
    <row r="1206">
      <c r="A1206" s="5" t="inlineStr">
        <is>
          <t>Apoyo democracia</t>
        </is>
      </c>
      <c r="B1206" s="5" t="inlineStr">
        <is>
          <t>Nicaragua</t>
        </is>
      </c>
      <c r="C1206" s="5" t="n">
        <v>1997</v>
      </c>
      <c r="D1206" s="5" t="inlineStr">
        <is>
          <t>Democracia</t>
        </is>
      </c>
      <c r="E1206" s="6" t="n">
        <v>0.679</v>
      </c>
      <c r="F1206" s="7" t="n">
        <v>1002</v>
      </c>
    </row>
    <row r="1207">
      <c r="A1207" s="5" t="inlineStr">
        <is>
          <t>Apoyo democracia</t>
        </is>
      </c>
      <c r="B1207" s="5" t="inlineStr">
        <is>
          <t>Nicaragua</t>
        </is>
      </c>
      <c r="C1207" s="5" t="n">
        <v>1997</v>
      </c>
      <c r="D1207" s="5" t="inlineStr">
        <is>
          <t>Gobierno Autoritario</t>
        </is>
      </c>
      <c r="E1207" s="6" t="n">
        <v>0.191</v>
      </c>
      <c r="F1207" s="7" t="n">
        <v>1002</v>
      </c>
    </row>
    <row r="1208">
      <c r="A1208" s="5" t="inlineStr">
        <is>
          <t>Apoyo democracia</t>
        </is>
      </c>
      <c r="B1208" s="5" t="inlineStr">
        <is>
          <t>Nicaragua</t>
        </is>
      </c>
      <c r="C1208" s="5" t="n">
        <v>1997</v>
      </c>
      <c r="D1208" s="5" t="inlineStr">
        <is>
          <t>Da lo mismo</t>
        </is>
      </c>
      <c r="E1208" s="6" t="n">
        <v>0.1</v>
      </c>
      <c r="F1208" s="7" t="n">
        <v>1002</v>
      </c>
    </row>
    <row r="1209">
      <c r="A1209" s="5" t="inlineStr">
        <is>
          <t>Apoyo democracia</t>
        </is>
      </c>
      <c r="B1209" s="5" t="inlineStr">
        <is>
          <t>Nicaragua</t>
        </is>
      </c>
      <c r="C1209" s="5" t="n">
        <v>1997</v>
      </c>
      <c r="D1209" s="5" t="inlineStr">
        <is>
          <t>No sabe</t>
        </is>
      </c>
      <c r="E1209" s="6" t="n">
        <v>0.027</v>
      </c>
      <c r="F1209" s="7" t="n">
        <v>1002</v>
      </c>
    </row>
    <row r="1210">
      <c r="A1210" s="5" t="inlineStr">
        <is>
          <t>Apoyo democracia</t>
        </is>
      </c>
      <c r="B1210" s="5" t="inlineStr">
        <is>
          <t>Nicaragua</t>
        </is>
      </c>
      <c r="C1210" s="5" t="n">
        <v>1997</v>
      </c>
      <c r="D1210" s="5" t="inlineStr">
        <is>
          <t>No contesta</t>
        </is>
      </c>
      <c r="E1210" s="6" t="n">
        <v>0.004</v>
      </c>
      <c r="F1210" s="7" t="n">
        <v>1002</v>
      </c>
    </row>
    <row r="1211">
      <c r="A1211" s="5" t="inlineStr">
        <is>
          <t>Apoyo democracia</t>
        </is>
      </c>
      <c r="B1211" s="5" t="inlineStr">
        <is>
          <t>Nicaragua</t>
        </is>
      </c>
      <c r="C1211" s="5" t="n">
        <v>1998</v>
      </c>
      <c r="D1211" s="5" t="inlineStr">
        <is>
          <t>Democracia</t>
        </is>
      </c>
      <c r="E1211" s="6" t="n">
        <v>0.7190000000000001</v>
      </c>
      <c r="F1211" s="7" t="n">
        <v>1000</v>
      </c>
    </row>
    <row r="1212">
      <c r="A1212" s="5" t="inlineStr">
        <is>
          <t>Apoyo democracia</t>
        </is>
      </c>
      <c r="B1212" s="5" t="inlineStr">
        <is>
          <t>Nicaragua</t>
        </is>
      </c>
      <c r="C1212" s="5" t="n">
        <v>1998</v>
      </c>
      <c r="D1212" s="5" t="inlineStr">
        <is>
          <t>Gobierno Autoritario</t>
        </is>
      </c>
      <c r="E1212" s="6" t="n">
        <v>0.09300000000000001</v>
      </c>
      <c r="F1212" s="7" t="n">
        <v>1000</v>
      </c>
    </row>
    <row r="1213">
      <c r="A1213" s="5" t="inlineStr">
        <is>
          <t>Apoyo democracia</t>
        </is>
      </c>
      <c r="B1213" s="5" t="inlineStr">
        <is>
          <t>Nicaragua</t>
        </is>
      </c>
      <c r="C1213" s="5" t="n">
        <v>1998</v>
      </c>
      <c r="D1213" s="5" t="inlineStr">
        <is>
          <t>Da lo mismo</t>
        </is>
      </c>
      <c r="E1213" s="6" t="n">
        <v>0.143</v>
      </c>
      <c r="F1213" s="7" t="n">
        <v>1000</v>
      </c>
    </row>
    <row r="1214">
      <c r="A1214" s="5" t="inlineStr">
        <is>
          <t>Apoyo democracia</t>
        </is>
      </c>
      <c r="B1214" s="5" t="inlineStr">
        <is>
          <t>Nicaragua</t>
        </is>
      </c>
      <c r="C1214" s="5" t="n">
        <v>1998</v>
      </c>
      <c r="D1214" s="5" t="inlineStr">
        <is>
          <t>No sabe</t>
        </is>
      </c>
      <c r="E1214" s="6" t="n">
        <v>0.036</v>
      </c>
      <c r="F1214" s="7" t="n">
        <v>1000</v>
      </c>
    </row>
    <row r="1215">
      <c r="A1215" s="5" t="inlineStr">
        <is>
          <t>Apoyo democracia</t>
        </is>
      </c>
      <c r="B1215" s="5" t="inlineStr">
        <is>
          <t>Nicaragua</t>
        </is>
      </c>
      <c r="C1215" s="5" t="n">
        <v>1998</v>
      </c>
      <c r="D1215" s="5" t="inlineStr">
        <is>
          <t>No contesta</t>
        </is>
      </c>
      <c r="E1215" s="6" t="n">
        <v>0.009000000000000001</v>
      </c>
      <c r="F1215" s="7" t="n">
        <v>1000</v>
      </c>
    </row>
    <row r="1216">
      <c r="A1216" s="5" t="inlineStr">
        <is>
          <t>Apoyo democracia</t>
        </is>
      </c>
      <c r="B1216" s="5" t="inlineStr">
        <is>
          <t>Nicaragua</t>
        </is>
      </c>
      <c r="C1216" s="5" t="n">
        <v>2000</v>
      </c>
      <c r="D1216" s="5" t="inlineStr">
        <is>
          <t>Democracia</t>
        </is>
      </c>
      <c r="E1216" s="6" t="n">
        <v>0.639</v>
      </c>
      <c r="F1216" s="7" t="n">
        <v>1000</v>
      </c>
    </row>
    <row r="1217">
      <c r="A1217" s="5" t="inlineStr">
        <is>
          <t>Apoyo democracia</t>
        </is>
      </c>
      <c r="B1217" s="5" t="inlineStr">
        <is>
          <t>Nicaragua</t>
        </is>
      </c>
      <c r="C1217" s="5" t="n">
        <v>2000</v>
      </c>
      <c r="D1217" s="5" t="inlineStr">
        <is>
          <t>Gobierno Autoritario</t>
        </is>
      </c>
      <c r="E1217" s="6" t="n">
        <v>0.06</v>
      </c>
      <c r="F1217" s="7" t="n">
        <v>1000</v>
      </c>
    </row>
    <row r="1218">
      <c r="A1218" s="5" t="inlineStr">
        <is>
          <t>Apoyo democracia</t>
        </is>
      </c>
      <c r="B1218" s="5" t="inlineStr">
        <is>
          <t>Nicaragua</t>
        </is>
      </c>
      <c r="C1218" s="5" t="n">
        <v>2000</v>
      </c>
      <c r="D1218" s="5" t="inlineStr">
        <is>
          <t>Da lo mismo</t>
        </is>
      </c>
      <c r="E1218" s="6" t="n">
        <v>0.242</v>
      </c>
      <c r="F1218" s="7" t="n">
        <v>1000</v>
      </c>
    </row>
    <row r="1219">
      <c r="A1219" s="5" t="inlineStr">
        <is>
          <t>Apoyo democracia</t>
        </is>
      </c>
      <c r="B1219" s="5" t="inlineStr">
        <is>
          <t>Nicaragua</t>
        </is>
      </c>
      <c r="C1219" s="5" t="n">
        <v>2000</v>
      </c>
      <c r="D1219" s="5" t="inlineStr">
        <is>
          <t>No sabe</t>
        </is>
      </c>
      <c r="E1219" s="6" t="n">
        <v>0.044</v>
      </c>
      <c r="F1219" s="7" t="n">
        <v>1000</v>
      </c>
    </row>
    <row r="1220">
      <c r="A1220" s="5" t="inlineStr">
        <is>
          <t>Apoyo democracia</t>
        </is>
      </c>
      <c r="B1220" s="5" t="inlineStr">
        <is>
          <t>Nicaragua</t>
        </is>
      </c>
      <c r="C1220" s="5" t="n">
        <v>2000</v>
      </c>
      <c r="D1220" s="5" t="inlineStr">
        <is>
          <t>No contesta</t>
        </is>
      </c>
      <c r="E1220" s="6" t="n">
        <v>0.015</v>
      </c>
      <c r="F1220" s="7" t="n">
        <v>1000</v>
      </c>
    </row>
    <row r="1221">
      <c r="A1221" s="5" t="inlineStr">
        <is>
          <t>Apoyo democracia</t>
        </is>
      </c>
      <c r="B1221" s="5" t="inlineStr">
        <is>
          <t>Nicaragua</t>
        </is>
      </c>
      <c r="C1221" s="5" t="n">
        <v>2001</v>
      </c>
      <c r="D1221" s="5" t="inlineStr">
        <is>
          <t>Democracia</t>
        </is>
      </c>
      <c r="E1221" s="6" t="n">
        <v>0.427</v>
      </c>
      <c r="F1221" s="7" t="n">
        <v>1005</v>
      </c>
    </row>
    <row r="1222">
      <c r="A1222" s="5" t="inlineStr">
        <is>
          <t>Apoyo democracia</t>
        </is>
      </c>
      <c r="B1222" s="5" t="inlineStr">
        <is>
          <t>Nicaragua</t>
        </is>
      </c>
      <c r="C1222" s="5" t="n">
        <v>2001</v>
      </c>
      <c r="D1222" s="5" t="inlineStr">
        <is>
          <t>Gobierno Autoritario</t>
        </is>
      </c>
      <c r="E1222" s="6" t="n">
        <v>0.221</v>
      </c>
      <c r="F1222" s="7" t="n">
        <v>1005</v>
      </c>
    </row>
    <row r="1223">
      <c r="A1223" s="5" t="inlineStr">
        <is>
          <t>Apoyo democracia</t>
        </is>
      </c>
      <c r="B1223" s="5" t="inlineStr">
        <is>
          <t>Nicaragua</t>
        </is>
      </c>
      <c r="C1223" s="5" t="n">
        <v>2001</v>
      </c>
      <c r="D1223" s="5" t="inlineStr">
        <is>
          <t>Da lo mismo</t>
        </is>
      </c>
      <c r="E1223" s="6" t="n">
        <v>0.259</v>
      </c>
      <c r="F1223" s="7" t="n">
        <v>1005</v>
      </c>
    </row>
    <row r="1224">
      <c r="A1224" s="5" t="inlineStr">
        <is>
          <t>Apoyo democracia</t>
        </is>
      </c>
      <c r="B1224" s="5" t="inlineStr">
        <is>
          <t>Nicaragua</t>
        </is>
      </c>
      <c r="C1224" s="5" t="n">
        <v>2001</v>
      </c>
      <c r="D1224" s="5" t="inlineStr">
        <is>
          <t>No sabe</t>
        </is>
      </c>
      <c r="E1224" s="6" t="n">
        <v>0.052</v>
      </c>
      <c r="F1224" s="7" t="n">
        <v>1005</v>
      </c>
    </row>
    <row r="1225">
      <c r="A1225" s="5" t="inlineStr">
        <is>
          <t>Apoyo democracia</t>
        </is>
      </c>
      <c r="B1225" s="5" t="inlineStr">
        <is>
          <t>Nicaragua</t>
        </is>
      </c>
      <c r="C1225" s="5" t="n">
        <v>2001</v>
      </c>
      <c r="D1225" s="5" t="inlineStr">
        <is>
          <t>No contesta</t>
        </is>
      </c>
      <c r="E1225" s="6" t="n">
        <v>0.042</v>
      </c>
      <c r="F1225" s="7" t="n">
        <v>1005</v>
      </c>
    </row>
    <row r="1226">
      <c r="A1226" s="5" t="inlineStr">
        <is>
          <t>Apoyo democracia</t>
        </is>
      </c>
      <c r="B1226" s="5" t="inlineStr">
        <is>
          <t>Nicaragua</t>
        </is>
      </c>
      <c r="C1226" s="5" t="n">
        <v>2002</v>
      </c>
      <c r="D1226" s="5" t="inlineStr">
        <is>
          <t>Democracia</t>
        </is>
      </c>
      <c r="E1226" s="6" t="n">
        <v>0.629</v>
      </c>
      <c r="F1226" s="7" t="n">
        <v>1016</v>
      </c>
    </row>
    <row r="1227">
      <c r="A1227" s="5" t="inlineStr">
        <is>
          <t>Apoyo democracia</t>
        </is>
      </c>
      <c r="B1227" s="5" t="inlineStr">
        <is>
          <t>Nicaragua</t>
        </is>
      </c>
      <c r="C1227" s="5" t="n">
        <v>2002</v>
      </c>
      <c r="D1227" s="5" t="inlineStr">
        <is>
          <t>Gobierno Autoritario</t>
        </is>
      </c>
      <c r="E1227" s="6" t="n">
        <v>0.116</v>
      </c>
      <c r="F1227" s="7" t="n">
        <v>1016</v>
      </c>
    </row>
    <row r="1228">
      <c r="A1228" s="5" t="inlineStr">
        <is>
          <t>Apoyo democracia</t>
        </is>
      </c>
      <c r="B1228" s="5" t="inlineStr">
        <is>
          <t>Nicaragua</t>
        </is>
      </c>
      <c r="C1228" s="5" t="n">
        <v>2002</v>
      </c>
      <c r="D1228" s="5" t="inlineStr">
        <is>
          <t>Da lo mismo</t>
        </is>
      </c>
      <c r="E1228" s="6" t="n">
        <v>0.166</v>
      </c>
      <c r="F1228" s="7" t="n">
        <v>1016</v>
      </c>
    </row>
    <row r="1229">
      <c r="A1229" s="5" t="inlineStr">
        <is>
          <t>Apoyo democracia</t>
        </is>
      </c>
      <c r="B1229" s="5" t="inlineStr">
        <is>
          <t>Nicaragua</t>
        </is>
      </c>
      <c r="C1229" s="5" t="n">
        <v>2002</v>
      </c>
      <c r="D1229" s="5" t="inlineStr">
        <is>
          <t>No sabe</t>
        </is>
      </c>
      <c r="E1229" s="6" t="n">
        <v>0.053</v>
      </c>
      <c r="F1229" s="7" t="n">
        <v>1016</v>
      </c>
    </row>
    <row r="1230">
      <c r="A1230" s="5" t="inlineStr">
        <is>
          <t>Apoyo democracia</t>
        </is>
      </c>
      <c r="B1230" s="5" t="inlineStr">
        <is>
          <t>Nicaragua</t>
        </is>
      </c>
      <c r="C1230" s="5" t="n">
        <v>2002</v>
      </c>
      <c r="D1230" s="5" t="inlineStr">
        <is>
          <t>No contesta</t>
        </is>
      </c>
      <c r="E1230" s="6" t="n">
        <v>0.035</v>
      </c>
      <c r="F1230" s="7" t="n">
        <v>1016</v>
      </c>
    </row>
    <row r="1231">
      <c r="A1231" s="5" t="inlineStr">
        <is>
          <t>Apoyo democracia</t>
        </is>
      </c>
      <c r="B1231" s="5" t="inlineStr">
        <is>
          <t>Nicaragua</t>
        </is>
      </c>
      <c r="C1231" s="5" t="n">
        <v>2003</v>
      </c>
      <c r="D1231" s="5" t="inlineStr">
        <is>
          <t>Democracia</t>
        </is>
      </c>
      <c r="E1231" s="6" t="n">
        <v>0.512</v>
      </c>
      <c r="F1231" s="7" t="n">
        <v>1010</v>
      </c>
    </row>
    <row r="1232">
      <c r="A1232" s="5" t="inlineStr">
        <is>
          <t>Apoyo democracia</t>
        </is>
      </c>
      <c r="B1232" s="5" t="inlineStr">
        <is>
          <t>Nicaragua</t>
        </is>
      </c>
      <c r="C1232" s="5" t="n">
        <v>2003</v>
      </c>
      <c r="D1232" s="5" t="inlineStr">
        <is>
          <t>Gobierno Autoritario</t>
        </is>
      </c>
      <c r="E1232" s="6" t="n">
        <v>0.101</v>
      </c>
      <c r="F1232" s="7" t="n">
        <v>1010</v>
      </c>
    </row>
    <row r="1233">
      <c r="A1233" s="5" t="inlineStr">
        <is>
          <t>Apoyo democracia</t>
        </is>
      </c>
      <c r="B1233" s="5" t="inlineStr">
        <is>
          <t>Nicaragua</t>
        </is>
      </c>
      <c r="C1233" s="5" t="n">
        <v>2003</v>
      </c>
      <c r="D1233" s="5" t="inlineStr">
        <is>
          <t>Da lo mismo</t>
        </is>
      </c>
      <c r="E1233" s="6" t="n">
        <v>0.257</v>
      </c>
      <c r="F1233" s="7" t="n">
        <v>1010</v>
      </c>
    </row>
    <row r="1234">
      <c r="A1234" s="5" t="inlineStr">
        <is>
          <t>Apoyo democracia</t>
        </is>
      </c>
      <c r="B1234" s="5" t="inlineStr">
        <is>
          <t>Nicaragua</t>
        </is>
      </c>
      <c r="C1234" s="5" t="n">
        <v>2003</v>
      </c>
      <c r="D1234" s="5" t="inlineStr">
        <is>
          <t>No sabe</t>
        </is>
      </c>
      <c r="E1234" s="6" t="n">
        <v>0.09699999999999999</v>
      </c>
      <c r="F1234" s="7" t="n">
        <v>1010</v>
      </c>
    </row>
    <row r="1235">
      <c r="A1235" s="5" t="inlineStr">
        <is>
          <t>Apoyo democracia</t>
        </is>
      </c>
      <c r="B1235" s="5" t="inlineStr">
        <is>
          <t>Nicaragua</t>
        </is>
      </c>
      <c r="C1235" s="5" t="n">
        <v>2003</v>
      </c>
      <c r="D1235" s="5" t="inlineStr">
        <is>
          <t>No contesta</t>
        </is>
      </c>
      <c r="E1235" s="6" t="n">
        <v>0.032</v>
      </c>
      <c r="F1235" s="7" t="n">
        <v>1010</v>
      </c>
    </row>
    <row r="1236">
      <c r="A1236" s="5" t="inlineStr">
        <is>
          <t>Apoyo democracia</t>
        </is>
      </c>
      <c r="B1236" s="5" t="inlineStr">
        <is>
          <t>Nicaragua</t>
        </is>
      </c>
      <c r="C1236" s="5" t="n">
        <v>2004</v>
      </c>
      <c r="D1236" s="5" t="inlineStr">
        <is>
          <t>Democracia</t>
        </is>
      </c>
      <c r="E1236" s="6" t="n">
        <v>0.386</v>
      </c>
      <c r="F1236" s="7" t="n">
        <v>1000</v>
      </c>
    </row>
    <row r="1237">
      <c r="A1237" s="5" t="inlineStr">
        <is>
          <t>Apoyo democracia</t>
        </is>
      </c>
      <c r="B1237" s="5" t="inlineStr">
        <is>
          <t>Nicaragua</t>
        </is>
      </c>
      <c r="C1237" s="5" t="n">
        <v>2004</v>
      </c>
      <c r="D1237" s="5" t="inlineStr">
        <is>
          <t>Gobierno Autoritario</t>
        </is>
      </c>
      <c r="E1237" s="6" t="n">
        <v>0.096</v>
      </c>
      <c r="F1237" s="7" t="n">
        <v>1000</v>
      </c>
    </row>
    <row r="1238">
      <c r="A1238" s="5" t="inlineStr">
        <is>
          <t>Apoyo democracia</t>
        </is>
      </c>
      <c r="B1238" s="5" t="inlineStr">
        <is>
          <t>Nicaragua</t>
        </is>
      </c>
      <c r="C1238" s="5" t="n">
        <v>2004</v>
      </c>
      <c r="D1238" s="5" t="inlineStr">
        <is>
          <t>Da lo mismo</t>
        </is>
      </c>
      <c r="E1238" s="6" t="n">
        <v>0.284</v>
      </c>
      <c r="F1238" s="7" t="n">
        <v>1000</v>
      </c>
    </row>
    <row r="1239">
      <c r="A1239" s="5" t="inlineStr">
        <is>
          <t>Apoyo democracia</t>
        </is>
      </c>
      <c r="B1239" s="5" t="inlineStr">
        <is>
          <t>Nicaragua</t>
        </is>
      </c>
      <c r="C1239" s="5" t="n">
        <v>2004</v>
      </c>
      <c r="D1239" s="5" t="inlineStr">
        <is>
          <t>No sabe</t>
        </is>
      </c>
      <c r="E1239" s="6" t="n">
        <v>0.194</v>
      </c>
      <c r="F1239" s="7" t="n">
        <v>1000</v>
      </c>
    </row>
    <row r="1240">
      <c r="A1240" s="5" t="inlineStr">
        <is>
          <t>Apoyo democracia</t>
        </is>
      </c>
      <c r="B1240" s="5" t="inlineStr">
        <is>
          <t>Nicaragua</t>
        </is>
      </c>
      <c r="C1240" s="5" t="n">
        <v>2004</v>
      </c>
      <c r="D1240" s="5" t="inlineStr">
        <is>
          <t>No contesta</t>
        </is>
      </c>
      <c r="E1240" s="6" t="n">
        <v>0.04</v>
      </c>
      <c r="F1240" s="7" t="n">
        <v>1000</v>
      </c>
    </row>
    <row r="1241">
      <c r="A1241" s="5" t="inlineStr">
        <is>
          <t>Apoyo democracia</t>
        </is>
      </c>
      <c r="B1241" s="5" t="inlineStr">
        <is>
          <t>Nicaragua</t>
        </is>
      </c>
      <c r="C1241" s="5" t="n">
        <v>2005</v>
      </c>
      <c r="D1241" s="5" t="inlineStr">
        <is>
          <t>Democracia</t>
        </is>
      </c>
      <c r="E1241" s="6" t="n">
        <v>0.5660000000000001</v>
      </c>
      <c r="F1241" s="7" t="n">
        <v>1000</v>
      </c>
    </row>
    <row r="1242">
      <c r="A1242" s="5" t="inlineStr">
        <is>
          <t>Apoyo democracia</t>
        </is>
      </c>
      <c r="B1242" s="5" t="inlineStr">
        <is>
          <t>Nicaragua</t>
        </is>
      </c>
      <c r="C1242" s="5" t="n">
        <v>2005</v>
      </c>
      <c r="D1242" s="5" t="inlineStr">
        <is>
          <t>Gobierno Autoritario</t>
        </is>
      </c>
      <c r="E1242" s="6" t="n">
        <v>0.1</v>
      </c>
      <c r="F1242" s="7" t="n">
        <v>1000</v>
      </c>
    </row>
    <row r="1243">
      <c r="A1243" s="5" t="inlineStr">
        <is>
          <t>Apoyo democracia</t>
        </is>
      </c>
      <c r="B1243" s="5" t="inlineStr">
        <is>
          <t>Nicaragua</t>
        </is>
      </c>
      <c r="C1243" s="5" t="n">
        <v>2005</v>
      </c>
      <c r="D1243" s="5" t="inlineStr">
        <is>
          <t>Da lo mismo</t>
        </is>
      </c>
      <c r="E1243" s="6" t="n">
        <v>0.175</v>
      </c>
      <c r="F1243" s="7" t="n">
        <v>1000</v>
      </c>
    </row>
    <row r="1244">
      <c r="A1244" s="5" t="inlineStr">
        <is>
          <t>Apoyo democracia</t>
        </is>
      </c>
      <c r="B1244" s="5" t="inlineStr">
        <is>
          <t>Nicaragua</t>
        </is>
      </c>
      <c r="C1244" s="5" t="n">
        <v>2005</v>
      </c>
      <c r="D1244" s="5" t="inlineStr">
        <is>
          <t>No sabe</t>
        </is>
      </c>
      <c r="E1244" s="6" t="n">
        <v>0.126</v>
      </c>
      <c r="F1244" s="7" t="n">
        <v>1000</v>
      </c>
    </row>
    <row r="1245">
      <c r="A1245" s="5" t="inlineStr">
        <is>
          <t>Apoyo democracia</t>
        </is>
      </c>
      <c r="B1245" s="5" t="inlineStr">
        <is>
          <t>Nicaragua</t>
        </is>
      </c>
      <c r="C1245" s="5" t="n">
        <v>2005</v>
      </c>
      <c r="D1245" s="5" t="inlineStr">
        <is>
          <t>No contesta</t>
        </is>
      </c>
      <c r="E1245" s="6" t="n">
        <v>0.032</v>
      </c>
      <c r="F1245" s="7" t="n">
        <v>1000</v>
      </c>
    </row>
    <row r="1246">
      <c r="A1246" s="5" t="inlineStr">
        <is>
          <t>Apoyo democracia</t>
        </is>
      </c>
      <c r="B1246" s="5" t="inlineStr">
        <is>
          <t>Nicaragua</t>
        </is>
      </c>
      <c r="C1246" s="5" t="n">
        <v>2006</v>
      </c>
      <c r="D1246" s="5" t="inlineStr">
        <is>
          <t>Democracia</t>
        </is>
      </c>
      <c r="E1246" s="6" t="n">
        <v>0.5639999999999999</v>
      </c>
      <c r="F1246" s="7" t="n">
        <v>1000</v>
      </c>
    </row>
    <row r="1247">
      <c r="A1247" s="5" t="inlineStr">
        <is>
          <t>Apoyo democracia</t>
        </is>
      </c>
      <c r="B1247" s="5" t="inlineStr">
        <is>
          <t>Nicaragua</t>
        </is>
      </c>
      <c r="C1247" s="5" t="n">
        <v>2006</v>
      </c>
      <c r="D1247" s="5" t="inlineStr">
        <is>
          <t>Gobierno Autoritario</t>
        </is>
      </c>
      <c r="E1247" s="6" t="n">
        <v>0.141</v>
      </c>
      <c r="F1247" s="7" t="n">
        <v>1000</v>
      </c>
    </row>
    <row r="1248">
      <c r="A1248" s="5" t="inlineStr">
        <is>
          <t>Apoyo democracia</t>
        </is>
      </c>
      <c r="B1248" s="5" t="inlineStr">
        <is>
          <t>Nicaragua</t>
        </is>
      </c>
      <c r="C1248" s="5" t="n">
        <v>2006</v>
      </c>
      <c r="D1248" s="5" t="inlineStr">
        <is>
          <t>Da lo mismo</t>
        </is>
      </c>
      <c r="E1248" s="6" t="n">
        <v>0.179</v>
      </c>
      <c r="F1248" s="7" t="n">
        <v>1000</v>
      </c>
    </row>
    <row r="1249">
      <c r="A1249" s="5" t="inlineStr">
        <is>
          <t>Apoyo democracia</t>
        </is>
      </c>
      <c r="B1249" s="5" t="inlineStr">
        <is>
          <t>Nicaragua</t>
        </is>
      </c>
      <c r="C1249" s="5" t="n">
        <v>2006</v>
      </c>
      <c r="D1249" s="5" t="inlineStr">
        <is>
          <t>No sabe</t>
        </is>
      </c>
      <c r="E1249" s="6" t="n">
        <v>0.106</v>
      </c>
      <c r="F1249" s="7" t="n">
        <v>1000</v>
      </c>
    </row>
    <row r="1250">
      <c r="A1250" s="5" t="inlineStr">
        <is>
          <t>Apoyo democracia</t>
        </is>
      </c>
      <c r="B1250" s="5" t="inlineStr">
        <is>
          <t>Nicaragua</t>
        </is>
      </c>
      <c r="C1250" s="5" t="n">
        <v>2006</v>
      </c>
      <c r="D1250" s="5" t="inlineStr">
        <is>
          <t>No contesta</t>
        </is>
      </c>
      <c r="E1250" s="6" t="n">
        <v>0.01</v>
      </c>
      <c r="F1250" s="7" t="n">
        <v>1000</v>
      </c>
    </row>
    <row r="1251">
      <c r="A1251" s="5" t="inlineStr">
        <is>
          <t>Apoyo democracia</t>
        </is>
      </c>
      <c r="B1251" s="5" t="inlineStr">
        <is>
          <t>Nicaragua</t>
        </is>
      </c>
      <c r="C1251" s="5" t="n">
        <v>2007</v>
      </c>
      <c r="D1251" s="5" t="inlineStr">
        <is>
          <t>Democracia</t>
        </is>
      </c>
      <c r="E1251" s="6" t="n">
        <v>0.614</v>
      </c>
      <c r="F1251" s="7" t="n">
        <v>1000</v>
      </c>
    </row>
    <row r="1252">
      <c r="A1252" s="5" t="inlineStr">
        <is>
          <t>Apoyo democracia</t>
        </is>
      </c>
      <c r="B1252" s="5" t="inlineStr">
        <is>
          <t>Nicaragua</t>
        </is>
      </c>
      <c r="C1252" s="5" t="n">
        <v>2007</v>
      </c>
      <c r="D1252" s="5" t="inlineStr">
        <is>
          <t>Gobierno Autoritario</t>
        </is>
      </c>
      <c r="E1252" s="6" t="n">
        <v>0.102</v>
      </c>
      <c r="F1252" s="7" t="n">
        <v>1000</v>
      </c>
    </row>
    <row r="1253">
      <c r="A1253" s="5" t="inlineStr">
        <is>
          <t>Apoyo democracia</t>
        </is>
      </c>
      <c r="B1253" s="5" t="inlineStr">
        <is>
          <t>Nicaragua</t>
        </is>
      </c>
      <c r="C1253" s="5" t="n">
        <v>2007</v>
      </c>
      <c r="D1253" s="5" t="inlineStr">
        <is>
          <t>Da lo mismo</t>
        </is>
      </c>
      <c r="E1253" s="6" t="n">
        <v>0.206</v>
      </c>
      <c r="F1253" s="7" t="n">
        <v>1000</v>
      </c>
    </row>
    <row r="1254">
      <c r="A1254" s="5" t="inlineStr">
        <is>
          <t>Apoyo democracia</t>
        </is>
      </c>
      <c r="B1254" s="5" t="inlineStr">
        <is>
          <t>Nicaragua</t>
        </is>
      </c>
      <c r="C1254" s="5" t="n">
        <v>2007</v>
      </c>
      <c r="D1254" s="5" t="inlineStr">
        <is>
          <t>No sabe</t>
        </is>
      </c>
      <c r="E1254" s="6" t="n">
        <v>0.065</v>
      </c>
      <c r="F1254" s="7" t="n">
        <v>1000</v>
      </c>
    </row>
    <row r="1255">
      <c r="A1255" s="5" t="inlineStr">
        <is>
          <t>Apoyo democracia</t>
        </is>
      </c>
      <c r="B1255" s="5" t="inlineStr">
        <is>
          <t>Nicaragua</t>
        </is>
      </c>
      <c r="C1255" s="5" t="n">
        <v>2007</v>
      </c>
      <c r="D1255" s="5" t="inlineStr">
        <is>
          <t>No contesta</t>
        </is>
      </c>
      <c r="E1255" s="6" t="n">
        <v>0.013</v>
      </c>
      <c r="F1255" s="7" t="n">
        <v>1000</v>
      </c>
    </row>
    <row r="1256">
      <c r="A1256" s="5" t="inlineStr">
        <is>
          <t>Apoyo democracia</t>
        </is>
      </c>
      <c r="B1256" s="5" t="inlineStr">
        <is>
          <t>Nicaragua</t>
        </is>
      </c>
      <c r="C1256" s="5" t="n">
        <v>2008</v>
      </c>
      <c r="D1256" s="5" t="inlineStr">
        <is>
          <t>Democracia</t>
        </is>
      </c>
      <c r="E1256" s="6" t="n">
        <v>0.584</v>
      </c>
      <c r="F1256" s="7" t="n">
        <v>1000</v>
      </c>
    </row>
    <row r="1257">
      <c r="A1257" s="5" t="inlineStr">
        <is>
          <t>Apoyo democracia</t>
        </is>
      </c>
      <c r="B1257" s="5" t="inlineStr">
        <is>
          <t>Nicaragua</t>
        </is>
      </c>
      <c r="C1257" s="5" t="n">
        <v>2008</v>
      </c>
      <c r="D1257" s="5" t="inlineStr">
        <is>
          <t>Gobierno Autoritario</t>
        </is>
      </c>
      <c r="E1257" s="6" t="n">
        <v>0.081</v>
      </c>
      <c r="F1257" s="7" t="n">
        <v>1000</v>
      </c>
    </row>
    <row r="1258">
      <c r="A1258" s="5" t="inlineStr">
        <is>
          <t>Apoyo democracia</t>
        </is>
      </c>
      <c r="B1258" s="5" t="inlineStr">
        <is>
          <t>Nicaragua</t>
        </is>
      </c>
      <c r="C1258" s="5" t="n">
        <v>2008</v>
      </c>
      <c r="D1258" s="5" t="inlineStr">
        <is>
          <t>Da lo mismo</t>
        </is>
      </c>
      <c r="E1258" s="6" t="n">
        <v>0.235</v>
      </c>
      <c r="F1258" s="7" t="n">
        <v>1000</v>
      </c>
    </row>
    <row r="1259">
      <c r="A1259" s="5" t="inlineStr">
        <is>
          <t>Apoyo democracia</t>
        </is>
      </c>
      <c r="B1259" s="5" t="inlineStr">
        <is>
          <t>Nicaragua</t>
        </is>
      </c>
      <c r="C1259" s="5" t="n">
        <v>2008</v>
      </c>
      <c r="D1259" s="5" t="inlineStr">
        <is>
          <t>No sabe</t>
        </is>
      </c>
      <c r="E1259" s="6" t="n">
        <v>0.091</v>
      </c>
      <c r="F1259" s="7" t="n">
        <v>1000</v>
      </c>
    </row>
    <row r="1260">
      <c r="A1260" s="5" t="inlineStr">
        <is>
          <t>Apoyo democracia</t>
        </is>
      </c>
      <c r="B1260" s="5" t="inlineStr">
        <is>
          <t>Nicaragua</t>
        </is>
      </c>
      <c r="C1260" s="5" t="n">
        <v>2008</v>
      </c>
      <c r="D1260" s="5" t="inlineStr">
        <is>
          <t>No contesta</t>
        </is>
      </c>
      <c r="E1260" s="6" t="n">
        <v>0.009000000000000001</v>
      </c>
      <c r="F1260" s="7" t="n">
        <v>1000</v>
      </c>
    </row>
    <row r="1261">
      <c r="A1261" s="5" t="inlineStr">
        <is>
          <t>Apoyo democracia</t>
        </is>
      </c>
      <c r="B1261" s="5" t="inlineStr">
        <is>
          <t>Nicaragua</t>
        </is>
      </c>
      <c r="C1261" s="5" t="n">
        <v>2009</v>
      </c>
      <c r="D1261" s="5" t="inlineStr">
        <is>
          <t>Democracia</t>
        </is>
      </c>
      <c r="E1261" s="6" t="n">
        <v>0.5489999999999999</v>
      </c>
      <c r="F1261" s="7" t="n">
        <v>1000</v>
      </c>
    </row>
    <row r="1262">
      <c r="A1262" s="5" t="inlineStr">
        <is>
          <t>Apoyo democracia</t>
        </is>
      </c>
      <c r="B1262" s="5" t="inlineStr">
        <is>
          <t>Nicaragua</t>
        </is>
      </c>
      <c r="C1262" s="5" t="n">
        <v>2009</v>
      </c>
      <c r="D1262" s="5" t="inlineStr">
        <is>
          <t>Gobierno Autoritario</t>
        </is>
      </c>
      <c r="E1262" s="6" t="n">
        <v>0.101</v>
      </c>
      <c r="F1262" s="7" t="n">
        <v>1000</v>
      </c>
    </row>
    <row r="1263">
      <c r="A1263" s="5" t="inlineStr">
        <is>
          <t>Apoyo democracia</t>
        </is>
      </c>
      <c r="B1263" s="5" t="inlineStr">
        <is>
          <t>Nicaragua</t>
        </is>
      </c>
      <c r="C1263" s="5" t="n">
        <v>2009</v>
      </c>
      <c r="D1263" s="5" t="inlineStr">
        <is>
          <t>Da lo mismo</t>
        </is>
      </c>
      <c r="E1263" s="6" t="n">
        <v>0.251</v>
      </c>
      <c r="F1263" s="7" t="n">
        <v>1000</v>
      </c>
    </row>
    <row r="1264">
      <c r="A1264" s="5" t="inlineStr">
        <is>
          <t>Apoyo democracia</t>
        </is>
      </c>
      <c r="B1264" s="5" t="inlineStr">
        <is>
          <t>Nicaragua</t>
        </is>
      </c>
      <c r="C1264" s="5" t="n">
        <v>2009</v>
      </c>
      <c r="D1264" s="5" t="inlineStr">
        <is>
          <t>No sabe</t>
        </is>
      </c>
      <c r="E1264" s="6" t="n">
        <v>0.08699999999999999</v>
      </c>
      <c r="F1264" s="7" t="n">
        <v>1000</v>
      </c>
    </row>
    <row r="1265">
      <c r="A1265" s="5" t="inlineStr">
        <is>
          <t>Apoyo democracia</t>
        </is>
      </c>
      <c r="B1265" s="5" t="inlineStr">
        <is>
          <t>Nicaragua</t>
        </is>
      </c>
      <c r="C1265" s="5" t="n">
        <v>2009</v>
      </c>
      <c r="D1265" s="5" t="inlineStr">
        <is>
          <t>No contesta</t>
        </is>
      </c>
      <c r="E1265" s="6" t="n">
        <v>0.012</v>
      </c>
      <c r="F1265" s="7" t="n">
        <v>1000</v>
      </c>
    </row>
    <row r="1266">
      <c r="A1266" s="5" t="inlineStr">
        <is>
          <t>Apoyo democracia</t>
        </is>
      </c>
      <c r="B1266" s="5" t="inlineStr">
        <is>
          <t>Nicaragua</t>
        </is>
      </c>
      <c r="C1266" s="5" t="n">
        <v>2010</v>
      </c>
      <c r="D1266" s="5" t="inlineStr">
        <is>
          <t>Democracia</t>
        </is>
      </c>
      <c r="E1266" s="6" t="n">
        <v>0.584</v>
      </c>
      <c r="F1266" s="7" t="n">
        <v>1000</v>
      </c>
    </row>
    <row r="1267">
      <c r="A1267" s="5" t="inlineStr">
        <is>
          <t>Apoyo democracia</t>
        </is>
      </c>
      <c r="B1267" s="5" t="inlineStr">
        <is>
          <t>Nicaragua</t>
        </is>
      </c>
      <c r="C1267" s="5" t="n">
        <v>2010</v>
      </c>
      <c r="D1267" s="5" t="inlineStr">
        <is>
          <t>Gobierno Autoritario</t>
        </is>
      </c>
      <c r="E1267" s="6" t="n">
        <v>0.08599999999999999</v>
      </c>
      <c r="F1267" s="7" t="n">
        <v>1000</v>
      </c>
    </row>
    <row r="1268">
      <c r="A1268" s="5" t="inlineStr">
        <is>
          <t>Apoyo democracia</t>
        </is>
      </c>
      <c r="B1268" s="5" t="inlineStr">
        <is>
          <t>Nicaragua</t>
        </is>
      </c>
      <c r="C1268" s="5" t="n">
        <v>2010</v>
      </c>
      <c r="D1268" s="5" t="inlineStr">
        <is>
          <t>Da lo mismo</t>
        </is>
      </c>
      <c r="E1268" s="6" t="n">
        <v>0.197</v>
      </c>
      <c r="F1268" s="7" t="n">
        <v>1000</v>
      </c>
    </row>
    <row r="1269">
      <c r="A1269" s="5" t="inlineStr">
        <is>
          <t>Apoyo democracia</t>
        </is>
      </c>
      <c r="B1269" s="5" t="inlineStr">
        <is>
          <t>Nicaragua</t>
        </is>
      </c>
      <c r="C1269" s="5" t="n">
        <v>2010</v>
      </c>
      <c r="D1269" s="5" t="inlineStr">
        <is>
          <t>No sabe</t>
        </is>
      </c>
      <c r="E1269" s="6" t="n">
        <v>0.118</v>
      </c>
      <c r="F1269" s="7" t="n">
        <v>1000</v>
      </c>
    </row>
    <row r="1270">
      <c r="A1270" s="5" t="inlineStr">
        <is>
          <t>Apoyo democracia</t>
        </is>
      </c>
      <c r="B1270" s="5" t="inlineStr">
        <is>
          <t>Nicaragua</t>
        </is>
      </c>
      <c r="C1270" s="5" t="n">
        <v>2010</v>
      </c>
      <c r="D1270" s="5" t="inlineStr">
        <is>
          <t>No contesta</t>
        </is>
      </c>
      <c r="E1270" s="6" t="n">
        <v>0.015</v>
      </c>
      <c r="F1270" s="7" t="n">
        <v>1000</v>
      </c>
    </row>
    <row r="1271">
      <c r="A1271" s="5" t="inlineStr">
        <is>
          <t>Apoyo democracia</t>
        </is>
      </c>
      <c r="B1271" s="5" t="inlineStr">
        <is>
          <t>Nicaragua</t>
        </is>
      </c>
      <c r="C1271" s="5" t="n">
        <v>2011</v>
      </c>
      <c r="D1271" s="5" t="inlineStr">
        <is>
          <t>Democracia</t>
        </is>
      </c>
      <c r="E1271" s="6" t="n">
        <v>0.504</v>
      </c>
      <c r="F1271" s="7" t="n">
        <v>1000</v>
      </c>
    </row>
    <row r="1272">
      <c r="A1272" s="5" t="inlineStr">
        <is>
          <t>Apoyo democracia</t>
        </is>
      </c>
      <c r="B1272" s="5" t="inlineStr">
        <is>
          <t>Nicaragua</t>
        </is>
      </c>
      <c r="C1272" s="5" t="n">
        <v>2011</v>
      </c>
      <c r="D1272" s="5" t="inlineStr">
        <is>
          <t>Gobierno Autoritario</t>
        </is>
      </c>
      <c r="E1272" s="6" t="n">
        <v>0.15</v>
      </c>
      <c r="F1272" s="7" t="n">
        <v>1000</v>
      </c>
    </row>
    <row r="1273">
      <c r="A1273" s="5" t="inlineStr">
        <is>
          <t>Apoyo democracia</t>
        </is>
      </c>
      <c r="B1273" s="5" t="inlineStr">
        <is>
          <t>Nicaragua</t>
        </is>
      </c>
      <c r="C1273" s="5" t="n">
        <v>2011</v>
      </c>
      <c r="D1273" s="5" t="inlineStr">
        <is>
          <t>Da lo mismo</t>
        </is>
      </c>
      <c r="E1273" s="6" t="n">
        <v>0.188</v>
      </c>
      <c r="F1273" s="7" t="n">
        <v>1000</v>
      </c>
    </row>
    <row r="1274">
      <c r="A1274" s="5" t="inlineStr">
        <is>
          <t>Apoyo democracia</t>
        </is>
      </c>
      <c r="B1274" s="5" t="inlineStr">
        <is>
          <t>Nicaragua</t>
        </is>
      </c>
      <c r="C1274" s="5" t="n">
        <v>2011</v>
      </c>
      <c r="D1274" s="5" t="inlineStr">
        <is>
          <t>No sabe</t>
        </is>
      </c>
      <c r="E1274" s="6" t="n">
        <v>0.149</v>
      </c>
      <c r="F1274" s="7" t="n">
        <v>1000</v>
      </c>
    </row>
    <row r="1275">
      <c r="A1275" s="5" t="inlineStr">
        <is>
          <t>Apoyo democracia</t>
        </is>
      </c>
      <c r="B1275" s="5" t="inlineStr">
        <is>
          <t>Nicaragua</t>
        </is>
      </c>
      <c r="C1275" s="5" t="n">
        <v>2011</v>
      </c>
      <c r="D1275" s="5" t="inlineStr">
        <is>
          <t>No contesta</t>
        </is>
      </c>
      <c r="E1275" s="6" t="n">
        <v>0.01</v>
      </c>
      <c r="F1275" s="7" t="n">
        <v>1000</v>
      </c>
    </row>
    <row r="1276">
      <c r="A1276" s="5" t="inlineStr">
        <is>
          <t>Apoyo democracia</t>
        </is>
      </c>
      <c r="B1276" s="5" t="inlineStr">
        <is>
          <t>Nicaragua</t>
        </is>
      </c>
      <c r="C1276" s="5" t="n">
        <v>2016</v>
      </c>
      <c r="D1276" s="5" t="inlineStr">
        <is>
          <t>Democracia</t>
        </is>
      </c>
      <c r="E1276" s="6" t="n">
        <v>0.414</v>
      </c>
      <c r="F1276" s="7" t="n">
        <v>1000</v>
      </c>
    </row>
    <row r="1277">
      <c r="A1277" s="5" t="inlineStr">
        <is>
          <t>Apoyo democracia</t>
        </is>
      </c>
      <c r="B1277" s="5" t="inlineStr">
        <is>
          <t>Nicaragua</t>
        </is>
      </c>
      <c r="C1277" s="5" t="n">
        <v>2016</v>
      </c>
      <c r="D1277" s="5" t="inlineStr">
        <is>
          <t>Gobierno Autoritario</t>
        </is>
      </c>
      <c r="E1277" s="6" t="n">
        <v>0.21</v>
      </c>
      <c r="F1277" s="7" t="n">
        <v>1000</v>
      </c>
    </row>
    <row r="1278">
      <c r="A1278" s="5" t="inlineStr">
        <is>
          <t>Apoyo democracia</t>
        </is>
      </c>
      <c r="B1278" s="5" t="inlineStr">
        <is>
          <t>Nicaragua</t>
        </is>
      </c>
      <c r="C1278" s="5" t="n">
        <v>2016</v>
      </c>
      <c r="D1278" s="5" t="inlineStr">
        <is>
          <t>Da lo mismo</t>
        </is>
      </c>
      <c r="E1278" s="6" t="n">
        <v>0.242</v>
      </c>
      <c r="F1278" s="7" t="n">
        <v>1000</v>
      </c>
    </row>
    <row r="1279">
      <c r="A1279" s="5" t="inlineStr">
        <is>
          <t>Apoyo democracia</t>
        </is>
      </c>
      <c r="B1279" s="5" t="inlineStr">
        <is>
          <t>Nicaragua</t>
        </is>
      </c>
      <c r="C1279" s="5" t="n">
        <v>2016</v>
      </c>
      <c r="D1279" s="5" t="inlineStr">
        <is>
          <t>No sabe</t>
        </is>
      </c>
      <c r="E1279" s="6" t="n">
        <v>0.118</v>
      </c>
      <c r="F1279" s="7" t="n">
        <v>1000</v>
      </c>
    </row>
    <row r="1280">
      <c r="A1280" s="5" t="inlineStr">
        <is>
          <t>Apoyo democracia</t>
        </is>
      </c>
      <c r="B1280" s="5" t="inlineStr">
        <is>
          <t>Nicaragua</t>
        </is>
      </c>
      <c r="C1280" s="5" t="n">
        <v>2016</v>
      </c>
      <c r="D1280" s="5" t="inlineStr">
        <is>
          <t>No contesta</t>
        </is>
      </c>
      <c r="E1280" s="6" t="n">
        <v>0.016</v>
      </c>
      <c r="F1280" s="7" t="n">
        <v>1000</v>
      </c>
    </row>
    <row r="1281">
      <c r="A1281" s="5" t="inlineStr">
        <is>
          <t>Apoyo democracia</t>
        </is>
      </c>
      <c r="B1281" s="5" t="inlineStr">
        <is>
          <t>Nicaragua</t>
        </is>
      </c>
      <c r="C1281" s="5" t="n">
        <v>2017</v>
      </c>
      <c r="D1281" s="5" t="inlineStr">
        <is>
          <t>Democracia</t>
        </is>
      </c>
      <c r="E1281" s="6" t="n">
        <v>0.398</v>
      </c>
      <c r="F1281" s="7" t="n">
        <v>1000</v>
      </c>
    </row>
    <row r="1282">
      <c r="A1282" s="5" t="inlineStr">
        <is>
          <t>Apoyo democracia</t>
        </is>
      </c>
      <c r="B1282" s="5" t="inlineStr">
        <is>
          <t>Nicaragua</t>
        </is>
      </c>
      <c r="C1282" s="5" t="n">
        <v>2017</v>
      </c>
      <c r="D1282" s="5" t="inlineStr">
        <is>
          <t>Gobierno Autoritario</t>
        </is>
      </c>
      <c r="E1282" s="6" t="n">
        <v>0.08400000000000001</v>
      </c>
      <c r="F1282" s="7" t="n">
        <v>1000</v>
      </c>
    </row>
    <row r="1283">
      <c r="A1283" s="5" t="inlineStr">
        <is>
          <t>Apoyo democracia</t>
        </is>
      </c>
      <c r="B1283" s="5" t="inlineStr">
        <is>
          <t>Nicaragua</t>
        </is>
      </c>
      <c r="C1283" s="5" t="n">
        <v>2017</v>
      </c>
      <c r="D1283" s="5" t="inlineStr">
        <is>
          <t>Da lo mismo</t>
        </is>
      </c>
      <c r="E1283" s="6" t="n">
        <v>0.338</v>
      </c>
      <c r="F1283" s="7" t="n">
        <v>1000</v>
      </c>
    </row>
    <row r="1284">
      <c r="A1284" s="5" t="inlineStr">
        <is>
          <t>Apoyo democracia</t>
        </is>
      </c>
      <c r="B1284" s="5" t="inlineStr">
        <is>
          <t>Nicaragua</t>
        </is>
      </c>
      <c r="C1284" s="5" t="n">
        <v>2017</v>
      </c>
      <c r="D1284" s="5" t="inlineStr">
        <is>
          <t>No sabe</t>
        </is>
      </c>
      <c r="E1284" s="6" t="n">
        <v>0.161</v>
      </c>
      <c r="F1284" s="7" t="n">
        <v>1000</v>
      </c>
    </row>
    <row r="1285">
      <c r="A1285" s="5" t="inlineStr">
        <is>
          <t>Apoyo democracia</t>
        </is>
      </c>
      <c r="B1285" s="5" t="inlineStr">
        <is>
          <t>Nicaragua</t>
        </is>
      </c>
      <c r="C1285" s="5" t="n">
        <v>2017</v>
      </c>
      <c r="D1285" s="5" t="inlineStr">
        <is>
          <t>No contesta</t>
        </is>
      </c>
      <c r="E1285" s="6" t="n">
        <v>0.019</v>
      </c>
      <c r="F1285" s="7" t="n">
        <v>1000</v>
      </c>
    </row>
    <row r="1286">
      <c r="A1286" s="5" t="inlineStr">
        <is>
          <t>Apoyo democracia</t>
        </is>
      </c>
      <c r="B1286" s="5" t="inlineStr">
        <is>
          <t>Nicaragua</t>
        </is>
      </c>
      <c r="C1286" s="5" t="n">
        <v>2018</v>
      </c>
      <c r="D1286" s="5" t="inlineStr">
        <is>
          <t>Democracia</t>
        </is>
      </c>
      <c r="E1286" s="6" t="n">
        <v>0.515</v>
      </c>
      <c r="F1286" s="7" t="n">
        <v>1000</v>
      </c>
    </row>
    <row r="1287">
      <c r="A1287" s="5" t="inlineStr">
        <is>
          <t>Apoyo democracia</t>
        </is>
      </c>
      <c r="B1287" s="5" t="inlineStr">
        <is>
          <t>Nicaragua</t>
        </is>
      </c>
      <c r="C1287" s="5" t="n">
        <v>2018</v>
      </c>
      <c r="D1287" s="5" t="inlineStr">
        <is>
          <t>Gobierno Autoritario</t>
        </is>
      </c>
      <c r="E1287" s="6" t="n">
        <v>0.102</v>
      </c>
      <c r="F1287" s="7" t="n">
        <v>1000</v>
      </c>
    </row>
    <row r="1288">
      <c r="A1288" s="5" t="inlineStr">
        <is>
          <t>Apoyo democracia</t>
        </is>
      </c>
      <c r="B1288" s="5" t="inlineStr">
        <is>
          <t>Nicaragua</t>
        </is>
      </c>
      <c r="C1288" s="5" t="n">
        <v>2018</v>
      </c>
      <c r="D1288" s="5" t="inlineStr">
        <is>
          <t>Da lo mismo</t>
        </is>
      </c>
      <c r="E1288" s="6" t="n">
        <v>0.252</v>
      </c>
      <c r="F1288" s="7" t="n">
        <v>1000</v>
      </c>
    </row>
    <row r="1289">
      <c r="A1289" s="5" t="inlineStr">
        <is>
          <t>Apoyo democracia</t>
        </is>
      </c>
      <c r="B1289" s="5" t="inlineStr">
        <is>
          <t>Nicaragua</t>
        </is>
      </c>
      <c r="C1289" s="5" t="n">
        <v>2018</v>
      </c>
      <c r="D1289" s="5" t="inlineStr">
        <is>
          <t>No sabe</t>
        </is>
      </c>
      <c r="E1289" s="6" t="n">
        <v>0.113</v>
      </c>
      <c r="F1289" s="7" t="n">
        <v>1000</v>
      </c>
    </row>
    <row r="1290">
      <c r="A1290" s="5" t="inlineStr">
        <is>
          <t>Apoyo democracia</t>
        </is>
      </c>
      <c r="B1290" s="5" t="inlineStr">
        <is>
          <t>Nicaragua</t>
        </is>
      </c>
      <c r="C1290" s="5" t="n">
        <v>2018</v>
      </c>
      <c r="D1290" s="5" t="inlineStr">
        <is>
          <t>No contesta</t>
        </is>
      </c>
      <c r="E1290" s="6" t="n">
        <v>0.018</v>
      </c>
      <c r="F1290" s="7" t="n">
        <v>1000</v>
      </c>
    </row>
    <row r="1291">
      <c r="A1291" s="5" t="inlineStr">
        <is>
          <t>Apoyo democracia</t>
        </is>
      </c>
      <c r="B1291" s="5" t="inlineStr">
        <is>
          <t>Nicaragua</t>
        </is>
      </c>
      <c r="C1291" s="5" t="n">
        <v>2020</v>
      </c>
      <c r="D1291" s="5" t="inlineStr">
        <is>
          <t>Democracia</t>
        </is>
      </c>
      <c r="E1291" s="6" t="n">
        <v>0.478</v>
      </c>
      <c r="F1291" s="7" t="n">
        <v>1004</v>
      </c>
    </row>
    <row r="1292">
      <c r="A1292" s="5" t="inlineStr">
        <is>
          <t>Apoyo democracia</t>
        </is>
      </c>
      <c r="B1292" s="5" t="inlineStr">
        <is>
          <t>Nicaragua</t>
        </is>
      </c>
      <c r="C1292" s="5" t="n">
        <v>2020</v>
      </c>
      <c r="D1292" s="5" t="inlineStr">
        <is>
          <t>Gobierno Autoritario</t>
        </is>
      </c>
      <c r="E1292" s="6" t="n">
        <v>0.095</v>
      </c>
      <c r="F1292" s="7" t="n">
        <v>1004</v>
      </c>
    </row>
    <row r="1293">
      <c r="A1293" s="5" t="inlineStr">
        <is>
          <t>Apoyo democracia</t>
        </is>
      </c>
      <c r="B1293" s="5" t="inlineStr">
        <is>
          <t>Nicaragua</t>
        </is>
      </c>
      <c r="C1293" s="5" t="n">
        <v>2020</v>
      </c>
      <c r="D1293" s="5" t="inlineStr">
        <is>
          <t>Da lo mismo</t>
        </is>
      </c>
      <c r="E1293" s="6" t="n">
        <v>0.274</v>
      </c>
      <c r="F1293" s="7" t="n">
        <v>1004</v>
      </c>
    </row>
    <row r="1294">
      <c r="A1294" s="5" t="inlineStr">
        <is>
          <t>Apoyo democracia</t>
        </is>
      </c>
      <c r="B1294" s="5" t="inlineStr">
        <is>
          <t>Nicaragua</t>
        </is>
      </c>
      <c r="C1294" s="5" t="n">
        <v>2020</v>
      </c>
      <c r="D1294" s="5" t="inlineStr">
        <is>
          <t>No sabe</t>
        </is>
      </c>
      <c r="E1294" s="6" t="n">
        <v>0.106</v>
      </c>
      <c r="F1294" s="7" t="n">
        <v>1004</v>
      </c>
    </row>
    <row r="1295">
      <c r="A1295" s="5" t="inlineStr">
        <is>
          <t>Apoyo democracia</t>
        </is>
      </c>
      <c r="B1295" s="5" t="inlineStr">
        <is>
          <t>Nicaragua</t>
        </is>
      </c>
      <c r="C1295" s="5" t="n">
        <v>2020</v>
      </c>
      <c r="D1295" s="5" t="inlineStr">
        <is>
          <t>No contesta</t>
        </is>
      </c>
      <c r="E1295" s="6" t="n">
        <v>0.046</v>
      </c>
      <c r="F1295" s="7" t="n">
        <v>1004</v>
      </c>
    </row>
    <row r="1296">
      <c r="A1296" s="5" t="inlineStr">
        <is>
          <t>Apoyo democracia</t>
        </is>
      </c>
      <c r="B1296" s="5" t="inlineStr">
        <is>
          <t>Panamá</t>
        </is>
      </c>
      <c r="C1296" s="5" t="n">
        <v>1996</v>
      </c>
      <c r="D1296" s="5" t="inlineStr">
        <is>
          <t>Democracia</t>
        </is>
      </c>
      <c r="E1296" s="6" t="n">
        <v>0.748</v>
      </c>
      <c r="F1296" s="7" t="n">
        <v>1005</v>
      </c>
    </row>
    <row r="1297">
      <c r="A1297" s="5" t="inlineStr">
        <is>
          <t>Apoyo democracia</t>
        </is>
      </c>
      <c r="B1297" s="5" t="inlineStr">
        <is>
          <t>Panamá</t>
        </is>
      </c>
      <c r="C1297" s="5" t="n">
        <v>1996</v>
      </c>
      <c r="D1297" s="5" t="inlineStr">
        <is>
          <t>Gobierno Autoritario</t>
        </is>
      </c>
      <c r="E1297" s="6" t="n">
        <v>0.098</v>
      </c>
      <c r="F1297" s="7" t="n">
        <v>1005</v>
      </c>
    </row>
    <row r="1298">
      <c r="A1298" s="5" t="inlineStr">
        <is>
          <t>Apoyo democracia</t>
        </is>
      </c>
      <c r="B1298" s="5" t="inlineStr">
        <is>
          <t>Panamá</t>
        </is>
      </c>
      <c r="C1298" s="5" t="n">
        <v>1996</v>
      </c>
      <c r="D1298" s="5" t="inlineStr">
        <is>
          <t>Da lo mismo</t>
        </is>
      </c>
      <c r="E1298" s="6" t="n">
        <v>0.12</v>
      </c>
      <c r="F1298" s="7" t="n">
        <v>1005</v>
      </c>
    </row>
    <row r="1299">
      <c r="A1299" s="5" t="inlineStr">
        <is>
          <t>Apoyo democracia</t>
        </is>
      </c>
      <c r="B1299" s="5" t="inlineStr">
        <is>
          <t>Panamá</t>
        </is>
      </c>
      <c r="C1299" s="5" t="n">
        <v>1996</v>
      </c>
      <c r="D1299" s="5" t="inlineStr">
        <is>
          <t>No sabe</t>
        </is>
      </c>
      <c r="E1299" s="6" t="n">
        <v>0.018</v>
      </c>
      <c r="F1299" s="7" t="n">
        <v>1005</v>
      </c>
    </row>
    <row r="1300">
      <c r="A1300" s="5" t="inlineStr">
        <is>
          <t>Apoyo democracia</t>
        </is>
      </c>
      <c r="B1300" s="5" t="inlineStr">
        <is>
          <t>Panamá</t>
        </is>
      </c>
      <c r="C1300" s="5" t="n">
        <v>1996</v>
      </c>
      <c r="D1300" s="5" t="inlineStr">
        <is>
          <t>No contesta</t>
        </is>
      </c>
      <c r="E1300" s="6" t="n">
        <v>0.016</v>
      </c>
      <c r="F1300" s="7" t="n">
        <v>1005</v>
      </c>
    </row>
    <row r="1301">
      <c r="A1301" s="5" t="inlineStr">
        <is>
          <t>Apoyo democracia</t>
        </is>
      </c>
      <c r="B1301" s="5" t="inlineStr">
        <is>
          <t>Panamá</t>
        </is>
      </c>
      <c r="C1301" s="5" t="n">
        <v>1997</v>
      </c>
      <c r="D1301" s="5" t="inlineStr">
        <is>
          <t>Democracia</t>
        </is>
      </c>
      <c r="E1301" s="6" t="n">
        <v>0.7090000000000001</v>
      </c>
      <c r="F1301" s="7" t="n">
        <v>1021</v>
      </c>
    </row>
    <row r="1302">
      <c r="A1302" s="5" t="inlineStr">
        <is>
          <t>Apoyo democracia</t>
        </is>
      </c>
      <c r="B1302" s="5" t="inlineStr">
        <is>
          <t>Panamá</t>
        </is>
      </c>
      <c r="C1302" s="5" t="n">
        <v>1997</v>
      </c>
      <c r="D1302" s="5" t="inlineStr">
        <is>
          <t>Gobierno Autoritario</t>
        </is>
      </c>
      <c r="E1302" s="6" t="n">
        <v>0.105</v>
      </c>
      <c r="F1302" s="7" t="n">
        <v>1021</v>
      </c>
    </row>
    <row r="1303">
      <c r="A1303" s="5" t="inlineStr">
        <is>
          <t>Apoyo democracia</t>
        </is>
      </c>
      <c r="B1303" s="5" t="inlineStr">
        <is>
          <t>Panamá</t>
        </is>
      </c>
      <c r="C1303" s="5" t="n">
        <v>1997</v>
      </c>
      <c r="D1303" s="5" t="inlineStr">
        <is>
          <t>Da lo mismo</t>
        </is>
      </c>
      <c r="E1303" s="6" t="n">
        <v>0.139</v>
      </c>
      <c r="F1303" s="7" t="n">
        <v>1021</v>
      </c>
    </row>
    <row r="1304">
      <c r="A1304" s="5" t="inlineStr">
        <is>
          <t>Apoyo democracia</t>
        </is>
      </c>
      <c r="B1304" s="5" t="inlineStr">
        <is>
          <t>Panamá</t>
        </is>
      </c>
      <c r="C1304" s="5" t="n">
        <v>1997</v>
      </c>
      <c r="D1304" s="5" t="inlineStr">
        <is>
          <t>No sabe</t>
        </is>
      </c>
      <c r="E1304" s="6" t="n">
        <v>0.03</v>
      </c>
      <c r="F1304" s="7" t="n">
        <v>1021</v>
      </c>
    </row>
    <row r="1305">
      <c r="A1305" s="5" t="inlineStr">
        <is>
          <t>Apoyo democracia</t>
        </is>
      </c>
      <c r="B1305" s="5" t="inlineStr">
        <is>
          <t>Panamá</t>
        </is>
      </c>
      <c r="C1305" s="5" t="n">
        <v>1997</v>
      </c>
      <c r="D1305" s="5" t="inlineStr">
        <is>
          <t>No contesta</t>
        </is>
      </c>
      <c r="E1305" s="6" t="n">
        <v>0.017</v>
      </c>
      <c r="F1305" s="7" t="n">
        <v>1021</v>
      </c>
    </row>
    <row r="1306">
      <c r="A1306" s="5" t="inlineStr">
        <is>
          <t>Apoyo democracia</t>
        </is>
      </c>
      <c r="B1306" s="5" t="inlineStr">
        <is>
          <t>Panamá</t>
        </is>
      </c>
      <c r="C1306" s="5" t="n">
        <v>1998</v>
      </c>
      <c r="D1306" s="5" t="inlineStr">
        <is>
          <t>Democracia</t>
        </is>
      </c>
      <c r="E1306" s="6" t="n">
        <v>0.7140000000000001</v>
      </c>
      <c r="F1306" s="7" t="n">
        <v>1000</v>
      </c>
    </row>
    <row r="1307">
      <c r="A1307" s="5" t="inlineStr">
        <is>
          <t>Apoyo democracia</t>
        </is>
      </c>
      <c r="B1307" s="5" t="inlineStr">
        <is>
          <t>Panamá</t>
        </is>
      </c>
      <c r="C1307" s="5" t="n">
        <v>1998</v>
      </c>
      <c r="D1307" s="5" t="inlineStr">
        <is>
          <t>Gobierno Autoritario</t>
        </is>
      </c>
      <c r="E1307" s="6" t="n">
        <v>0.08400000000000001</v>
      </c>
      <c r="F1307" s="7" t="n">
        <v>1000</v>
      </c>
    </row>
    <row r="1308">
      <c r="A1308" s="5" t="inlineStr">
        <is>
          <t>Apoyo democracia</t>
        </is>
      </c>
      <c r="B1308" s="5" t="inlineStr">
        <is>
          <t>Panamá</t>
        </is>
      </c>
      <c r="C1308" s="5" t="n">
        <v>1998</v>
      </c>
      <c r="D1308" s="5" t="inlineStr">
        <is>
          <t>Da lo mismo</t>
        </is>
      </c>
      <c r="E1308" s="6" t="n">
        <v>0.158</v>
      </c>
      <c r="F1308" s="7" t="n">
        <v>1000</v>
      </c>
    </row>
    <row r="1309">
      <c r="A1309" s="5" t="inlineStr">
        <is>
          <t>Apoyo democracia</t>
        </is>
      </c>
      <c r="B1309" s="5" t="inlineStr">
        <is>
          <t>Panamá</t>
        </is>
      </c>
      <c r="C1309" s="5" t="n">
        <v>1998</v>
      </c>
      <c r="D1309" s="5" t="inlineStr">
        <is>
          <t>No sabe</t>
        </is>
      </c>
      <c r="E1309" s="6" t="n">
        <v>0.033</v>
      </c>
      <c r="F1309" s="7" t="n">
        <v>1000</v>
      </c>
    </row>
    <row r="1310">
      <c r="A1310" s="5" t="inlineStr">
        <is>
          <t>Apoyo democracia</t>
        </is>
      </c>
      <c r="B1310" s="5" t="inlineStr">
        <is>
          <t>Panamá</t>
        </is>
      </c>
      <c r="C1310" s="5" t="n">
        <v>1998</v>
      </c>
      <c r="D1310" s="5" t="inlineStr">
        <is>
          <t>No contesta</t>
        </is>
      </c>
      <c r="E1310" s="6" t="n">
        <v>0.011</v>
      </c>
      <c r="F1310" s="7" t="n">
        <v>1000</v>
      </c>
    </row>
    <row r="1311">
      <c r="A1311" s="5" t="inlineStr">
        <is>
          <t>Apoyo democracia</t>
        </is>
      </c>
      <c r="B1311" s="5" t="inlineStr">
        <is>
          <t>Panamá</t>
        </is>
      </c>
      <c r="C1311" s="5" t="n">
        <v>2000</v>
      </c>
      <c r="D1311" s="5" t="inlineStr">
        <is>
          <t>Democracia</t>
        </is>
      </c>
      <c r="E1311" s="6" t="n">
        <v>0.62</v>
      </c>
      <c r="F1311" s="7" t="n">
        <v>993</v>
      </c>
    </row>
    <row r="1312">
      <c r="A1312" s="5" t="inlineStr">
        <is>
          <t>Apoyo democracia</t>
        </is>
      </c>
      <c r="B1312" s="5" t="inlineStr">
        <is>
          <t>Panamá</t>
        </is>
      </c>
      <c r="C1312" s="5" t="n">
        <v>2000</v>
      </c>
      <c r="D1312" s="5" t="inlineStr">
        <is>
          <t>Gobierno Autoritario</t>
        </is>
      </c>
      <c r="E1312" s="6" t="n">
        <v>0.182</v>
      </c>
      <c r="F1312" s="7" t="n">
        <v>993</v>
      </c>
    </row>
    <row r="1313">
      <c r="A1313" s="5" t="inlineStr">
        <is>
          <t>Apoyo democracia</t>
        </is>
      </c>
      <c r="B1313" s="5" t="inlineStr">
        <is>
          <t>Panamá</t>
        </is>
      </c>
      <c r="C1313" s="5" t="n">
        <v>2000</v>
      </c>
      <c r="D1313" s="5" t="inlineStr">
        <is>
          <t>Da lo mismo</t>
        </is>
      </c>
      <c r="E1313" s="6" t="n">
        <v>0.153</v>
      </c>
      <c r="F1313" s="7" t="n">
        <v>993</v>
      </c>
    </row>
    <row r="1314">
      <c r="A1314" s="5" t="inlineStr">
        <is>
          <t>Apoyo democracia</t>
        </is>
      </c>
      <c r="B1314" s="5" t="inlineStr">
        <is>
          <t>Panamá</t>
        </is>
      </c>
      <c r="C1314" s="5" t="n">
        <v>2000</v>
      </c>
      <c r="D1314" s="5" t="inlineStr">
        <is>
          <t>No sabe</t>
        </is>
      </c>
      <c r="E1314" s="6" t="n">
        <v>0.031</v>
      </c>
      <c r="F1314" s="7" t="n">
        <v>993</v>
      </c>
    </row>
    <row r="1315">
      <c r="A1315" s="5" t="inlineStr">
        <is>
          <t>Apoyo democracia</t>
        </is>
      </c>
      <c r="B1315" s="5" t="inlineStr">
        <is>
          <t>Panamá</t>
        </is>
      </c>
      <c r="C1315" s="5" t="n">
        <v>2000</v>
      </c>
      <c r="D1315" s="5" t="inlineStr">
        <is>
          <t>No contesta</t>
        </is>
      </c>
      <c r="E1315" s="6" t="n">
        <v>0.013</v>
      </c>
      <c r="F1315" s="7" t="n">
        <v>993</v>
      </c>
    </row>
    <row r="1316">
      <c r="A1316" s="5" t="inlineStr">
        <is>
          <t>Apoyo democracia</t>
        </is>
      </c>
      <c r="B1316" s="5" t="inlineStr">
        <is>
          <t>Panamá</t>
        </is>
      </c>
      <c r="C1316" s="5" t="n">
        <v>2001</v>
      </c>
      <c r="D1316" s="5" t="inlineStr">
        <is>
          <t>Democracia</t>
        </is>
      </c>
      <c r="E1316" s="6" t="n">
        <v>0.343</v>
      </c>
      <c r="F1316" s="7" t="n">
        <v>1000</v>
      </c>
    </row>
    <row r="1317">
      <c r="A1317" s="5" t="inlineStr">
        <is>
          <t>Apoyo democracia</t>
        </is>
      </c>
      <c r="B1317" s="5" t="inlineStr">
        <is>
          <t>Panamá</t>
        </is>
      </c>
      <c r="C1317" s="5" t="n">
        <v>2001</v>
      </c>
      <c r="D1317" s="5" t="inlineStr">
        <is>
          <t>Gobierno Autoritario</t>
        </is>
      </c>
      <c r="E1317" s="6" t="n">
        <v>0.232</v>
      </c>
      <c r="F1317" s="7" t="n">
        <v>1000</v>
      </c>
    </row>
    <row r="1318">
      <c r="A1318" s="5" t="inlineStr">
        <is>
          <t>Apoyo democracia</t>
        </is>
      </c>
      <c r="B1318" s="5" t="inlineStr">
        <is>
          <t>Panamá</t>
        </is>
      </c>
      <c r="C1318" s="5" t="n">
        <v>2001</v>
      </c>
      <c r="D1318" s="5" t="inlineStr">
        <is>
          <t>Da lo mismo</t>
        </is>
      </c>
      <c r="E1318" s="6" t="n">
        <v>0.296</v>
      </c>
      <c r="F1318" s="7" t="n">
        <v>1000</v>
      </c>
    </row>
    <row r="1319">
      <c r="A1319" s="5" t="inlineStr">
        <is>
          <t>Apoyo democracia</t>
        </is>
      </c>
      <c r="B1319" s="5" t="inlineStr">
        <is>
          <t>Panamá</t>
        </is>
      </c>
      <c r="C1319" s="5" t="n">
        <v>2001</v>
      </c>
      <c r="D1319" s="5" t="inlineStr">
        <is>
          <t>No sabe</t>
        </is>
      </c>
      <c r="E1319" s="6" t="n">
        <v>0.08599999999999999</v>
      </c>
      <c r="F1319" s="7" t="n">
        <v>1000</v>
      </c>
    </row>
    <row r="1320">
      <c r="A1320" s="5" t="inlineStr">
        <is>
          <t>Apoyo democracia</t>
        </is>
      </c>
      <c r="B1320" s="5" t="inlineStr">
        <is>
          <t>Panamá</t>
        </is>
      </c>
      <c r="C1320" s="5" t="n">
        <v>2001</v>
      </c>
      <c r="D1320" s="5" t="inlineStr">
        <is>
          <t>No contesta</t>
        </is>
      </c>
      <c r="E1320" s="6" t="n">
        <v>0.043</v>
      </c>
      <c r="F1320" s="7" t="n">
        <v>1000</v>
      </c>
    </row>
    <row r="1321">
      <c r="A1321" s="5" t="inlineStr">
        <is>
          <t>Apoyo democracia</t>
        </is>
      </c>
      <c r="B1321" s="5" t="inlineStr">
        <is>
          <t>Panamá</t>
        </is>
      </c>
      <c r="C1321" s="5" t="n">
        <v>2002</v>
      </c>
      <c r="D1321" s="5" t="inlineStr">
        <is>
          <t>Democracia</t>
        </is>
      </c>
      <c r="E1321" s="6" t="n">
        <v>0.5539999999999999</v>
      </c>
      <c r="F1321" s="7" t="n">
        <v>1010</v>
      </c>
    </row>
    <row r="1322">
      <c r="A1322" s="5" t="inlineStr">
        <is>
          <t>Apoyo democracia</t>
        </is>
      </c>
      <c r="B1322" s="5" t="inlineStr">
        <is>
          <t>Panamá</t>
        </is>
      </c>
      <c r="C1322" s="5" t="n">
        <v>2002</v>
      </c>
      <c r="D1322" s="5" t="inlineStr">
        <is>
          <t>Gobierno Autoritario</t>
        </is>
      </c>
      <c r="E1322" s="6" t="n">
        <v>0.155</v>
      </c>
      <c r="F1322" s="7" t="n">
        <v>1010</v>
      </c>
    </row>
    <row r="1323">
      <c r="A1323" s="5" t="inlineStr">
        <is>
          <t>Apoyo democracia</t>
        </is>
      </c>
      <c r="B1323" s="5" t="inlineStr">
        <is>
          <t>Panamá</t>
        </is>
      </c>
      <c r="C1323" s="5" t="n">
        <v>2002</v>
      </c>
      <c r="D1323" s="5" t="inlineStr">
        <is>
          <t>Da lo mismo</t>
        </is>
      </c>
      <c r="E1323" s="6" t="n">
        <v>0.186</v>
      </c>
      <c r="F1323" s="7" t="n">
        <v>1010</v>
      </c>
    </row>
    <row r="1324">
      <c r="A1324" s="5" t="inlineStr">
        <is>
          <t>Apoyo democracia</t>
        </is>
      </c>
      <c r="B1324" s="5" t="inlineStr">
        <is>
          <t>Panamá</t>
        </is>
      </c>
      <c r="C1324" s="5" t="n">
        <v>2002</v>
      </c>
      <c r="D1324" s="5" t="inlineStr">
        <is>
          <t>No sabe</t>
        </is>
      </c>
      <c r="E1324" s="6" t="n">
        <v>0.067</v>
      </c>
      <c r="F1324" s="7" t="n">
        <v>1010</v>
      </c>
    </row>
    <row r="1325">
      <c r="A1325" s="5" t="inlineStr">
        <is>
          <t>Apoyo democracia</t>
        </is>
      </c>
      <c r="B1325" s="5" t="inlineStr">
        <is>
          <t>Panamá</t>
        </is>
      </c>
      <c r="C1325" s="5" t="n">
        <v>2002</v>
      </c>
      <c r="D1325" s="5" t="inlineStr">
        <is>
          <t>No contesta</t>
        </is>
      </c>
      <c r="E1325" s="6" t="n">
        <v>0.03700000000000001</v>
      </c>
      <c r="F1325" s="7" t="n">
        <v>1010</v>
      </c>
    </row>
    <row r="1326">
      <c r="A1326" s="5" t="inlineStr">
        <is>
          <t>Apoyo democracia</t>
        </is>
      </c>
      <c r="B1326" s="5" t="inlineStr">
        <is>
          <t>Panamá</t>
        </is>
      </c>
      <c r="C1326" s="5" t="n">
        <v>2003</v>
      </c>
      <c r="D1326" s="5" t="inlineStr">
        <is>
          <t>Democracia</t>
        </is>
      </c>
      <c r="E1326" s="6" t="n">
        <v>0.513</v>
      </c>
      <c r="F1326" s="7" t="n">
        <v>1004</v>
      </c>
    </row>
    <row r="1327">
      <c r="A1327" s="5" t="inlineStr">
        <is>
          <t>Apoyo democracia</t>
        </is>
      </c>
      <c r="B1327" s="5" t="inlineStr">
        <is>
          <t>Panamá</t>
        </is>
      </c>
      <c r="C1327" s="5" t="n">
        <v>2003</v>
      </c>
      <c r="D1327" s="5" t="inlineStr">
        <is>
          <t>Gobierno Autoritario</t>
        </is>
      </c>
      <c r="E1327" s="6" t="n">
        <v>0.178</v>
      </c>
      <c r="F1327" s="7" t="n">
        <v>1004</v>
      </c>
    </row>
    <row r="1328">
      <c r="A1328" s="5" t="inlineStr">
        <is>
          <t>Apoyo democracia</t>
        </is>
      </c>
      <c r="B1328" s="5" t="inlineStr">
        <is>
          <t>Panamá</t>
        </is>
      </c>
      <c r="C1328" s="5" t="n">
        <v>2003</v>
      </c>
      <c r="D1328" s="5" t="inlineStr">
        <is>
          <t>Da lo mismo</t>
        </is>
      </c>
      <c r="E1328" s="6" t="n">
        <v>0.203</v>
      </c>
      <c r="F1328" s="7" t="n">
        <v>1004</v>
      </c>
    </row>
    <row r="1329">
      <c r="A1329" s="5" t="inlineStr">
        <is>
          <t>Apoyo democracia</t>
        </is>
      </c>
      <c r="B1329" s="5" t="inlineStr">
        <is>
          <t>Panamá</t>
        </is>
      </c>
      <c r="C1329" s="5" t="n">
        <v>2003</v>
      </c>
      <c r="D1329" s="5" t="inlineStr">
        <is>
          <t>No sabe</t>
        </is>
      </c>
      <c r="E1329" s="6" t="n">
        <v>0.051</v>
      </c>
      <c r="F1329" s="7" t="n">
        <v>1004</v>
      </c>
    </row>
    <row r="1330">
      <c r="A1330" s="5" t="inlineStr">
        <is>
          <t>Apoyo democracia</t>
        </is>
      </c>
      <c r="B1330" s="5" t="inlineStr">
        <is>
          <t>Panamá</t>
        </is>
      </c>
      <c r="C1330" s="5" t="n">
        <v>2003</v>
      </c>
      <c r="D1330" s="5" t="inlineStr">
        <is>
          <t>No contesta</t>
        </is>
      </c>
      <c r="E1330" s="6" t="n">
        <v>0.055</v>
      </c>
      <c r="F1330" s="7" t="n">
        <v>1004</v>
      </c>
    </row>
    <row r="1331">
      <c r="A1331" s="5" t="inlineStr">
        <is>
          <t>Apoyo democracia</t>
        </is>
      </c>
      <c r="B1331" s="5" t="inlineStr">
        <is>
          <t>Panamá</t>
        </is>
      </c>
      <c r="C1331" s="5" t="n">
        <v>2004</v>
      </c>
      <c r="D1331" s="5" t="inlineStr">
        <is>
          <t>Democracia</t>
        </is>
      </c>
      <c r="E1331" s="6" t="n">
        <v>0.637</v>
      </c>
      <c r="F1331" s="7" t="n">
        <v>1000</v>
      </c>
    </row>
    <row r="1332">
      <c r="A1332" s="5" t="inlineStr">
        <is>
          <t>Apoyo democracia</t>
        </is>
      </c>
      <c r="B1332" s="5" t="inlineStr">
        <is>
          <t>Panamá</t>
        </is>
      </c>
      <c r="C1332" s="5" t="n">
        <v>2004</v>
      </c>
      <c r="D1332" s="5" t="inlineStr">
        <is>
          <t>Gobierno Autoritario</t>
        </is>
      </c>
      <c r="E1332" s="6" t="n">
        <v>0.08</v>
      </c>
      <c r="F1332" s="7" t="n">
        <v>1000</v>
      </c>
    </row>
    <row r="1333">
      <c r="A1333" s="5" t="inlineStr">
        <is>
          <t>Apoyo democracia</t>
        </is>
      </c>
      <c r="B1333" s="5" t="inlineStr">
        <is>
          <t>Panamá</t>
        </is>
      </c>
      <c r="C1333" s="5" t="n">
        <v>2004</v>
      </c>
      <c r="D1333" s="5" t="inlineStr">
        <is>
          <t>Da lo mismo</t>
        </is>
      </c>
      <c r="E1333" s="6" t="n">
        <v>0.199</v>
      </c>
      <c r="F1333" s="7" t="n">
        <v>1000</v>
      </c>
    </row>
    <row r="1334">
      <c r="A1334" s="5" t="inlineStr">
        <is>
          <t>Apoyo democracia</t>
        </is>
      </c>
      <c r="B1334" s="5" t="inlineStr">
        <is>
          <t>Panamá</t>
        </is>
      </c>
      <c r="C1334" s="5" t="n">
        <v>2004</v>
      </c>
      <c r="D1334" s="5" t="inlineStr">
        <is>
          <t>No sabe</t>
        </is>
      </c>
      <c r="E1334" s="6" t="n">
        <v>0.058</v>
      </c>
      <c r="F1334" s="7" t="n">
        <v>1000</v>
      </c>
    </row>
    <row r="1335">
      <c r="A1335" s="5" t="inlineStr">
        <is>
          <t>Apoyo democracia</t>
        </is>
      </c>
      <c r="B1335" s="5" t="inlineStr">
        <is>
          <t>Panamá</t>
        </is>
      </c>
      <c r="C1335" s="5" t="n">
        <v>2004</v>
      </c>
      <c r="D1335" s="5" t="inlineStr">
        <is>
          <t>No contesta</t>
        </is>
      </c>
      <c r="E1335" s="6" t="n">
        <v>0.026</v>
      </c>
      <c r="F1335" s="7" t="n">
        <v>1000</v>
      </c>
    </row>
    <row r="1336">
      <c r="A1336" s="5" t="inlineStr">
        <is>
          <t>Apoyo democracia</t>
        </is>
      </c>
      <c r="B1336" s="5" t="inlineStr">
        <is>
          <t>Panamá</t>
        </is>
      </c>
      <c r="C1336" s="5" t="n">
        <v>2005</v>
      </c>
      <c r="D1336" s="5" t="inlineStr">
        <is>
          <t>Democracia</t>
        </is>
      </c>
      <c r="E1336" s="6" t="n">
        <v>0.524</v>
      </c>
      <c r="F1336" s="7" t="n">
        <v>1008</v>
      </c>
    </row>
    <row r="1337">
      <c r="A1337" s="5" t="inlineStr">
        <is>
          <t>Apoyo democracia</t>
        </is>
      </c>
      <c r="B1337" s="5" t="inlineStr">
        <is>
          <t>Panamá</t>
        </is>
      </c>
      <c r="C1337" s="5" t="n">
        <v>2005</v>
      </c>
      <c r="D1337" s="5" t="inlineStr">
        <is>
          <t>Gobierno Autoritario</t>
        </is>
      </c>
      <c r="E1337" s="6" t="n">
        <v>0.124</v>
      </c>
      <c r="F1337" s="7" t="n">
        <v>1008</v>
      </c>
    </row>
    <row r="1338">
      <c r="A1338" s="5" t="inlineStr">
        <is>
          <t>Apoyo democracia</t>
        </is>
      </c>
      <c r="B1338" s="5" t="inlineStr">
        <is>
          <t>Panamá</t>
        </is>
      </c>
      <c r="C1338" s="5" t="n">
        <v>2005</v>
      </c>
      <c r="D1338" s="5" t="inlineStr">
        <is>
          <t>Da lo mismo</t>
        </is>
      </c>
      <c r="E1338" s="6" t="n">
        <v>0.163</v>
      </c>
      <c r="F1338" s="7" t="n">
        <v>1008</v>
      </c>
    </row>
    <row r="1339">
      <c r="A1339" s="5" t="inlineStr">
        <is>
          <t>Apoyo democracia</t>
        </is>
      </c>
      <c r="B1339" s="5" t="inlineStr">
        <is>
          <t>Panamá</t>
        </is>
      </c>
      <c r="C1339" s="5" t="n">
        <v>2005</v>
      </c>
      <c r="D1339" s="5" t="inlineStr">
        <is>
          <t>No sabe</t>
        </is>
      </c>
      <c r="E1339" s="6" t="n">
        <v>0.155</v>
      </c>
      <c r="F1339" s="7" t="n">
        <v>1008</v>
      </c>
    </row>
    <row r="1340">
      <c r="A1340" s="5" t="inlineStr">
        <is>
          <t>Apoyo democracia</t>
        </is>
      </c>
      <c r="B1340" s="5" t="inlineStr">
        <is>
          <t>Panamá</t>
        </is>
      </c>
      <c r="C1340" s="5" t="n">
        <v>2005</v>
      </c>
      <c r="D1340" s="5" t="inlineStr">
        <is>
          <t>No contesta</t>
        </is>
      </c>
      <c r="E1340" s="6" t="n">
        <v>0.035</v>
      </c>
      <c r="F1340" s="7" t="n">
        <v>1008</v>
      </c>
    </row>
    <row r="1341">
      <c r="A1341" s="5" t="inlineStr">
        <is>
          <t>Apoyo democracia</t>
        </is>
      </c>
      <c r="B1341" s="5" t="inlineStr">
        <is>
          <t>Panamá</t>
        </is>
      </c>
      <c r="C1341" s="5" t="n">
        <v>2006</v>
      </c>
      <c r="D1341" s="5" t="inlineStr">
        <is>
          <t>Democracia</t>
        </is>
      </c>
      <c r="E1341" s="6" t="n">
        <v>0.551</v>
      </c>
      <c r="F1341" s="7" t="n">
        <v>1008</v>
      </c>
    </row>
    <row r="1342">
      <c r="A1342" s="5" t="inlineStr">
        <is>
          <t>Apoyo democracia</t>
        </is>
      </c>
      <c r="B1342" s="5" t="inlineStr">
        <is>
          <t>Panamá</t>
        </is>
      </c>
      <c r="C1342" s="5" t="n">
        <v>2006</v>
      </c>
      <c r="D1342" s="5" t="inlineStr">
        <is>
          <t>Gobierno Autoritario</t>
        </is>
      </c>
      <c r="E1342" s="6" t="n">
        <v>0.189</v>
      </c>
      <c r="F1342" s="7" t="n">
        <v>1008</v>
      </c>
    </row>
    <row r="1343">
      <c r="A1343" s="5" t="inlineStr">
        <is>
          <t>Apoyo democracia</t>
        </is>
      </c>
      <c r="B1343" s="5" t="inlineStr">
        <is>
          <t>Panamá</t>
        </is>
      </c>
      <c r="C1343" s="5" t="n">
        <v>2006</v>
      </c>
      <c r="D1343" s="5" t="inlineStr">
        <is>
          <t>Da lo mismo</t>
        </is>
      </c>
      <c r="E1343" s="6" t="n">
        <v>0.179</v>
      </c>
      <c r="F1343" s="7" t="n">
        <v>1008</v>
      </c>
    </row>
    <row r="1344">
      <c r="A1344" s="5" t="inlineStr">
        <is>
          <t>Apoyo democracia</t>
        </is>
      </c>
      <c r="B1344" s="5" t="inlineStr">
        <is>
          <t>Panamá</t>
        </is>
      </c>
      <c r="C1344" s="5" t="n">
        <v>2006</v>
      </c>
      <c r="D1344" s="5" t="inlineStr">
        <is>
          <t>No sabe</t>
        </is>
      </c>
      <c r="E1344" s="6" t="n">
        <v>0.068</v>
      </c>
      <c r="F1344" s="7" t="n">
        <v>1008</v>
      </c>
    </row>
    <row r="1345">
      <c r="A1345" s="5" t="inlineStr">
        <is>
          <t>Apoyo democracia</t>
        </is>
      </c>
      <c r="B1345" s="5" t="inlineStr">
        <is>
          <t>Panamá</t>
        </is>
      </c>
      <c r="C1345" s="5" t="n">
        <v>2006</v>
      </c>
      <c r="D1345" s="5" t="inlineStr">
        <is>
          <t>No contesta</t>
        </is>
      </c>
      <c r="E1345" s="6" t="n">
        <v>0.013</v>
      </c>
      <c r="F1345" s="7" t="n">
        <v>1008</v>
      </c>
    </row>
    <row r="1346">
      <c r="A1346" s="5" t="inlineStr">
        <is>
          <t>Apoyo democracia</t>
        </is>
      </c>
      <c r="B1346" s="5" t="inlineStr">
        <is>
          <t>Panamá</t>
        </is>
      </c>
      <c r="C1346" s="5" t="n">
        <v>2007</v>
      </c>
      <c r="D1346" s="5" t="inlineStr">
        <is>
          <t>Democracia</t>
        </is>
      </c>
      <c r="E1346" s="6" t="n">
        <v>0.615</v>
      </c>
      <c r="F1346" s="7" t="n">
        <v>1008</v>
      </c>
    </row>
    <row r="1347">
      <c r="A1347" s="5" t="inlineStr">
        <is>
          <t>Apoyo democracia</t>
        </is>
      </c>
      <c r="B1347" s="5" t="inlineStr">
        <is>
          <t>Panamá</t>
        </is>
      </c>
      <c r="C1347" s="5" t="n">
        <v>2007</v>
      </c>
      <c r="D1347" s="5" t="inlineStr">
        <is>
          <t>Gobierno Autoritario</t>
        </is>
      </c>
      <c r="E1347" s="6" t="n">
        <v>0.132</v>
      </c>
      <c r="F1347" s="7" t="n">
        <v>1008</v>
      </c>
    </row>
    <row r="1348">
      <c r="A1348" s="5" t="inlineStr">
        <is>
          <t>Apoyo democracia</t>
        </is>
      </c>
      <c r="B1348" s="5" t="inlineStr">
        <is>
          <t>Panamá</t>
        </is>
      </c>
      <c r="C1348" s="5" t="n">
        <v>2007</v>
      </c>
      <c r="D1348" s="5" t="inlineStr">
        <is>
          <t>Da lo mismo</t>
        </is>
      </c>
      <c r="E1348" s="6" t="n">
        <v>0.147</v>
      </c>
      <c r="F1348" s="7" t="n">
        <v>1008</v>
      </c>
    </row>
    <row r="1349">
      <c r="A1349" s="5" t="inlineStr">
        <is>
          <t>Apoyo democracia</t>
        </is>
      </c>
      <c r="B1349" s="5" t="inlineStr">
        <is>
          <t>Panamá</t>
        </is>
      </c>
      <c r="C1349" s="5" t="n">
        <v>2007</v>
      </c>
      <c r="D1349" s="5" t="inlineStr">
        <is>
          <t>No sabe</t>
        </is>
      </c>
      <c r="E1349" s="6" t="n">
        <v>0.073</v>
      </c>
      <c r="F1349" s="7" t="n">
        <v>1008</v>
      </c>
    </row>
    <row r="1350">
      <c r="A1350" s="5" t="inlineStr">
        <is>
          <t>Apoyo democracia</t>
        </is>
      </c>
      <c r="B1350" s="5" t="inlineStr">
        <is>
          <t>Panamá</t>
        </is>
      </c>
      <c r="C1350" s="5" t="n">
        <v>2007</v>
      </c>
      <c r="D1350" s="5" t="inlineStr">
        <is>
          <t>No contesta</t>
        </is>
      </c>
      <c r="E1350" s="6" t="n">
        <v>0.033</v>
      </c>
      <c r="F1350" s="7" t="n">
        <v>1008</v>
      </c>
    </row>
    <row r="1351">
      <c r="A1351" s="5" t="inlineStr">
        <is>
          <t>Apoyo democracia</t>
        </is>
      </c>
      <c r="B1351" s="5" t="inlineStr">
        <is>
          <t>Panamá</t>
        </is>
      </c>
      <c r="C1351" s="5" t="n">
        <v>2008</v>
      </c>
      <c r="D1351" s="5" t="inlineStr">
        <is>
          <t>Democracia</t>
        </is>
      </c>
      <c r="E1351" s="6" t="n">
        <v>0.5589999999999999</v>
      </c>
      <c r="F1351" s="7" t="n">
        <v>1000</v>
      </c>
    </row>
    <row r="1352">
      <c r="A1352" s="5" t="inlineStr">
        <is>
          <t>Apoyo democracia</t>
        </is>
      </c>
      <c r="B1352" s="5" t="inlineStr">
        <is>
          <t>Panamá</t>
        </is>
      </c>
      <c r="C1352" s="5" t="n">
        <v>2008</v>
      </c>
      <c r="D1352" s="5" t="inlineStr">
        <is>
          <t>Gobierno Autoritario</t>
        </is>
      </c>
      <c r="E1352" s="6" t="n">
        <v>0.151</v>
      </c>
      <c r="F1352" s="7" t="n">
        <v>1000</v>
      </c>
    </row>
    <row r="1353">
      <c r="A1353" s="5" t="inlineStr">
        <is>
          <t>Apoyo democracia</t>
        </is>
      </c>
      <c r="B1353" s="5" t="inlineStr">
        <is>
          <t>Panamá</t>
        </is>
      </c>
      <c r="C1353" s="5" t="n">
        <v>2008</v>
      </c>
      <c r="D1353" s="5" t="inlineStr">
        <is>
          <t>Da lo mismo</t>
        </is>
      </c>
      <c r="E1353" s="6" t="n">
        <v>0.173</v>
      </c>
      <c r="F1353" s="7" t="n">
        <v>1000</v>
      </c>
    </row>
    <row r="1354">
      <c r="A1354" s="5" t="inlineStr">
        <is>
          <t>Apoyo democracia</t>
        </is>
      </c>
      <c r="B1354" s="5" t="inlineStr">
        <is>
          <t>Panamá</t>
        </is>
      </c>
      <c r="C1354" s="5" t="n">
        <v>2008</v>
      </c>
      <c r="D1354" s="5" t="inlineStr">
        <is>
          <t>No sabe</t>
        </is>
      </c>
      <c r="E1354" s="6" t="n">
        <v>0.1</v>
      </c>
      <c r="F1354" s="7" t="n">
        <v>1000</v>
      </c>
    </row>
    <row r="1355">
      <c r="A1355" s="5" t="inlineStr">
        <is>
          <t>Apoyo democracia</t>
        </is>
      </c>
      <c r="B1355" s="5" t="inlineStr">
        <is>
          <t>Panamá</t>
        </is>
      </c>
      <c r="C1355" s="5" t="n">
        <v>2008</v>
      </c>
      <c r="D1355" s="5" t="inlineStr">
        <is>
          <t>No contesta</t>
        </is>
      </c>
      <c r="E1355" s="6" t="n">
        <v>0.016</v>
      </c>
      <c r="F1355" s="7" t="n">
        <v>1000</v>
      </c>
    </row>
    <row r="1356">
      <c r="A1356" s="5" t="inlineStr">
        <is>
          <t>Apoyo democracia</t>
        </is>
      </c>
      <c r="B1356" s="5" t="inlineStr">
        <is>
          <t>Panamá</t>
        </is>
      </c>
      <c r="C1356" s="5" t="n">
        <v>2009</v>
      </c>
      <c r="D1356" s="5" t="inlineStr">
        <is>
          <t>Democracia</t>
        </is>
      </c>
      <c r="E1356" s="6" t="n">
        <v>0.639</v>
      </c>
      <c r="F1356" s="7" t="n">
        <v>1000</v>
      </c>
    </row>
    <row r="1357">
      <c r="A1357" s="5" t="inlineStr">
        <is>
          <t>Apoyo democracia</t>
        </is>
      </c>
      <c r="B1357" s="5" t="inlineStr">
        <is>
          <t>Panamá</t>
        </is>
      </c>
      <c r="C1357" s="5" t="n">
        <v>2009</v>
      </c>
      <c r="D1357" s="5" t="inlineStr">
        <is>
          <t>Gobierno Autoritario</t>
        </is>
      </c>
      <c r="E1357" s="6" t="n">
        <v>0.131</v>
      </c>
      <c r="F1357" s="7" t="n">
        <v>1000</v>
      </c>
    </row>
    <row r="1358">
      <c r="A1358" s="5" t="inlineStr">
        <is>
          <t>Apoyo democracia</t>
        </is>
      </c>
      <c r="B1358" s="5" t="inlineStr">
        <is>
          <t>Panamá</t>
        </is>
      </c>
      <c r="C1358" s="5" t="n">
        <v>2009</v>
      </c>
      <c r="D1358" s="5" t="inlineStr">
        <is>
          <t>Da lo mismo</t>
        </is>
      </c>
      <c r="E1358" s="6" t="n">
        <v>0.142</v>
      </c>
      <c r="F1358" s="7" t="n">
        <v>1000</v>
      </c>
    </row>
    <row r="1359">
      <c r="A1359" s="5" t="inlineStr">
        <is>
          <t>Apoyo democracia</t>
        </is>
      </c>
      <c r="B1359" s="5" t="inlineStr">
        <is>
          <t>Panamá</t>
        </is>
      </c>
      <c r="C1359" s="5" t="n">
        <v>2009</v>
      </c>
      <c r="D1359" s="5" t="inlineStr">
        <is>
          <t>No sabe</t>
        </is>
      </c>
      <c r="E1359" s="6" t="n">
        <v>0.075</v>
      </c>
      <c r="F1359" s="7" t="n">
        <v>1000</v>
      </c>
    </row>
    <row r="1360">
      <c r="A1360" s="5" t="inlineStr">
        <is>
          <t>Apoyo democracia</t>
        </is>
      </c>
      <c r="B1360" s="5" t="inlineStr">
        <is>
          <t>Panamá</t>
        </is>
      </c>
      <c r="C1360" s="5" t="n">
        <v>2009</v>
      </c>
      <c r="D1360" s="5" t="inlineStr">
        <is>
          <t>No contesta</t>
        </is>
      </c>
      <c r="E1360" s="6" t="n">
        <v>0.013</v>
      </c>
      <c r="F1360" s="7" t="n">
        <v>1000</v>
      </c>
    </row>
    <row r="1361">
      <c r="A1361" s="5" t="inlineStr">
        <is>
          <t>Apoyo democracia</t>
        </is>
      </c>
      <c r="B1361" s="5" t="inlineStr">
        <is>
          <t>Panamá</t>
        </is>
      </c>
      <c r="C1361" s="5" t="n">
        <v>2010</v>
      </c>
      <c r="D1361" s="5" t="inlineStr">
        <is>
          <t>Democracia</t>
        </is>
      </c>
      <c r="E1361" s="6" t="n">
        <v>0.609</v>
      </c>
      <c r="F1361" s="7" t="n">
        <v>1000</v>
      </c>
    </row>
    <row r="1362">
      <c r="A1362" s="5" t="inlineStr">
        <is>
          <t>Apoyo democracia</t>
        </is>
      </c>
      <c r="B1362" s="5" t="inlineStr">
        <is>
          <t>Panamá</t>
        </is>
      </c>
      <c r="C1362" s="5" t="n">
        <v>2010</v>
      </c>
      <c r="D1362" s="5" t="inlineStr">
        <is>
          <t>Gobierno Autoritario</t>
        </is>
      </c>
      <c r="E1362" s="6" t="n">
        <v>0.165</v>
      </c>
      <c r="F1362" s="7" t="n">
        <v>1000</v>
      </c>
    </row>
    <row r="1363">
      <c r="A1363" s="5" t="inlineStr">
        <is>
          <t>Apoyo democracia</t>
        </is>
      </c>
      <c r="B1363" s="5" t="inlineStr">
        <is>
          <t>Panamá</t>
        </is>
      </c>
      <c r="C1363" s="5" t="n">
        <v>2010</v>
      </c>
      <c r="D1363" s="5" t="inlineStr">
        <is>
          <t>Da lo mismo</t>
        </is>
      </c>
      <c r="E1363" s="6" t="n">
        <v>0.148</v>
      </c>
      <c r="F1363" s="7" t="n">
        <v>1000</v>
      </c>
    </row>
    <row r="1364">
      <c r="A1364" s="5" t="inlineStr">
        <is>
          <t>Apoyo democracia</t>
        </is>
      </c>
      <c r="B1364" s="5" t="inlineStr">
        <is>
          <t>Panamá</t>
        </is>
      </c>
      <c r="C1364" s="5" t="n">
        <v>2010</v>
      </c>
      <c r="D1364" s="5" t="inlineStr">
        <is>
          <t>No sabe</t>
        </is>
      </c>
      <c r="E1364" s="6" t="n">
        <v>0.058</v>
      </c>
      <c r="F1364" s="7" t="n">
        <v>1000</v>
      </c>
    </row>
    <row r="1365">
      <c r="A1365" s="5" t="inlineStr">
        <is>
          <t>Apoyo democracia</t>
        </is>
      </c>
      <c r="B1365" s="5" t="inlineStr">
        <is>
          <t>Panamá</t>
        </is>
      </c>
      <c r="C1365" s="5" t="n">
        <v>2010</v>
      </c>
      <c r="D1365" s="5" t="inlineStr">
        <is>
          <t>No contesta</t>
        </is>
      </c>
      <c r="E1365" s="6" t="n">
        <v>0.02</v>
      </c>
      <c r="F1365" s="7" t="n">
        <v>1000</v>
      </c>
    </row>
    <row r="1366">
      <c r="A1366" s="5" t="inlineStr">
        <is>
          <t>Apoyo democracia</t>
        </is>
      </c>
      <c r="B1366" s="5" t="inlineStr">
        <is>
          <t>Panamá</t>
        </is>
      </c>
      <c r="C1366" s="5" t="n">
        <v>2011</v>
      </c>
      <c r="D1366" s="5" t="inlineStr">
        <is>
          <t>Democracia</t>
        </is>
      </c>
      <c r="E1366" s="6" t="n">
        <v>0.603</v>
      </c>
      <c r="F1366" s="7" t="n">
        <v>1000</v>
      </c>
    </row>
    <row r="1367">
      <c r="A1367" s="5" t="inlineStr">
        <is>
          <t>Apoyo democracia</t>
        </is>
      </c>
      <c r="B1367" s="5" t="inlineStr">
        <is>
          <t>Panamá</t>
        </is>
      </c>
      <c r="C1367" s="5" t="n">
        <v>2011</v>
      </c>
      <c r="D1367" s="5" t="inlineStr">
        <is>
          <t>Gobierno Autoritario</t>
        </is>
      </c>
      <c r="E1367" s="6" t="n">
        <v>0.194</v>
      </c>
      <c r="F1367" s="7" t="n">
        <v>1000</v>
      </c>
    </row>
    <row r="1368">
      <c r="A1368" s="5" t="inlineStr">
        <is>
          <t>Apoyo democracia</t>
        </is>
      </c>
      <c r="B1368" s="5" t="inlineStr">
        <is>
          <t>Panamá</t>
        </is>
      </c>
      <c r="C1368" s="5" t="n">
        <v>2011</v>
      </c>
      <c r="D1368" s="5" t="inlineStr">
        <is>
          <t>Da lo mismo</t>
        </is>
      </c>
      <c r="E1368" s="6" t="n">
        <v>0.109</v>
      </c>
      <c r="F1368" s="7" t="n">
        <v>1000</v>
      </c>
    </row>
    <row r="1369">
      <c r="A1369" s="5" t="inlineStr">
        <is>
          <t>Apoyo democracia</t>
        </is>
      </c>
      <c r="B1369" s="5" t="inlineStr">
        <is>
          <t>Panamá</t>
        </is>
      </c>
      <c r="C1369" s="5" t="n">
        <v>2011</v>
      </c>
      <c r="D1369" s="5" t="inlineStr">
        <is>
          <t>No sabe</t>
        </is>
      </c>
      <c r="E1369" s="6" t="n">
        <v>0.051</v>
      </c>
      <c r="F1369" s="7" t="n">
        <v>1000</v>
      </c>
    </row>
    <row r="1370">
      <c r="A1370" s="5" t="inlineStr">
        <is>
          <t>Apoyo democracia</t>
        </is>
      </c>
      <c r="B1370" s="5" t="inlineStr">
        <is>
          <t>Panamá</t>
        </is>
      </c>
      <c r="C1370" s="5" t="n">
        <v>2011</v>
      </c>
      <c r="D1370" s="5" t="inlineStr">
        <is>
          <t>No contesta</t>
        </is>
      </c>
      <c r="E1370" s="6" t="n">
        <v>0.043</v>
      </c>
      <c r="F1370" s="7" t="n">
        <v>1000</v>
      </c>
    </row>
    <row r="1371">
      <c r="A1371" s="5" t="inlineStr">
        <is>
          <t>Apoyo democracia</t>
        </is>
      </c>
      <c r="B1371" s="5" t="inlineStr">
        <is>
          <t>Panamá</t>
        </is>
      </c>
      <c r="C1371" s="5" t="n">
        <v>2016</v>
      </c>
      <c r="D1371" s="5" t="inlineStr">
        <is>
          <t>Democracia</t>
        </is>
      </c>
      <c r="E1371" s="6" t="n">
        <v>0.454</v>
      </c>
      <c r="F1371" s="7" t="n">
        <v>1000</v>
      </c>
    </row>
    <row r="1372">
      <c r="A1372" s="5" t="inlineStr">
        <is>
          <t>Apoyo democracia</t>
        </is>
      </c>
      <c r="B1372" s="5" t="inlineStr">
        <is>
          <t>Panamá</t>
        </is>
      </c>
      <c r="C1372" s="5" t="n">
        <v>2016</v>
      </c>
      <c r="D1372" s="5" t="inlineStr">
        <is>
          <t>Gobierno Autoritario</t>
        </is>
      </c>
      <c r="E1372" s="6" t="n">
        <v>0.132</v>
      </c>
      <c r="F1372" s="7" t="n">
        <v>1000</v>
      </c>
    </row>
    <row r="1373">
      <c r="A1373" s="5" t="inlineStr">
        <is>
          <t>Apoyo democracia</t>
        </is>
      </c>
      <c r="B1373" s="5" t="inlineStr">
        <is>
          <t>Panamá</t>
        </is>
      </c>
      <c r="C1373" s="5" t="n">
        <v>2016</v>
      </c>
      <c r="D1373" s="5" t="inlineStr">
        <is>
          <t>Da lo mismo</t>
        </is>
      </c>
      <c r="E1373" s="6" t="n">
        <v>0.319</v>
      </c>
      <c r="F1373" s="7" t="n">
        <v>1000</v>
      </c>
    </row>
    <row r="1374">
      <c r="A1374" s="5" t="inlineStr">
        <is>
          <t>Apoyo democracia</t>
        </is>
      </c>
      <c r="B1374" s="5" t="inlineStr">
        <is>
          <t>Panamá</t>
        </is>
      </c>
      <c r="C1374" s="5" t="n">
        <v>2016</v>
      </c>
      <c r="D1374" s="5" t="inlineStr">
        <is>
          <t>No sabe</t>
        </is>
      </c>
      <c r="E1374" s="6" t="n">
        <v>0.08</v>
      </c>
      <c r="F1374" s="7" t="n">
        <v>1000</v>
      </c>
    </row>
    <row r="1375">
      <c r="A1375" s="5" t="inlineStr">
        <is>
          <t>Apoyo democracia</t>
        </is>
      </c>
      <c r="B1375" s="5" t="inlineStr">
        <is>
          <t>Panamá</t>
        </is>
      </c>
      <c r="C1375" s="5" t="n">
        <v>2016</v>
      </c>
      <c r="D1375" s="5" t="inlineStr">
        <is>
          <t>No contesta</t>
        </is>
      </c>
      <c r="E1375" s="6" t="n">
        <v>0.015</v>
      </c>
      <c r="F1375" s="7" t="n">
        <v>1000</v>
      </c>
    </row>
    <row r="1376">
      <c r="A1376" s="5" t="inlineStr">
        <is>
          <t>Apoyo democracia</t>
        </is>
      </c>
      <c r="B1376" s="5" t="inlineStr">
        <is>
          <t>Panamá</t>
        </is>
      </c>
      <c r="C1376" s="5" t="n">
        <v>2017</v>
      </c>
      <c r="D1376" s="5" t="inlineStr">
        <is>
          <t>Democracia</t>
        </is>
      </c>
      <c r="E1376" s="6" t="n">
        <v>0.46</v>
      </c>
      <c r="F1376" s="7" t="n">
        <v>1000</v>
      </c>
    </row>
    <row r="1377">
      <c r="A1377" s="5" t="inlineStr">
        <is>
          <t>Apoyo democracia</t>
        </is>
      </c>
      <c r="B1377" s="5" t="inlineStr">
        <is>
          <t>Panamá</t>
        </is>
      </c>
      <c r="C1377" s="5" t="n">
        <v>2017</v>
      </c>
      <c r="D1377" s="5" t="inlineStr">
        <is>
          <t>Gobierno Autoritario</t>
        </is>
      </c>
      <c r="E1377" s="6" t="n">
        <v>0.114</v>
      </c>
      <c r="F1377" s="7" t="n">
        <v>1000</v>
      </c>
    </row>
    <row r="1378">
      <c r="A1378" s="5" t="inlineStr">
        <is>
          <t>Apoyo democracia</t>
        </is>
      </c>
      <c r="B1378" s="5" t="inlineStr">
        <is>
          <t>Panamá</t>
        </is>
      </c>
      <c r="C1378" s="5" t="n">
        <v>2017</v>
      </c>
      <c r="D1378" s="5" t="inlineStr">
        <is>
          <t>Da lo mismo</t>
        </is>
      </c>
      <c r="E1378" s="6" t="n">
        <v>0.278</v>
      </c>
      <c r="F1378" s="7" t="n">
        <v>1000</v>
      </c>
    </row>
    <row r="1379">
      <c r="A1379" s="5" t="inlineStr">
        <is>
          <t>Apoyo democracia</t>
        </is>
      </c>
      <c r="B1379" s="5" t="inlineStr">
        <is>
          <t>Panamá</t>
        </is>
      </c>
      <c r="C1379" s="5" t="n">
        <v>2017</v>
      </c>
      <c r="D1379" s="5" t="inlineStr">
        <is>
          <t>No sabe</t>
        </is>
      </c>
      <c r="E1379" s="6" t="n">
        <v>0.105</v>
      </c>
      <c r="F1379" s="7" t="n">
        <v>1000</v>
      </c>
    </row>
    <row r="1380">
      <c r="A1380" s="5" t="inlineStr">
        <is>
          <t>Apoyo democracia</t>
        </is>
      </c>
      <c r="B1380" s="5" t="inlineStr">
        <is>
          <t>Panamá</t>
        </is>
      </c>
      <c r="C1380" s="5" t="n">
        <v>2017</v>
      </c>
      <c r="D1380" s="5" t="inlineStr">
        <is>
          <t>No contesta</t>
        </is>
      </c>
      <c r="E1380" s="6" t="n">
        <v>0.043</v>
      </c>
      <c r="F1380" s="7" t="n">
        <v>1000</v>
      </c>
    </row>
    <row r="1381">
      <c r="A1381" s="5" t="inlineStr">
        <is>
          <t>Apoyo democracia</t>
        </is>
      </c>
      <c r="B1381" s="5" t="inlineStr">
        <is>
          <t>Panamá</t>
        </is>
      </c>
      <c r="C1381" s="5" t="n">
        <v>2018</v>
      </c>
      <c r="D1381" s="5" t="inlineStr">
        <is>
          <t>Democracia</t>
        </is>
      </c>
      <c r="E1381" s="6" t="n">
        <v>0.42</v>
      </c>
      <c r="F1381" s="7" t="n">
        <v>1000</v>
      </c>
    </row>
    <row r="1382">
      <c r="A1382" s="5" t="inlineStr">
        <is>
          <t>Apoyo democracia</t>
        </is>
      </c>
      <c r="B1382" s="5" t="inlineStr">
        <is>
          <t>Panamá</t>
        </is>
      </c>
      <c r="C1382" s="5" t="n">
        <v>2018</v>
      </c>
      <c r="D1382" s="5" t="inlineStr">
        <is>
          <t>Gobierno Autoritario</t>
        </is>
      </c>
      <c r="E1382" s="6" t="n">
        <v>0.142</v>
      </c>
      <c r="F1382" s="7" t="n">
        <v>1000</v>
      </c>
    </row>
    <row r="1383">
      <c r="A1383" s="5" t="inlineStr">
        <is>
          <t>Apoyo democracia</t>
        </is>
      </c>
      <c r="B1383" s="5" t="inlineStr">
        <is>
          <t>Panamá</t>
        </is>
      </c>
      <c r="C1383" s="5" t="n">
        <v>2018</v>
      </c>
      <c r="D1383" s="5" t="inlineStr">
        <is>
          <t>Da lo mismo</t>
        </is>
      </c>
      <c r="E1383" s="6" t="n">
        <v>0.342</v>
      </c>
      <c r="F1383" s="7" t="n">
        <v>1000</v>
      </c>
    </row>
    <row r="1384">
      <c r="A1384" s="5" t="inlineStr">
        <is>
          <t>Apoyo democracia</t>
        </is>
      </c>
      <c r="B1384" s="5" t="inlineStr">
        <is>
          <t>Panamá</t>
        </is>
      </c>
      <c r="C1384" s="5" t="n">
        <v>2018</v>
      </c>
      <c r="D1384" s="5" t="inlineStr">
        <is>
          <t>No sabe</t>
        </is>
      </c>
      <c r="E1384" s="6" t="n">
        <v>0.08400000000000001</v>
      </c>
      <c r="F1384" s="7" t="n">
        <v>1000</v>
      </c>
    </row>
    <row r="1385">
      <c r="A1385" s="5" t="inlineStr">
        <is>
          <t>Apoyo democracia</t>
        </is>
      </c>
      <c r="B1385" s="5" t="inlineStr">
        <is>
          <t>Panamá</t>
        </is>
      </c>
      <c r="C1385" s="5" t="n">
        <v>2018</v>
      </c>
      <c r="D1385" s="5" t="inlineStr">
        <is>
          <t>No contesta</t>
        </is>
      </c>
      <c r="E1385" s="6" t="n">
        <v>0.012</v>
      </c>
      <c r="F1385" s="7" t="n">
        <v>1000</v>
      </c>
    </row>
    <row r="1386">
      <c r="A1386" s="5" t="inlineStr">
        <is>
          <t>Apoyo democracia</t>
        </is>
      </c>
      <c r="B1386" s="5" t="inlineStr">
        <is>
          <t>Panamá</t>
        </is>
      </c>
      <c r="C1386" s="5" t="n">
        <v>2020</v>
      </c>
      <c r="D1386" s="5" t="inlineStr">
        <is>
          <t>Democracia</t>
        </is>
      </c>
      <c r="E1386" s="6" t="n">
        <v>0.35</v>
      </c>
      <c r="F1386" s="7" t="n">
        <v>1000</v>
      </c>
    </row>
    <row r="1387">
      <c r="A1387" s="5" t="inlineStr">
        <is>
          <t>Apoyo democracia</t>
        </is>
      </c>
      <c r="B1387" s="5" t="inlineStr">
        <is>
          <t>Panamá</t>
        </is>
      </c>
      <c r="C1387" s="5" t="n">
        <v>2020</v>
      </c>
      <c r="D1387" s="5" t="inlineStr">
        <is>
          <t>Gobierno Autoritario</t>
        </is>
      </c>
      <c r="E1387" s="6" t="n">
        <v>0.137</v>
      </c>
      <c r="F1387" s="7" t="n">
        <v>1000</v>
      </c>
    </row>
    <row r="1388">
      <c r="A1388" s="5" t="inlineStr">
        <is>
          <t>Apoyo democracia</t>
        </is>
      </c>
      <c r="B1388" s="5" t="inlineStr">
        <is>
          <t>Panamá</t>
        </is>
      </c>
      <c r="C1388" s="5" t="n">
        <v>2020</v>
      </c>
      <c r="D1388" s="5" t="inlineStr">
        <is>
          <t>Da lo mismo</t>
        </is>
      </c>
      <c r="E1388" s="6" t="n">
        <v>0.394</v>
      </c>
      <c r="F1388" s="7" t="n">
        <v>1000</v>
      </c>
    </row>
    <row r="1389">
      <c r="A1389" s="5" t="inlineStr">
        <is>
          <t>Apoyo democracia</t>
        </is>
      </c>
      <c r="B1389" s="5" t="inlineStr">
        <is>
          <t>Panamá</t>
        </is>
      </c>
      <c r="C1389" s="5" t="n">
        <v>2020</v>
      </c>
      <c r="D1389" s="5" t="inlineStr">
        <is>
          <t>No sabe</t>
        </is>
      </c>
      <c r="E1389" s="6" t="n">
        <v>0.096</v>
      </c>
      <c r="F1389" s="7" t="n">
        <v>1000</v>
      </c>
    </row>
    <row r="1390">
      <c r="A1390" s="5" t="inlineStr">
        <is>
          <t>Apoyo democracia</t>
        </is>
      </c>
      <c r="B1390" s="5" t="inlineStr">
        <is>
          <t>Panamá</t>
        </is>
      </c>
      <c r="C1390" s="5" t="n">
        <v>2020</v>
      </c>
      <c r="D1390" s="5" t="inlineStr">
        <is>
          <t>No contesta</t>
        </is>
      </c>
      <c r="E1390" s="6" t="n">
        <v>0.023</v>
      </c>
      <c r="F1390" s="7" t="n">
        <v>1000</v>
      </c>
    </row>
    <row r="1391">
      <c r="A1391" s="5" t="inlineStr">
        <is>
          <t>Apoyo democracia</t>
        </is>
      </c>
      <c r="B1391" s="5" t="inlineStr">
        <is>
          <t>Panamá</t>
        </is>
      </c>
      <c r="C1391" s="5" t="n">
        <v>2024</v>
      </c>
      <c r="D1391" s="5" t="inlineStr">
        <is>
          <t>Democracia</t>
        </is>
      </c>
      <c r="E1391" s="6" t="n">
        <v>0.539</v>
      </c>
      <c r="F1391" s="7" t="n">
        <v>1000</v>
      </c>
    </row>
    <row r="1392">
      <c r="A1392" s="5" t="inlineStr">
        <is>
          <t>Apoyo democracia</t>
        </is>
      </c>
      <c r="B1392" s="5" t="inlineStr">
        <is>
          <t>Panamá</t>
        </is>
      </c>
      <c r="C1392" s="5" t="n">
        <v>2024</v>
      </c>
      <c r="D1392" s="5" t="inlineStr">
        <is>
          <t>Gobierno Autoritario</t>
        </is>
      </c>
      <c r="E1392" s="6" t="n">
        <v>0.156</v>
      </c>
      <c r="F1392" s="7" t="n">
        <v>1000</v>
      </c>
    </row>
    <row r="1393">
      <c r="A1393" s="5" t="inlineStr">
        <is>
          <t>Apoyo democracia</t>
        </is>
      </c>
      <c r="B1393" s="5" t="inlineStr">
        <is>
          <t>Panamá</t>
        </is>
      </c>
      <c r="C1393" s="5" t="n">
        <v>2024</v>
      </c>
      <c r="D1393" s="5" t="inlineStr">
        <is>
          <t>Da lo mismo</t>
        </is>
      </c>
      <c r="E1393" s="6" t="n">
        <v>0.238</v>
      </c>
      <c r="F1393" s="7" t="n">
        <v>1000</v>
      </c>
    </row>
    <row r="1394">
      <c r="A1394" s="5" t="inlineStr">
        <is>
          <t>Apoyo democracia</t>
        </is>
      </c>
      <c r="B1394" s="5" t="inlineStr">
        <is>
          <t>Panamá</t>
        </is>
      </c>
      <c r="C1394" s="5" t="n">
        <v>2024</v>
      </c>
      <c r="D1394" s="5" t="inlineStr">
        <is>
          <t>No sabe</t>
        </is>
      </c>
      <c r="E1394" s="6" t="n">
        <v>0.046</v>
      </c>
      <c r="F1394" s="7" t="n">
        <v>1000</v>
      </c>
    </row>
    <row r="1395">
      <c r="A1395" s="5" t="inlineStr">
        <is>
          <t>Apoyo democracia</t>
        </is>
      </c>
      <c r="B1395" s="5" t="inlineStr">
        <is>
          <t>Panamá</t>
        </is>
      </c>
      <c r="C1395" s="5" t="n">
        <v>2024</v>
      </c>
      <c r="D1395" s="5" t="inlineStr">
        <is>
          <t>No contesta</t>
        </is>
      </c>
      <c r="E1395" s="6" t="n">
        <v>0.021</v>
      </c>
      <c r="F1395" s="7" t="n">
        <v>1000</v>
      </c>
    </row>
    <row r="1396">
      <c r="A1396" s="5" t="inlineStr">
        <is>
          <t>Apoyo democracia</t>
        </is>
      </c>
      <c r="B1396" s="5" t="inlineStr">
        <is>
          <t>Paraguay</t>
        </is>
      </c>
      <c r="C1396" s="5" t="n">
        <v>1995</v>
      </c>
      <c r="D1396" s="5" t="inlineStr">
        <is>
          <t>Democracia</t>
        </is>
      </c>
      <c r="E1396" s="6" t="n">
        <v>0.516</v>
      </c>
      <c r="F1396" s="7" t="n">
        <v>587</v>
      </c>
    </row>
    <row r="1397">
      <c r="A1397" s="5" t="inlineStr">
        <is>
          <t>Apoyo democracia</t>
        </is>
      </c>
      <c r="B1397" s="5" t="inlineStr">
        <is>
          <t>Paraguay</t>
        </is>
      </c>
      <c r="C1397" s="5" t="n">
        <v>1995</v>
      </c>
      <c r="D1397" s="5" t="inlineStr">
        <is>
          <t>Gobierno Autoritario</t>
        </is>
      </c>
      <c r="E1397" s="6" t="n">
        <v>0.198</v>
      </c>
      <c r="F1397" s="7" t="n">
        <v>587</v>
      </c>
    </row>
    <row r="1398">
      <c r="A1398" s="5" t="inlineStr">
        <is>
          <t>Apoyo democracia</t>
        </is>
      </c>
      <c r="B1398" s="5" t="inlineStr">
        <is>
          <t>Paraguay</t>
        </is>
      </c>
      <c r="C1398" s="5" t="n">
        <v>1995</v>
      </c>
      <c r="D1398" s="5" t="inlineStr">
        <is>
          <t>Da lo mismo</t>
        </is>
      </c>
      <c r="E1398" s="6" t="n">
        <v>0.182</v>
      </c>
      <c r="F1398" s="7" t="n">
        <v>587</v>
      </c>
    </row>
    <row r="1399">
      <c r="A1399" s="5" t="inlineStr">
        <is>
          <t>Apoyo democracia</t>
        </is>
      </c>
      <c r="B1399" s="5" t="inlineStr">
        <is>
          <t>Paraguay</t>
        </is>
      </c>
      <c r="C1399" s="5" t="n">
        <v>1995</v>
      </c>
      <c r="D1399" s="5" t="inlineStr">
        <is>
          <t>No sabe</t>
        </is>
      </c>
      <c r="E1399" s="6" t="n">
        <v>0.068</v>
      </c>
      <c r="F1399" s="7" t="n">
        <v>587</v>
      </c>
    </row>
    <row r="1400">
      <c r="A1400" s="5" t="inlineStr">
        <is>
          <t>Apoyo democracia</t>
        </is>
      </c>
      <c r="B1400" s="5" t="inlineStr">
        <is>
          <t>Paraguay</t>
        </is>
      </c>
      <c r="C1400" s="5" t="n">
        <v>1995</v>
      </c>
      <c r="D1400" s="5" t="inlineStr">
        <is>
          <t>No contesta</t>
        </is>
      </c>
      <c r="E1400" s="6" t="n">
        <v>0.036</v>
      </c>
      <c r="F1400" s="7" t="n">
        <v>587</v>
      </c>
    </row>
    <row r="1401">
      <c r="A1401" s="5" t="inlineStr">
        <is>
          <t>Apoyo democracia</t>
        </is>
      </c>
      <c r="B1401" s="5" t="inlineStr">
        <is>
          <t>Paraguay</t>
        </is>
      </c>
      <c r="C1401" s="5" t="n">
        <v>1996</v>
      </c>
      <c r="D1401" s="5" t="inlineStr">
        <is>
          <t>Democracia</t>
        </is>
      </c>
      <c r="E1401" s="6" t="n">
        <v>0.594</v>
      </c>
      <c r="F1401" s="7" t="n">
        <v>598</v>
      </c>
    </row>
    <row r="1402">
      <c r="A1402" s="5" t="inlineStr">
        <is>
          <t>Apoyo democracia</t>
        </is>
      </c>
      <c r="B1402" s="5" t="inlineStr">
        <is>
          <t>Paraguay</t>
        </is>
      </c>
      <c r="C1402" s="5" t="n">
        <v>1996</v>
      </c>
      <c r="D1402" s="5" t="inlineStr">
        <is>
          <t>Gobierno Autoritario</t>
        </is>
      </c>
      <c r="E1402" s="6" t="n">
        <v>0.258</v>
      </c>
      <c r="F1402" s="7" t="n">
        <v>598</v>
      </c>
    </row>
    <row r="1403">
      <c r="A1403" s="5" t="inlineStr">
        <is>
          <t>Apoyo democracia</t>
        </is>
      </c>
      <c r="B1403" s="5" t="inlineStr">
        <is>
          <t>Paraguay</t>
        </is>
      </c>
      <c r="C1403" s="5" t="n">
        <v>1996</v>
      </c>
      <c r="D1403" s="5" t="inlineStr">
        <is>
          <t>Da lo mismo</t>
        </is>
      </c>
      <c r="E1403" s="6" t="n">
        <v>0.129</v>
      </c>
      <c r="F1403" s="7" t="n">
        <v>598</v>
      </c>
    </row>
    <row r="1404">
      <c r="A1404" s="5" t="inlineStr">
        <is>
          <t>Apoyo democracia</t>
        </is>
      </c>
      <c r="B1404" s="5" t="inlineStr">
        <is>
          <t>Paraguay</t>
        </is>
      </c>
      <c r="C1404" s="5" t="n">
        <v>1996</v>
      </c>
      <c r="D1404" s="5" t="inlineStr">
        <is>
          <t>No sabe</t>
        </is>
      </c>
      <c r="E1404" s="6" t="n">
        <v>0.017</v>
      </c>
      <c r="F1404" s="7" t="n">
        <v>598</v>
      </c>
    </row>
    <row r="1405">
      <c r="A1405" s="5" t="inlineStr">
        <is>
          <t>Apoyo democracia</t>
        </is>
      </c>
      <c r="B1405" s="5" t="inlineStr">
        <is>
          <t>Paraguay</t>
        </is>
      </c>
      <c r="C1405" s="5" t="n">
        <v>1996</v>
      </c>
      <c r="D1405" s="5" t="inlineStr">
        <is>
          <t>No contesta</t>
        </is>
      </c>
      <c r="E1405" s="6" t="n">
        <v>0.003</v>
      </c>
      <c r="F1405" s="7" t="n">
        <v>598</v>
      </c>
    </row>
    <row r="1406">
      <c r="A1406" s="5" t="inlineStr">
        <is>
          <t>Apoyo democracia</t>
        </is>
      </c>
      <c r="B1406" s="5" t="inlineStr">
        <is>
          <t>Paraguay</t>
        </is>
      </c>
      <c r="C1406" s="5" t="n">
        <v>1997</v>
      </c>
      <c r="D1406" s="5" t="inlineStr">
        <is>
          <t>Democracia</t>
        </is>
      </c>
      <c r="E1406" s="6" t="n">
        <v>0.444</v>
      </c>
      <c r="F1406" s="7" t="n">
        <v>575</v>
      </c>
    </row>
    <row r="1407">
      <c r="A1407" s="5" t="inlineStr">
        <is>
          <t>Apoyo democracia</t>
        </is>
      </c>
      <c r="B1407" s="5" t="inlineStr">
        <is>
          <t>Paraguay</t>
        </is>
      </c>
      <c r="C1407" s="5" t="n">
        <v>1997</v>
      </c>
      <c r="D1407" s="5" t="inlineStr">
        <is>
          <t>Gobierno Autoritario</t>
        </is>
      </c>
      <c r="E1407" s="6" t="n">
        <v>0.418</v>
      </c>
      <c r="F1407" s="7" t="n">
        <v>575</v>
      </c>
    </row>
    <row r="1408">
      <c r="A1408" s="5" t="inlineStr">
        <is>
          <t>Apoyo democracia</t>
        </is>
      </c>
      <c r="B1408" s="5" t="inlineStr">
        <is>
          <t>Paraguay</t>
        </is>
      </c>
      <c r="C1408" s="5" t="n">
        <v>1997</v>
      </c>
      <c r="D1408" s="5" t="inlineStr">
        <is>
          <t>Da lo mismo</t>
        </is>
      </c>
      <c r="E1408" s="6" t="n">
        <v>0.105</v>
      </c>
      <c r="F1408" s="7" t="n">
        <v>575</v>
      </c>
    </row>
    <row r="1409">
      <c r="A1409" s="5" t="inlineStr">
        <is>
          <t>Apoyo democracia</t>
        </is>
      </c>
      <c r="B1409" s="5" t="inlineStr">
        <is>
          <t>Paraguay</t>
        </is>
      </c>
      <c r="C1409" s="5" t="n">
        <v>1997</v>
      </c>
      <c r="D1409" s="5" t="inlineStr">
        <is>
          <t>No sabe</t>
        </is>
      </c>
      <c r="E1409" s="6" t="n">
        <v>0.025</v>
      </c>
      <c r="F1409" s="7" t="n">
        <v>575</v>
      </c>
    </row>
    <row r="1410">
      <c r="A1410" s="5" t="inlineStr">
        <is>
          <t>Apoyo democracia</t>
        </is>
      </c>
      <c r="B1410" s="5" t="inlineStr">
        <is>
          <t>Paraguay</t>
        </is>
      </c>
      <c r="C1410" s="5" t="n">
        <v>1997</v>
      </c>
      <c r="D1410" s="5" t="inlineStr">
        <is>
          <t>No contesta</t>
        </is>
      </c>
      <c r="E1410" s="6" t="n">
        <v>0.008</v>
      </c>
      <c r="F1410" s="7" t="n">
        <v>575</v>
      </c>
    </row>
    <row r="1411">
      <c r="A1411" s="5" t="inlineStr">
        <is>
          <t>Apoyo democracia</t>
        </is>
      </c>
      <c r="B1411" s="5" t="inlineStr">
        <is>
          <t>Paraguay</t>
        </is>
      </c>
      <c r="C1411" s="5" t="n">
        <v>1998</v>
      </c>
      <c r="D1411" s="5" t="inlineStr">
        <is>
          <t>Democracia</t>
        </is>
      </c>
      <c r="E1411" s="6" t="n">
        <v>0.512</v>
      </c>
      <c r="F1411" s="7" t="n">
        <v>600</v>
      </c>
    </row>
    <row r="1412">
      <c r="A1412" s="5" t="inlineStr">
        <is>
          <t>Apoyo democracia</t>
        </is>
      </c>
      <c r="B1412" s="5" t="inlineStr">
        <is>
          <t>Paraguay</t>
        </is>
      </c>
      <c r="C1412" s="5" t="n">
        <v>1998</v>
      </c>
      <c r="D1412" s="5" t="inlineStr">
        <is>
          <t>Gobierno Autoritario</t>
        </is>
      </c>
      <c r="E1412" s="6" t="n">
        <v>0.357</v>
      </c>
      <c r="F1412" s="7" t="n">
        <v>600</v>
      </c>
    </row>
    <row r="1413">
      <c r="A1413" s="5" t="inlineStr">
        <is>
          <t>Apoyo democracia</t>
        </is>
      </c>
      <c r="B1413" s="5" t="inlineStr">
        <is>
          <t>Paraguay</t>
        </is>
      </c>
      <c r="C1413" s="5" t="n">
        <v>1998</v>
      </c>
      <c r="D1413" s="5" t="inlineStr">
        <is>
          <t>Da lo mismo</t>
        </is>
      </c>
      <c r="E1413" s="6" t="n">
        <v>0.111</v>
      </c>
      <c r="F1413" s="7" t="n">
        <v>600</v>
      </c>
    </row>
    <row r="1414">
      <c r="A1414" s="5" t="inlineStr">
        <is>
          <t>Apoyo democracia</t>
        </is>
      </c>
      <c r="B1414" s="5" t="inlineStr">
        <is>
          <t>Paraguay</t>
        </is>
      </c>
      <c r="C1414" s="5" t="n">
        <v>1998</v>
      </c>
      <c r="D1414" s="5" t="inlineStr">
        <is>
          <t>No sabe</t>
        </is>
      </c>
      <c r="E1414" s="6" t="n">
        <v>0.019</v>
      </c>
      <c r="F1414" s="7" t="n">
        <v>600</v>
      </c>
    </row>
    <row r="1415">
      <c r="A1415" s="5" t="inlineStr">
        <is>
          <t>Apoyo democracia</t>
        </is>
      </c>
      <c r="B1415" s="5" t="inlineStr">
        <is>
          <t>Paraguay</t>
        </is>
      </c>
      <c r="C1415" s="5" t="n">
        <v>2000</v>
      </c>
      <c r="D1415" s="5" t="inlineStr">
        <is>
          <t>Democracia</t>
        </is>
      </c>
      <c r="E1415" s="6" t="n">
        <v>0.461</v>
      </c>
      <c r="F1415" s="7" t="n">
        <v>602</v>
      </c>
    </row>
    <row r="1416">
      <c r="A1416" s="5" t="inlineStr">
        <is>
          <t>Apoyo democracia</t>
        </is>
      </c>
      <c r="B1416" s="5" t="inlineStr">
        <is>
          <t>Paraguay</t>
        </is>
      </c>
      <c r="C1416" s="5" t="n">
        <v>2000</v>
      </c>
      <c r="D1416" s="5" t="inlineStr">
        <is>
          <t>Gobierno Autoritario</t>
        </is>
      </c>
      <c r="E1416" s="6" t="n">
        <v>0.407</v>
      </c>
      <c r="F1416" s="7" t="n">
        <v>602</v>
      </c>
    </row>
    <row r="1417">
      <c r="A1417" s="5" t="inlineStr">
        <is>
          <t>Apoyo democracia</t>
        </is>
      </c>
      <c r="B1417" s="5" t="inlineStr">
        <is>
          <t>Paraguay</t>
        </is>
      </c>
      <c r="C1417" s="5" t="n">
        <v>2000</v>
      </c>
      <c r="D1417" s="5" t="inlineStr">
        <is>
          <t>Da lo mismo</t>
        </is>
      </c>
      <c r="E1417" s="6" t="n">
        <v>0.13</v>
      </c>
      <c r="F1417" s="7" t="n">
        <v>602</v>
      </c>
    </row>
    <row r="1418">
      <c r="A1418" s="5" t="inlineStr">
        <is>
          <t>Apoyo democracia</t>
        </is>
      </c>
      <c r="B1418" s="5" t="inlineStr">
        <is>
          <t>Paraguay</t>
        </is>
      </c>
      <c r="C1418" s="5" t="n">
        <v>2000</v>
      </c>
      <c r="D1418" s="5" t="inlineStr">
        <is>
          <t>No sabe</t>
        </is>
      </c>
      <c r="E1418" s="6" t="n">
        <v>0.002</v>
      </c>
      <c r="F1418" s="7" t="n">
        <v>602</v>
      </c>
    </row>
    <row r="1419">
      <c r="A1419" s="5" t="inlineStr">
        <is>
          <t>Apoyo democracia</t>
        </is>
      </c>
      <c r="B1419" s="5" t="inlineStr">
        <is>
          <t>Paraguay</t>
        </is>
      </c>
      <c r="C1419" s="5" t="n">
        <v>2001</v>
      </c>
      <c r="D1419" s="5" t="inlineStr">
        <is>
          <t>Democracia</t>
        </is>
      </c>
      <c r="E1419" s="6" t="n">
        <v>0.346</v>
      </c>
      <c r="F1419" s="7" t="n">
        <v>604</v>
      </c>
    </row>
    <row r="1420">
      <c r="A1420" s="5" t="inlineStr">
        <is>
          <t>Apoyo democracia</t>
        </is>
      </c>
      <c r="B1420" s="5" t="inlineStr">
        <is>
          <t>Paraguay</t>
        </is>
      </c>
      <c r="C1420" s="5" t="n">
        <v>2001</v>
      </c>
      <c r="D1420" s="5" t="inlineStr">
        <is>
          <t>Gobierno Autoritario</t>
        </is>
      </c>
      <c r="E1420" s="6" t="n">
        <v>0.426</v>
      </c>
      <c r="F1420" s="7" t="n">
        <v>604</v>
      </c>
    </row>
    <row r="1421">
      <c r="A1421" s="5" t="inlineStr">
        <is>
          <t>Apoyo democracia</t>
        </is>
      </c>
      <c r="B1421" s="5" t="inlineStr">
        <is>
          <t>Paraguay</t>
        </is>
      </c>
      <c r="C1421" s="5" t="n">
        <v>2001</v>
      </c>
      <c r="D1421" s="5" t="inlineStr">
        <is>
          <t>Da lo mismo</t>
        </is>
      </c>
      <c r="E1421" s="6" t="n">
        <v>0.186</v>
      </c>
      <c r="F1421" s="7" t="n">
        <v>604</v>
      </c>
    </row>
    <row r="1422">
      <c r="A1422" s="5" t="inlineStr">
        <is>
          <t>Apoyo democracia</t>
        </is>
      </c>
      <c r="B1422" s="5" t="inlineStr">
        <is>
          <t>Paraguay</t>
        </is>
      </c>
      <c r="C1422" s="5" t="n">
        <v>2001</v>
      </c>
      <c r="D1422" s="5" t="inlineStr">
        <is>
          <t>No sabe</t>
        </is>
      </c>
      <c r="E1422" s="6" t="n">
        <v>0.04</v>
      </c>
      <c r="F1422" s="7" t="n">
        <v>604</v>
      </c>
    </row>
    <row r="1423">
      <c r="A1423" s="5" t="inlineStr">
        <is>
          <t>Apoyo democracia</t>
        </is>
      </c>
      <c r="B1423" s="5" t="inlineStr">
        <is>
          <t>Paraguay</t>
        </is>
      </c>
      <c r="C1423" s="5" t="n">
        <v>2001</v>
      </c>
      <c r="D1423" s="5" t="inlineStr">
        <is>
          <t>No contesta</t>
        </is>
      </c>
      <c r="E1423" s="6" t="n">
        <v>0.001</v>
      </c>
      <c r="F1423" s="7" t="n">
        <v>604</v>
      </c>
    </row>
    <row r="1424">
      <c r="A1424" s="5" t="inlineStr">
        <is>
          <t>Apoyo democracia</t>
        </is>
      </c>
      <c r="B1424" s="5" t="inlineStr">
        <is>
          <t>Paraguay</t>
        </is>
      </c>
      <c r="C1424" s="5" t="n">
        <v>2002</v>
      </c>
      <c r="D1424" s="5" t="inlineStr">
        <is>
          <t>Democracia</t>
        </is>
      </c>
      <c r="E1424" s="6" t="n">
        <v>0.414</v>
      </c>
      <c r="F1424" s="7" t="n">
        <v>600</v>
      </c>
    </row>
    <row r="1425">
      <c r="A1425" s="5" t="inlineStr">
        <is>
          <t>Apoyo democracia</t>
        </is>
      </c>
      <c r="B1425" s="5" t="inlineStr">
        <is>
          <t>Paraguay</t>
        </is>
      </c>
      <c r="C1425" s="5" t="n">
        <v>2002</v>
      </c>
      <c r="D1425" s="5" t="inlineStr">
        <is>
          <t>Gobierno Autoritario</t>
        </is>
      </c>
      <c r="E1425" s="6" t="n">
        <v>0.373</v>
      </c>
      <c r="F1425" s="7" t="n">
        <v>600</v>
      </c>
    </row>
    <row r="1426">
      <c r="A1426" s="5" t="inlineStr">
        <is>
          <t>Apoyo democracia</t>
        </is>
      </c>
      <c r="B1426" s="5" t="inlineStr">
        <is>
          <t>Paraguay</t>
        </is>
      </c>
      <c r="C1426" s="5" t="n">
        <v>2002</v>
      </c>
      <c r="D1426" s="5" t="inlineStr">
        <is>
          <t>Da lo mismo</t>
        </is>
      </c>
      <c r="E1426" s="6" t="n">
        <v>0.204</v>
      </c>
      <c r="F1426" s="7" t="n">
        <v>600</v>
      </c>
    </row>
    <row r="1427">
      <c r="A1427" s="5" t="inlineStr">
        <is>
          <t>Apoyo democracia</t>
        </is>
      </c>
      <c r="B1427" s="5" t="inlineStr">
        <is>
          <t>Paraguay</t>
        </is>
      </c>
      <c r="C1427" s="5" t="n">
        <v>2002</v>
      </c>
      <c r="D1427" s="5" t="inlineStr">
        <is>
          <t>No sabe</t>
        </is>
      </c>
      <c r="E1427" s="6" t="n">
        <v>0.006</v>
      </c>
      <c r="F1427" s="7" t="n">
        <v>600</v>
      </c>
    </row>
    <row r="1428">
      <c r="A1428" s="5" t="inlineStr">
        <is>
          <t>Apoyo democracia</t>
        </is>
      </c>
      <c r="B1428" s="5" t="inlineStr">
        <is>
          <t>Paraguay</t>
        </is>
      </c>
      <c r="C1428" s="5" t="n">
        <v>2002</v>
      </c>
      <c r="D1428" s="5" t="inlineStr">
        <is>
          <t>No contesta</t>
        </is>
      </c>
      <c r="E1428" s="6" t="n">
        <v>0.004</v>
      </c>
      <c r="F1428" s="7" t="n">
        <v>600</v>
      </c>
    </row>
    <row r="1429">
      <c r="A1429" s="5" t="inlineStr">
        <is>
          <t>Apoyo democracia</t>
        </is>
      </c>
      <c r="B1429" s="5" t="inlineStr">
        <is>
          <t>Paraguay</t>
        </is>
      </c>
      <c r="C1429" s="5" t="n">
        <v>2003</v>
      </c>
      <c r="D1429" s="5" t="inlineStr">
        <is>
          <t>Democracia</t>
        </is>
      </c>
      <c r="E1429" s="6" t="n">
        <v>0.391</v>
      </c>
      <c r="F1429" s="7" t="n">
        <v>600</v>
      </c>
    </row>
    <row r="1430">
      <c r="A1430" s="5" t="inlineStr">
        <is>
          <t>Apoyo democracia</t>
        </is>
      </c>
      <c r="B1430" s="5" t="inlineStr">
        <is>
          <t>Paraguay</t>
        </is>
      </c>
      <c r="C1430" s="5" t="n">
        <v>2003</v>
      </c>
      <c r="D1430" s="5" t="inlineStr">
        <is>
          <t>Gobierno Autoritario</t>
        </is>
      </c>
      <c r="E1430" s="6" t="n">
        <v>0.429</v>
      </c>
      <c r="F1430" s="7" t="n">
        <v>600</v>
      </c>
    </row>
    <row r="1431">
      <c r="A1431" s="5" t="inlineStr">
        <is>
          <t>Apoyo democracia</t>
        </is>
      </c>
      <c r="B1431" s="5" t="inlineStr">
        <is>
          <t>Paraguay</t>
        </is>
      </c>
      <c r="C1431" s="5" t="n">
        <v>2003</v>
      </c>
      <c r="D1431" s="5" t="inlineStr">
        <is>
          <t>Da lo mismo</t>
        </is>
      </c>
      <c r="E1431" s="6" t="n">
        <v>0.174</v>
      </c>
      <c r="F1431" s="7" t="n">
        <v>600</v>
      </c>
    </row>
    <row r="1432">
      <c r="A1432" s="5" t="inlineStr">
        <is>
          <t>Apoyo democracia</t>
        </is>
      </c>
      <c r="B1432" s="5" t="inlineStr">
        <is>
          <t>Paraguay</t>
        </is>
      </c>
      <c r="C1432" s="5" t="n">
        <v>2003</v>
      </c>
      <c r="D1432" s="5" t="inlineStr">
        <is>
          <t>No sabe</t>
        </is>
      </c>
      <c r="E1432" s="6" t="n">
        <v>0.006999999999999999</v>
      </c>
      <c r="F1432" s="7" t="n">
        <v>600</v>
      </c>
    </row>
    <row r="1433">
      <c r="A1433" s="5" t="inlineStr">
        <is>
          <t>Apoyo democracia</t>
        </is>
      </c>
      <c r="B1433" s="5" t="inlineStr">
        <is>
          <t>Paraguay</t>
        </is>
      </c>
      <c r="C1433" s="5" t="n">
        <v>2004</v>
      </c>
      <c r="D1433" s="5" t="inlineStr">
        <is>
          <t>Democracia</t>
        </is>
      </c>
      <c r="E1433" s="6" t="n">
        <v>0.391</v>
      </c>
      <c r="F1433" s="7" t="n">
        <v>600</v>
      </c>
    </row>
    <row r="1434">
      <c r="A1434" s="5" t="inlineStr">
        <is>
          <t>Apoyo democracia</t>
        </is>
      </c>
      <c r="B1434" s="5" t="inlineStr">
        <is>
          <t>Paraguay</t>
        </is>
      </c>
      <c r="C1434" s="5" t="n">
        <v>2004</v>
      </c>
      <c r="D1434" s="5" t="inlineStr">
        <is>
          <t>Gobierno Autoritario</t>
        </is>
      </c>
      <c r="E1434" s="6" t="n">
        <v>0.392</v>
      </c>
      <c r="F1434" s="7" t="n">
        <v>600</v>
      </c>
    </row>
    <row r="1435">
      <c r="A1435" s="5" t="inlineStr">
        <is>
          <t>Apoyo democracia</t>
        </is>
      </c>
      <c r="B1435" s="5" t="inlineStr">
        <is>
          <t>Paraguay</t>
        </is>
      </c>
      <c r="C1435" s="5" t="n">
        <v>2004</v>
      </c>
      <c r="D1435" s="5" t="inlineStr">
        <is>
          <t>Da lo mismo</t>
        </is>
      </c>
      <c r="E1435" s="6" t="n">
        <v>0.186</v>
      </c>
      <c r="F1435" s="7" t="n">
        <v>600</v>
      </c>
    </row>
    <row r="1436">
      <c r="A1436" s="5" t="inlineStr">
        <is>
          <t>Apoyo democracia</t>
        </is>
      </c>
      <c r="B1436" s="5" t="inlineStr">
        <is>
          <t>Paraguay</t>
        </is>
      </c>
      <c r="C1436" s="5" t="n">
        <v>2004</v>
      </c>
      <c r="D1436" s="5" t="inlineStr">
        <is>
          <t>No sabe</t>
        </is>
      </c>
      <c r="E1436" s="6" t="n">
        <v>0.025</v>
      </c>
      <c r="F1436" s="7" t="n">
        <v>600</v>
      </c>
    </row>
    <row r="1437">
      <c r="A1437" s="5" t="inlineStr">
        <is>
          <t>Apoyo democracia</t>
        </is>
      </c>
      <c r="B1437" s="5" t="inlineStr">
        <is>
          <t>Paraguay</t>
        </is>
      </c>
      <c r="C1437" s="5" t="n">
        <v>2004</v>
      </c>
      <c r="D1437" s="5" t="inlineStr">
        <is>
          <t>No contesta</t>
        </is>
      </c>
      <c r="E1437" s="6" t="n">
        <v>0.006999999999999999</v>
      </c>
      <c r="F1437" s="7" t="n">
        <v>600</v>
      </c>
    </row>
    <row r="1438">
      <c r="A1438" s="5" t="inlineStr">
        <is>
          <t>Apoyo democracia</t>
        </is>
      </c>
      <c r="B1438" s="5" t="inlineStr">
        <is>
          <t>Paraguay</t>
        </is>
      </c>
      <c r="C1438" s="5" t="n">
        <v>2005</v>
      </c>
      <c r="D1438" s="5" t="inlineStr">
        <is>
          <t>Democracia</t>
        </is>
      </c>
      <c r="E1438" s="6" t="n">
        <v>0.324</v>
      </c>
      <c r="F1438" s="7" t="n">
        <v>1200</v>
      </c>
    </row>
    <row r="1439">
      <c r="A1439" s="5" t="inlineStr">
        <is>
          <t>Apoyo democracia</t>
        </is>
      </c>
      <c r="B1439" s="5" t="inlineStr">
        <is>
          <t>Paraguay</t>
        </is>
      </c>
      <c r="C1439" s="5" t="n">
        <v>2005</v>
      </c>
      <c r="D1439" s="5" t="inlineStr">
        <is>
          <t>Gobierno Autoritario</t>
        </is>
      </c>
      <c r="E1439" s="6" t="n">
        <v>0.4379999999999999</v>
      </c>
      <c r="F1439" s="7" t="n">
        <v>1200</v>
      </c>
    </row>
    <row r="1440">
      <c r="A1440" s="5" t="inlineStr">
        <is>
          <t>Apoyo democracia</t>
        </is>
      </c>
      <c r="B1440" s="5" t="inlineStr">
        <is>
          <t>Paraguay</t>
        </is>
      </c>
      <c r="C1440" s="5" t="n">
        <v>2005</v>
      </c>
      <c r="D1440" s="5" t="inlineStr">
        <is>
          <t>Da lo mismo</t>
        </is>
      </c>
      <c r="E1440" s="6" t="n">
        <v>0.195</v>
      </c>
      <c r="F1440" s="7" t="n">
        <v>1200</v>
      </c>
    </row>
    <row r="1441">
      <c r="A1441" s="5" t="inlineStr">
        <is>
          <t>Apoyo democracia</t>
        </is>
      </c>
      <c r="B1441" s="5" t="inlineStr">
        <is>
          <t>Paraguay</t>
        </is>
      </c>
      <c r="C1441" s="5" t="n">
        <v>2005</v>
      </c>
      <c r="D1441" s="5" t="inlineStr">
        <is>
          <t>No sabe</t>
        </is>
      </c>
      <c r="E1441" s="6" t="n">
        <v>0.04</v>
      </c>
      <c r="F1441" s="7" t="n">
        <v>1200</v>
      </c>
    </row>
    <row r="1442">
      <c r="A1442" s="5" t="inlineStr">
        <is>
          <t>Apoyo democracia</t>
        </is>
      </c>
      <c r="B1442" s="5" t="inlineStr">
        <is>
          <t>Paraguay</t>
        </is>
      </c>
      <c r="C1442" s="5" t="n">
        <v>2005</v>
      </c>
      <c r="D1442" s="5" t="inlineStr">
        <is>
          <t>No contesta</t>
        </is>
      </c>
      <c r="E1442" s="6" t="n">
        <v>0.002</v>
      </c>
      <c r="F1442" s="7" t="n">
        <v>1200</v>
      </c>
    </row>
    <row r="1443">
      <c r="A1443" s="5" t="inlineStr">
        <is>
          <t>Apoyo democracia</t>
        </is>
      </c>
      <c r="B1443" s="5" t="inlineStr">
        <is>
          <t>Paraguay</t>
        </is>
      </c>
      <c r="C1443" s="5" t="n">
        <v>2006</v>
      </c>
      <c r="D1443" s="5" t="inlineStr">
        <is>
          <t>Democracia</t>
        </is>
      </c>
      <c r="E1443" s="6" t="n">
        <v>0.411</v>
      </c>
      <c r="F1443" s="7" t="n">
        <v>1200</v>
      </c>
    </row>
    <row r="1444">
      <c r="A1444" s="5" t="inlineStr">
        <is>
          <t>Apoyo democracia</t>
        </is>
      </c>
      <c r="B1444" s="5" t="inlineStr">
        <is>
          <t>Paraguay</t>
        </is>
      </c>
      <c r="C1444" s="5" t="n">
        <v>2006</v>
      </c>
      <c r="D1444" s="5" t="inlineStr">
        <is>
          <t>Gobierno Autoritario</t>
        </is>
      </c>
      <c r="E1444" s="6" t="n">
        <v>0.304</v>
      </c>
      <c r="F1444" s="7" t="n">
        <v>1200</v>
      </c>
    </row>
    <row r="1445">
      <c r="A1445" s="5" t="inlineStr">
        <is>
          <t>Apoyo democracia</t>
        </is>
      </c>
      <c r="B1445" s="5" t="inlineStr">
        <is>
          <t>Paraguay</t>
        </is>
      </c>
      <c r="C1445" s="5" t="n">
        <v>2006</v>
      </c>
      <c r="D1445" s="5" t="inlineStr">
        <is>
          <t>Da lo mismo</t>
        </is>
      </c>
      <c r="E1445" s="6" t="n">
        <v>0.241</v>
      </c>
      <c r="F1445" s="7" t="n">
        <v>1200</v>
      </c>
    </row>
    <row r="1446">
      <c r="A1446" s="5" t="inlineStr">
        <is>
          <t>Apoyo democracia</t>
        </is>
      </c>
      <c r="B1446" s="5" t="inlineStr">
        <is>
          <t>Paraguay</t>
        </is>
      </c>
      <c r="C1446" s="5" t="n">
        <v>2006</v>
      </c>
      <c r="D1446" s="5" t="inlineStr">
        <is>
          <t>No sabe</t>
        </is>
      </c>
      <c r="E1446" s="6" t="n">
        <v>0.039</v>
      </c>
      <c r="F1446" s="7" t="n">
        <v>1200</v>
      </c>
    </row>
    <row r="1447">
      <c r="A1447" s="5" t="inlineStr">
        <is>
          <t>Apoyo democracia</t>
        </is>
      </c>
      <c r="B1447" s="5" t="inlineStr">
        <is>
          <t>Paraguay</t>
        </is>
      </c>
      <c r="C1447" s="5" t="n">
        <v>2006</v>
      </c>
      <c r="D1447" s="5" t="inlineStr">
        <is>
          <t>No contesta</t>
        </is>
      </c>
      <c r="E1447" s="6" t="n">
        <v>0.005</v>
      </c>
      <c r="F1447" s="7" t="n">
        <v>1200</v>
      </c>
    </row>
    <row r="1448">
      <c r="A1448" s="5" t="inlineStr">
        <is>
          <t>Apoyo democracia</t>
        </is>
      </c>
      <c r="B1448" s="5" t="inlineStr">
        <is>
          <t>Paraguay</t>
        </is>
      </c>
      <c r="C1448" s="5" t="n">
        <v>2007</v>
      </c>
      <c r="D1448" s="5" t="inlineStr">
        <is>
          <t>Democracia</t>
        </is>
      </c>
      <c r="E1448" s="6" t="n">
        <v>0.329</v>
      </c>
      <c r="F1448" s="7" t="n">
        <v>1200</v>
      </c>
    </row>
    <row r="1449">
      <c r="A1449" s="5" t="inlineStr">
        <is>
          <t>Apoyo democracia</t>
        </is>
      </c>
      <c r="B1449" s="5" t="inlineStr">
        <is>
          <t>Paraguay</t>
        </is>
      </c>
      <c r="C1449" s="5" t="n">
        <v>2007</v>
      </c>
      <c r="D1449" s="5" t="inlineStr">
        <is>
          <t>Gobierno Autoritario</t>
        </is>
      </c>
      <c r="E1449" s="6" t="n">
        <v>0.359</v>
      </c>
      <c r="F1449" s="7" t="n">
        <v>1200</v>
      </c>
    </row>
    <row r="1450">
      <c r="A1450" s="5" t="inlineStr">
        <is>
          <t>Apoyo democracia</t>
        </is>
      </c>
      <c r="B1450" s="5" t="inlineStr">
        <is>
          <t>Paraguay</t>
        </is>
      </c>
      <c r="C1450" s="5" t="n">
        <v>2007</v>
      </c>
      <c r="D1450" s="5" t="inlineStr">
        <is>
          <t>Da lo mismo</t>
        </is>
      </c>
      <c r="E1450" s="6" t="n">
        <v>0.23</v>
      </c>
      <c r="F1450" s="7" t="n">
        <v>1200</v>
      </c>
    </row>
    <row r="1451">
      <c r="A1451" s="5" t="inlineStr">
        <is>
          <t>Apoyo democracia</t>
        </is>
      </c>
      <c r="B1451" s="5" t="inlineStr">
        <is>
          <t>Paraguay</t>
        </is>
      </c>
      <c r="C1451" s="5" t="n">
        <v>2007</v>
      </c>
      <c r="D1451" s="5" t="inlineStr">
        <is>
          <t>No sabe</t>
        </is>
      </c>
      <c r="E1451" s="6" t="n">
        <v>0.073</v>
      </c>
      <c r="F1451" s="7" t="n">
        <v>1200</v>
      </c>
    </row>
    <row r="1452">
      <c r="A1452" s="5" t="inlineStr">
        <is>
          <t>Apoyo democracia</t>
        </is>
      </c>
      <c r="B1452" s="5" t="inlineStr">
        <is>
          <t>Paraguay</t>
        </is>
      </c>
      <c r="C1452" s="5" t="n">
        <v>2007</v>
      </c>
      <c r="D1452" s="5" t="inlineStr">
        <is>
          <t>No contesta</t>
        </is>
      </c>
      <c r="E1452" s="6" t="n">
        <v>0.009000000000000001</v>
      </c>
      <c r="F1452" s="7" t="n">
        <v>1200</v>
      </c>
    </row>
    <row r="1453">
      <c r="A1453" s="5" t="inlineStr">
        <is>
          <t>Apoyo democracia</t>
        </is>
      </c>
      <c r="B1453" s="5" t="inlineStr">
        <is>
          <t>Paraguay</t>
        </is>
      </c>
      <c r="C1453" s="5" t="n">
        <v>2008</v>
      </c>
      <c r="D1453" s="5" t="inlineStr">
        <is>
          <t>Democracia</t>
        </is>
      </c>
      <c r="E1453" s="6" t="n">
        <v>0.531</v>
      </c>
      <c r="F1453" s="7" t="n">
        <v>1200</v>
      </c>
    </row>
    <row r="1454">
      <c r="A1454" s="5" t="inlineStr">
        <is>
          <t>Apoyo democracia</t>
        </is>
      </c>
      <c r="B1454" s="5" t="inlineStr">
        <is>
          <t>Paraguay</t>
        </is>
      </c>
      <c r="C1454" s="5" t="n">
        <v>2008</v>
      </c>
      <c r="D1454" s="5" t="inlineStr">
        <is>
          <t>Gobierno Autoritario</t>
        </is>
      </c>
      <c r="E1454" s="6" t="n">
        <v>0.29</v>
      </c>
      <c r="F1454" s="7" t="n">
        <v>1200</v>
      </c>
    </row>
    <row r="1455">
      <c r="A1455" s="5" t="inlineStr">
        <is>
          <t>Apoyo democracia</t>
        </is>
      </c>
      <c r="B1455" s="5" t="inlineStr">
        <is>
          <t>Paraguay</t>
        </is>
      </c>
      <c r="C1455" s="5" t="n">
        <v>2008</v>
      </c>
      <c r="D1455" s="5" t="inlineStr">
        <is>
          <t>Da lo mismo</t>
        </is>
      </c>
      <c r="E1455" s="6" t="n">
        <v>0.156</v>
      </c>
      <c r="F1455" s="7" t="n">
        <v>1200</v>
      </c>
    </row>
    <row r="1456">
      <c r="A1456" s="5" t="inlineStr">
        <is>
          <t>Apoyo democracia</t>
        </is>
      </c>
      <c r="B1456" s="5" t="inlineStr">
        <is>
          <t>Paraguay</t>
        </is>
      </c>
      <c r="C1456" s="5" t="n">
        <v>2008</v>
      </c>
      <c r="D1456" s="5" t="inlineStr">
        <is>
          <t>No sabe</t>
        </is>
      </c>
      <c r="E1456" s="6" t="n">
        <v>0.023</v>
      </c>
      <c r="F1456" s="7" t="n">
        <v>1200</v>
      </c>
    </row>
    <row r="1457">
      <c r="A1457" s="5" t="inlineStr">
        <is>
          <t>Apoyo democracia</t>
        </is>
      </c>
      <c r="B1457" s="5" t="inlineStr">
        <is>
          <t>Paraguay</t>
        </is>
      </c>
      <c r="C1457" s="5" t="n">
        <v>2009</v>
      </c>
      <c r="D1457" s="5" t="inlineStr">
        <is>
          <t>Democracia</t>
        </is>
      </c>
      <c r="E1457" s="6" t="n">
        <v>0.455</v>
      </c>
      <c r="F1457" s="7" t="n">
        <v>1200</v>
      </c>
    </row>
    <row r="1458">
      <c r="A1458" s="5" t="inlineStr">
        <is>
          <t>Apoyo democracia</t>
        </is>
      </c>
      <c r="B1458" s="5" t="inlineStr">
        <is>
          <t>Paraguay</t>
        </is>
      </c>
      <c r="C1458" s="5" t="n">
        <v>2009</v>
      </c>
      <c r="D1458" s="5" t="inlineStr">
        <is>
          <t>Gobierno Autoritario</t>
        </is>
      </c>
      <c r="E1458" s="6" t="n">
        <v>0.29</v>
      </c>
      <c r="F1458" s="7" t="n">
        <v>1200</v>
      </c>
    </row>
    <row r="1459">
      <c r="A1459" s="5" t="inlineStr">
        <is>
          <t>Apoyo democracia</t>
        </is>
      </c>
      <c r="B1459" s="5" t="inlineStr">
        <is>
          <t>Paraguay</t>
        </is>
      </c>
      <c r="C1459" s="5" t="n">
        <v>2009</v>
      </c>
      <c r="D1459" s="5" t="inlineStr">
        <is>
          <t>Da lo mismo</t>
        </is>
      </c>
      <c r="E1459" s="6" t="n">
        <v>0.24</v>
      </c>
      <c r="F1459" s="7" t="n">
        <v>1200</v>
      </c>
    </row>
    <row r="1460">
      <c r="A1460" s="5" t="inlineStr">
        <is>
          <t>Apoyo democracia</t>
        </is>
      </c>
      <c r="B1460" s="5" t="inlineStr">
        <is>
          <t>Paraguay</t>
        </is>
      </c>
      <c r="C1460" s="5" t="n">
        <v>2009</v>
      </c>
      <c r="D1460" s="5" t="inlineStr">
        <is>
          <t>No sabe</t>
        </is>
      </c>
      <c r="E1460" s="6" t="n">
        <v>0.014</v>
      </c>
      <c r="F1460" s="7" t="n">
        <v>1200</v>
      </c>
    </row>
    <row r="1461">
      <c r="A1461" s="5" t="inlineStr">
        <is>
          <t>Apoyo democracia</t>
        </is>
      </c>
      <c r="B1461" s="5" t="inlineStr">
        <is>
          <t>Paraguay</t>
        </is>
      </c>
      <c r="C1461" s="5" t="n">
        <v>2009</v>
      </c>
      <c r="D1461" s="5" t="inlineStr">
        <is>
          <t>No contesta</t>
        </is>
      </c>
      <c r="E1461" s="6" t="n">
        <v>0.001</v>
      </c>
      <c r="F1461" s="7" t="n">
        <v>1200</v>
      </c>
    </row>
    <row r="1462">
      <c r="A1462" s="5" t="inlineStr">
        <is>
          <t>Apoyo democracia</t>
        </is>
      </c>
      <c r="B1462" s="5" t="inlineStr">
        <is>
          <t>Paraguay</t>
        </is>
      </c>
      <c r="C1462" s="5" t="n">
        <v>2010</v>
      </c>
      <c r="D1462" s="5" t="inlineStr">
        <is>
          <t>Democracia</t>
        </is>
      </c>
      <c r="E1462" s="6" t="n">
        <v>0.486</v>
      </c>
      <c r="F1462" s="7" t="n">
        <v>1200</v>
      </c>
    </row>
    <row r="1463">
      <c r="A1463" s="5" t="inlineStr">
        <is>
          <t>Apoyo democracia</t>
        </is>
      </c>
      <c r="B1463" s="5" t="inlineStr">
        <is>
          <t>Paraguay</t>
        </is>
      </c>
      <c r="C1463" s="5" t="n">
        <v>2010</v>
      </c>
      <c r="D1463" s="5" t="inlineStr">
        <is>
          <t>Gobierno Autoritario</t>
        </is>
      </c>
      <c r="E1463" s="6" t="n">
        <v>0.325</v>
      </c>
      <c r="F1463" s="7" t="n">
        <v>1200</v>
      </c>
    </row>
    <row r="1464">
      <c r="A1464" s="5" t="inlineStr">
        <is>
          <t>Apoyo democracia</t>
        </is>
      </c>
      <c r="B1464" s="5" t="inlineStr">
        <is>
          <t>Paraguay</t>
        </is>
      </c>
      <c r="C1464" s="5" t="n">
        <v>2010</v>
      </c>
      <c r="D1464" s="5" t="inlineStr">
        <is>
          <t>Da lo mismo</t>
        </is>
      </c>
      <c r="E1464" s="6" t="n">
        <v>0.135</v>
      </c>
      <c r="F1464" s="7" t="n">
        <v>1200</v>
      </c>
    </row>
    <row r="1465">
      <c r="A1465" s="5" t="inlineStr">
        <is>
          <t>Apoyo democracia</t>
        </is>
      </c>
      <c r="B1465" s="5" t="inlineStr">
        <is>
          <t>Paraguay</t>
        </is>
      </c>
      <c r="C1465" s="5" t="n">
        <v>2010</v>
      </c>
      <c r="D1465" s="5" t="inlineStr">
        <is>
          <t>No sabe</t>
        </is>
      </c>
      <c r="E1465" s="6" t="n">
        <v>0.052</v>
      </c>
      <c r="F1465" s="7" t="n">
        <v>1200</v>
      </c>
    </row>
    <row r="1466">
      <c r="A1466" s="5" t="inlineStr">
        <is>
          <t>Apoyo democracia</t>
        </is>
      </c>
      <c r="B1466" s="5" t="inlineStr">
        <is>
          <t>Paraguay</t>
        </is>
      </c>
      <c r="C1466" s="5" t="n">
        <v>2010</v>
      </c>
      <c r="D1466" s="5" t="inlineStr">
        <is>
          <t>No contesta</t>
        </is>
      </c>
      <c r="E1466" s="6" t="n">
        <v>0.003</v>
      </c>
      <c r="F1466" s="7" t="n">
        <v>1200</v>
      </c>
    </row>
    <row r="1467">
      <c r="A1467" s="5" t="inlineStr">
        <is>
          <t>Apoyo democracia</t>
        </is>
      </c>
      <c r="B1467" s="5" t="inlineStr">
        <is>
          <t>Paraguay</t>
        </is>
      </c>
      <c r="C1467" s="5" t="n">
        <v>2011</v>
      </c>
      <c r="D1467" s="5" t="inlineStr">
        <is>
          <t>Democracia</t>
        </is>
      </c>
      <c r="E1467" s="6" t="n">
        <v>0.54</v>
      </c>
      <c r="F1467" s="7" t="n">
        <v>1200</v>
      </c>
    </row>
    <row r="1468">
      <c r="A1468" s="5" t="inlineStr">
        <is>
          <t>Apoyo democracia</t>
        </is>
      </c>
      <c r="B1468" s="5" t="inlineStr">
        <is>
          <t>Paraguay</t>
        </is>
      </c>
      <c r="C1468" s="5" t="n">
        <v>2011</v>
      </c>
      <c r="D1468" s="5" t="inlineStr">
        <is>
          <t>Gobierno Autoritario</t>
        </is>
      </c>
      <c r="E1468" s="6" t="n">
        <v>0.252</v>
      </c>
      <c r="F1468" s="7" t="n">
        <v>1200</v>
      </c>
    </row>
    <row r="1469">
      <c r="A1469" s="5" t="inlineStr">
        <is>
          <t>Apoyo democracia</t>
        </is>
      </c>
      <c r="B1469" s="5" t="inlineStr">
        <is>
          <t>Paraguay</t>
        </is>
      </c>
      <c r="C1469" s="5" t="n">
        <v>2011</v>
      </c>
      <c r="D1469" s="5" t="inlineStr">
        <is>
          <t>Da lo mismo</t>
        </is>
      </c>
      <c r="E1469" s="6" t="n">
        <v>0.168</v>
      </c>
      <c r="F1469" s="7" t="n">
        <v>1200</v>
      </c>
    </row>
    <row r="1470">
      <c r="A1470" s="5" t="inlineStr">
        <is>
          <t>Apoyo democracia</t>
        </is>
      </c>
      <c r="B1470" s="5" t="inlineStr">
        <is>
          <t>Paraguay</t>
        </is>
      </c>
      <c r="C1470" s="5" t="n">
        <v>2011</v>
      </c>
      <c r="D1470" s="5" t="inlineStr">
        <is>
          <t>No sabe</t>
        </is>
      </c>
      <c r="E1470" s="6" t="n">
        <v>0.03700000000000001</v>
      </c>
      <c r="F1470" s="7" t="n">
        <v>1200</v>
      </c>
    </row>
    <row r="1471">
      <c r="A1471" s="5" t="inlineStr">
        <is>
          <t>Apoyo democracia</t>
        </is>
      </c>
      <c r="B1471" s="5" t="inlineStr">
        <is>
          <t>Paraguay</t>
        </is>
      </c>
      <c r="C1471" s="5" t="n">
        <v>2011</v>
      </c>
      <c r="D1471" s="5" t="inlineStr">
        <is>
          <t>No contesta</t>
        </is>
      </c>
      <c r="E1471" s="6" t="n">
        <v>0.003</v>
      </c>
      <c r="F1471" s="7" t="n">
        <v>1200</v>
      </c>
    </row>
    <row r="1472">
      <c r="A1472" s="5" t="inlineStr">
        <is>
          <t>Apoyo democracia</t>
        </is>
      </c>
      <c r="B1472" s="5" t="inlineStr">
        <is>
          <t>Paraguay</t>
        </is>
      </c>
      <c r="C1472" s="5" t="n">
        <v>2016</v>
      </c>
      <c r="D1472" s="5" t="inlineStr">
        <is>
          <t>Democracia</t>
        </is>
      </c>
      <c r="E1472" s="6" t="n">
        <v>0.527</v>
      </c>
      <c r="F1472" s="7" t="n">
        <v>1200</v>
      </c>
    </row>
    <row r="1473">
      <c r="A1473" s="5" t="inlineStr">
        <is>
          <t>Apoyo democracia</t>
        </is>
      </c>
      <c r="B1473" s="5" t="inlineStr">
        <is>
          <t>Paraguay</t>
        </is>
      </c>
      <c r="C1473" s="5" t="n">
        <v>2016</v>
      </c>
      <c r="D1473" s="5" t="inlineStr">
        <is>
          <t>Gobierno Autoritario</t>
        </is>
      </c>
      <c r="E1473" s="6" t="n">
        <v>0.247</v>
      </c>
      <c r="F1473" s="7" t="n">
        <v>1200</v>
      </c>
    </row>
    <row r="1474">
      <c r="A1474" s="5" t="inlineStr">
        <is>
          <t>Apoyo democracia</t>
        </is>
      </c>
      <c r="B1474" s="5" t="inlineStr">
        <is>
          <t>Paraguay</t>
        </is>
      </c>
      <c r="C1474" s="5" t="n">
        <v>2016</v>
      </c>
      <c r="D1474" s="5" t="inlineStr">
        <is>
          <t>Da lo mismo</t>
        </is>
      </c>
      <c r="E1474" s="6" t="n">
        <v>0.209</v>
      </c>
      <c r="F1474" s="7" t="n">
        <v>1200</v>
      </c>
    </row>
    <row r="1475">
      <c r="A1475" s="5" t="inlineStr">
        <is>
          <t>Apoyo democracia</t>
        </is>
      </c>
      <c r="B1475" s="5" t="inlineStr">
        <is>
          <t>Paraguay</t>
        </is>
      </c>
      <c r="C1475" s="5" t="n">
        <v>2016</v>
      </c>
      <c r="D1475" s="5" t="inlineStr">
        <is>
          <t>No sabe</t>
        </is>
      </c>
      <c r="E1475" s="6" t="n">
        <v>0.011</v>
      </c>
      <c r="F1475" s="7" t="n">
        <v>1200</v>
      </c>
    </row>
    <row r="1476">
      <c r="A1476" s="5" t="inlineStr">
        <is>
          <t>Apoyo democracia</t>
        </is>
      </c>
      <c r="B1476" s="5" t="inlineStr">
        <is>
          <t>Paraguay</t>
        </is>
      </c>
      <c r="C1476" s="5" t="n">
        <v>2016</v>
      </c>
      <c r="D1476" s="5" t="inlineStr">
        <is>
          <t>No contesta</t>
        </is>
      </c>
      <c r="E1476" s="6" t="n">
        <v>0.006</v>
      </c>
      <c r="F1476" s="7" t="n">
        <v>1200</v>
      </c>
    </row>
    <row r="1477">
      <c r="A1477" s="5" t="inlineStr">
        <is>
          <t>Apoyo democracia</t>
        </is>
      </c>
      <c r="B1477" s="5" t="inlineStr">
        <is>
          <t>Paraguay</t>
        </is>
      </c>
      <c r="C1477" s="5" t="n">
        <v>2017</v>
      </c>
      <c r="D1477" s="5" t="inlineStr">
        <is>
          <t>Democracia</t>
        </is>
      </c>
      <c r="E1477" s="6" t="n">
        <v>0.5489999999999999</v>
      </c>
      <c r="F1477" s="7" t="n">
        <v>1200</v>
      </c>
    </row>
    <row r="1478">
      <c r="A1478" s="5" t="inlineStr">
        <is>
          <t>Apoyo democracia</t>
        </is>
      </c>
      <c r="B1478" s="5" t="inlineStr">
        <is>
          <t>Paraguay</t>
        </is>
      </c>
      <c r="C1478" s="5" t="n">
        <v>2017</v>
      </c>
      <c r="D1478" s="5" t="inlineStr">
        <is>
          <t>Gobierno Autoritario</t>
        </is>
      </c>
      <c r="E1478" s="6" t="n">
        <v>0.182</v>
      </c>
      <c r="F1478" s="7" t="n">
        <v>1200</v>
      </c>
    </row>
    <row r="1479">
      <c r="A1479" s="5" t="inlineStr">
        <is>
          <t>Apoyo democracia</t>
        </is>
      </c>
      <c r="B1479" s="5" t="inlineStr">
        <is>
          <t>Paraguay</t>
        </is>
      </c>
      <c r="C1479" s="5" t="n">
        <v>2017</v>
      </c>
      <c r="D1479" s="5" t="inlineStr">
        <is>
          <t>Da lo mismo</t>
        </is>
      </c>
      <c r="E1479" s="6" t="n">
        <v>0.22</v>
      </c>
      <c r="F1479" s="7" t="n">
        <v>1200</v>
      </c>
    </row>
    <row r="1480">
      <c r="A1480" s="5" t="inlineStr">
        <is>
          <t>Apoyo democracia</t>
        </is>
      </c>
      <c r="B1480" s="5" t="inlineStr">
        <is>
          <t>Paraguay</t>
        </is>
      </c>
      <c r="C1480" s="5" t="n">
        <v>2017</v>
      </c>
      <c r="D1480" s="5" t="inlineStr">
        <is>
          <t>No sabe</t>
        </is>
      </c>
      <c r="E1480" s="6" t="n">
        <v>0.036</v>
      </c>
      <c r="F1480" s="7" t="n">
        <v>1200</v>
      </c>
    </row>
    <row r="1481">
      <c r="A1481" s="5" t="inlineStr">
        <is>
          <t>Apoyo democracia</t>
        </is>
      </c>
      <c r="B1481" s="5" t="inlineStr">
        <is>
          <t>Paraguay</t>
        </is>
      </c>
      <c r="C1481" s="5" t="n">
        <v>2017</v>
      </c>
      <c r="D1481" s="5" t="inlineStr">
        <is>
          <t>No contesta</t>
        </is>
      </c>
      <c r="E1481" s="6" t="n">
        <v>0.013</v>
      </c>
      <c r="F1481" s="7" t="n">
        <v>1200</v>
      </c>
    </row>
    <row r="1482">
      <c r="A1482" s="5" t="inlineStr">
        <is>
          <t>Apoyo democracia</t>
        </is>
      </c>
      <c r="B1482" s="5" t="inlineStr">
        <is>
          <t>Paraguay</t>
        </is>
      </c>
      <c r="C1482" s="5" t="n">
        <v>2018</v>
      </c>
      <c r="D1482" s="5" t="inlineStr">
        <is>
          <t>Democracia</t>
        </is>
      </c>
      <c r="E1482" s="6" t="n">
        <v>0.402</v>
      </c>
      <c r="F1482" s="7" t="n">
        <v>1200</v>
      </c>
    </row>
    <row r="1483">
      <c r="A1483" s="5" t="inlineStr">
        <is>
          <t>Apoyo democracia</t>
        </is>
      </c>
      <c r="B1483" s="5" t="inlineStr">
        <is>
          <t>Paraguay</t>
        </is>
      </c>
      <c r="C1483" s="5" t="n">
        <v>2018</v>
      </c>
      <c r="D1483" s="5" t="inlineStr">
        <is>
          <t>Gobierno Autoritario</t>
        </is>
      </c>
      <c r="E1483" s="6" t="n">
        <v>0.27</v>
      </c>
      <c r="F1483" s="7" t="n">
        <v>1200</v>
      </c>
    </row>
    <row r="1484">
      <c r="A1484" s="5" t="inlineStr">
        <is>
          <t>Apoyo democracia</t>
        </is>
      </c>
      <c r="B1484" s="5" t="inlineStr">
        <is>
          <t>Paraguay</t>
        </is>
      </c>
      <c r="C1484" s="5" t="n">
        <v>2018</v>
      </c>
      <c r="D1484" s="5" t="inlineStr">
        <is>
          <t>Da lo mismo</t>
        </is>
      </c>
      <c r="E1484" s="6" t="n">
        <v>0.229</v>
      </c>
      <c r="F1484" s="7" t="n">
        <v>1200</v>
      </c>
    </row>
    <row r="1485">
      <c r="A1485" s="5" t="inlineStr">
        <is>
          <t>Apoyo democracia</t>
        </is>
      </c>
      <c r="B1485" s="5" t="inlineStr">
        <is>
          <t>Paraguay</t>
        </is>
      </c>
      <c r="C1485" s="5" t="n">
        <v>2018</v>
      </c>
      <c r="D1485" s="5" t="inlineStr">
        <is>
          <t>No sabe</t>
        </is>
      </c>
      <c r="E1485" s="6" t="n">
        <v>0.08599999999999999</v>
      </c>
      <c r="F1485" s="7" t="n">
        <v>1200</v>
      </c>
    </row>
    <row r="1486">
      <c r="A1486" s="5" t="inlineStr">
        <is>
          <t>Apoyo democracia</t>
        </is>
      </c>
      <c r="B1486" s="5" t="inlineStr">
        <is>
          <t>Paraguay</t>
        </is>
      </c>
      <c r="C1486" s="5" t="n">
        <v>2018</v>
      </c>
      <c r="D1486" s="5" t="inlineStr">
        <is>
          <t>No contesta</t>
        </is>
      </c>
      <c r="E1486" s="6" t="n">
        <v>0.014</v>
      </c>
      <c r="F1486" s="7" t="n">
        <v>1200</v>
      </c>
    </row>
    <row r="1487">
      <c r="A1487" s="5" t="inlineStr">
        <is>
          <t>Apoyo democracia</t>
        </is>
      </c>
      <c r="B1487" s="5" t="inlineStr">
        <is>
          <t>Paraguay</t>
        </is>
      </c>
      <c r="C1487" s="5" t="n">
        <v>2020</v>
      </c>
      <c r="D1487" s="5" t="inlineStr">
        <is>
          <t>Democracia</t>
        </is>
      </c>
      <c r="E1487" s="6" t="n">
        <v>0.44</v>
      </c>
      <c r="F1487" s="7" t="n">
        <v>1200</v>
      </c>
    </row>
    <row r="1488">
      <c r="A1488" s="5" t="inlineStr">
        <is>
          <t>Apoyo democracia</t>
        </is>
      </c>
      <c r="B1488" s="5" t="inlineStr">
        <is>
          <t>Paraguay</t>
        </is>
      </c>
      <c r="C1488" s="5" t="n">
        <v>2020</v>
      </c>
      <c r="D1488" s="5" t="inlineStr">
        <is>
          <t>Gobierno Autoritario</t>
        </is>
      </c>
      <c r="E1488" s="6" t="n">
        <v>0.239</v>
      </c>
      <c r="F1488" s="7" t="n">
        <v>1200</v>
      </c>
    </row>
    <row r="1489">
      <c r="A1489" s="5" t="inlineStr">
        <is>
          <t>Apoyo democracia</t>
        </is>
      </c>
      <c r="B1489" s="5" t="inlineStr">
        <is>
          <t>Paraguay</t>
        </is>
      </c>
      <c r="C1489" s="5" t="n">
        <v>2020</v>
      </c>
      <c r="D1489" s="5" t="inlineStr">
        <is>
          <t>Da lo mismo</t>
        </is>
      </c>
      <c r="E1489" s="6" t="n">
        <v>0.248</v>
      </c>
      <c r="F1489" s="7" t="n">
        <v>1200</v>
      </c>
    </row>
    <row r="1490">
      <c r="A1490" s="5" t="inlineStr">
        <is>
          <t>Apoyo democracia</t>
        </is>
      </c>
      <c r="B1490" s="5" t="inlineStr">
        <is>
          <t>Paraguay</t>
        </is>
      </c>
      <c r="C1490" s="5" t="n">
        <v>2020</v>
      </c>
      <c r="D1490" s="5" t="inlineStr">
        <is>
          <t>No sabe</t>
        </is>
      </c>
      <c r="E1490" s="6" t="n">
        <v>0.066</v>
      </c>
      <c r="F1490" s="7" t="n">
        <v>1200</v>
      </c>
    </row>
    <row r="1491">
      <c r="A1491" s="5" t="inlineStr">
        <is>
          <t>Apoyo democracia</t>
        </is>
      </c>
      <c r="B1491" s="5" t="inlineStr">
        <is>
          <t>Paraguay</t>
        </is>
      </c>
      <c r="C1491" s="5" t="n">
        <v>2020</v>
      </c>
      <c r="D1491" s="5" t="inlineStr">
        <is>
          <t>No contesta</t>
        </is>
      </c>
      <c r="E1491" s="6" t="n">
        <v>0.006999999999999999</v>
      </c>
      <c r="F1491" s="7" t="n">
        <v>1200</v>
      </c>
    </row>
    <row r="1492">
      <c r="A1492" s="5" t="inlineStr">
        <is>
          <t>Apoyo democracia</t>
        </is>
      </c>
      <c r="B1492" s="5" t="inlineStr">
        <is>
          <t>Paraguay</t>
        </is>
      </c>
      <c r="C1492" s="5" t="n">
        <v>2024</v>
      </c>
      <c r="D1492" s="5" t="inlineStr">
        <is>
          <t>Democracia</t>
        </is>
      </c>
      <c r="E1492" s="6" t="n">
        <v>0.428</v>
      </c>
      <c r="F1492" s="7" t="n">
        <v>1200</v>
      </c>
    </row>
    <row r="1493">
      <c r="A1493" s="5" t="inlineStr">
        <is>
          <t>Apoyo democracia</t>
        </is>
      </c>
      <c r="B1493" s="5" t="inlineStr">
        <is>
          <t>Paraguay</t>
        </is>
      </c>
      <c r="C1493" s="5" t="n">
        <v>2024</v>
      </c>
      <c r="D1493" s="5" t="inlineStr">
        <is>
          <t>Gobierno Autoritario</t>
        </is>
      </c>
      <c r="E1493" s="6" t="n">
        <v>0.256</v>
      </c>
      <c r="F1493" s="7" t="n">
        <v>1200</v>
      </c>
    </row>
    <row r="1494">
      <c r="A1494" s="5" t="inlineStr">
        <is>
          <t>Apoyo democracia</t>
        </is>
      </c>
      <c r="B1494" s="5" t="inlineStr">
        <is>
          <t>Paraguay</t>
        </is>
      </c>
      <c r="C1494" s="5" t="n">
        <v>2024</v>
      </c>
      <c r="D1494" s="5" t="inlineStr">
        <is>
          <t>Da lo mismo</t>
        </is>
      </c>
      <c r="E1494" s="6" t="n">
        <v>0.262</v>
      </c>
      <c r="F1494" s="7" t="n">
        <v>1200</v>
      </c>
    </row>
    <row r="1495">
      <c r="A1495" s="5" t="inlineStr">
        <is>
          <t>Apoyo democracia</t>
        </is>
      </c>
      <c r="B1495" s="5" t="inlineStr">
        <is>
          <t>Paraguay</t>
        </is>
      </c>
      <c r="C1495" s="5" t="n">
        <v>2024</v>
      </c>
      <c r="D1495" s="5" t="inlineStr">
        <is>
          <t>No sabe</t>
        </is>
      </c>
      <c r="E1495" s="6" t="n">
        <v>0.048</v>
      </c>
      <c r="F1495" s="7" t="n">
        <v>1200</v>
      </c>
    </row>
    <row r="1496">
      <c r="A1496" s="5" t="inlineStr">
        <is>
          <t>Apoyo democracia</t>
        </is>
      </c>
      <c r="B1496" s="5" t="inlineStr">
        <is>
          <t>Paraguay</t>
        </is>
      </c>
      <c r="C1496" s="5" t="n">
        <v>2024</v>
      </c>
      <c r="D1496" s="5" t="inlineStr">
        <is>
          <t>No contesta</t>
        </is>
      </c>
      <c r="E1496" s="6" t="n">
        <v>0.006999999999999999</v>
      </c>
      <c r="F1496" s="7" t="n">
        <v>1200</v>
      </c>
    </row>
    <row r="1497">
      <c r="A1497" s="5" t="inlineStr">
        <is>
          <t>Apoyo democracia</t>
        </is>
      </c>
      <c r="B1497" s="5" t="inlineStr">
        <is>
          <t>Perú</t>
        </is>
      </c>
      <c r="C1497" s="5" t="n">
        <v>1995</v>
      </c>
      <c r="D1497" s="5" t="inlineStr">
        <is>
          <t>Democracia</t>
        </is>
      </c>
      <c r="E1497" s="6" t="n">
        <v>0.524</v>
      </c>
      <c r="F1497" s="7" t="n">
        <v>1226</v>
      </c>
    </row>
    <row r="1498">
      <c r="A1498" s="5" t="inlineStr">
        <is>
          <t>Apoyo democracia</t>
        </is>
      </c>
      <c r="B1498" s="5" t="inlineStr">
        <is>
          <t>Perú</t>
        </is>
      </c>
      <c r="C1498" s="5" t="n">
        <v>1995</v>
      </c>
      <c r="D1498" s="5" t="inlineStr">
        <is>
          <t>Gobierno Autoritario</t>
        </is>
      </c>
      <c r="E1498" s="6" t="n">
        <v>0.229</v>
      </c>
      <c r="F1498" s="7" t="n">
        <v>1226</v>
      </c>
    </row>
    <row r="1499">
      <c r="A1499" s="5" t="inlineStr">
        <is>
          <t>Apoyo democracia</t>
        </is>
      </c>
      <c r="B1499" s="5" t="inlineStr">
        <is>
          <t>Perú</t>
        </is>
      </c>
      <c r="C1499" s="5" t="n">
        <v>1995</v>
      </c>
      <c r="D1499" s="5" t="inlineStr">
        <is>
          <t>Da lo mismo</t>
        </is>
      </c>
      <c r="E1499" s="6" t="n">
        <v>0.143</v>
      </c>
      <c r="F1499" s="7" t="n">
        <v>1226</v>
      </c>
    </row>
    <row r="1500">
      <c r="A1500" s="5" t="inlineStr">
        <is>
          <t>Apoyo democracia</t>
        </is>
      </c>
      <c r="B1500" s="5" t="inlineStr">
        <is>
          <t>Perú</t>
        </is>
      </c>
      <c r="C1500" s="5" t="n">
        <v>1995</v>
      </c>
      <c r="D1500" s="5" t="inlineStr">
        <is>
          <t>No sabe</t>
        </is>
      </c>
      <c r="E1500" s="6" t="n">
        <v>0.083</v>
      </c>
      <c r="F1500" s="7" t="n">
        <v>1226</v>
      </c>
    </row>
    <row r="1501">
      <c r="A1501" s="5" t="inlineStr">
        <is>
          <t>Apoyo democracia</t>
        </is>
      </c>
      <c r="B1501" s="5" t="inlineStr">
        <is>
          <t>Perú</t>
        </is>
      </c>
      <c r="C1501" s="5" t="n">
        <v>1995</v>
      </c>
      <c r="D1501" s="5" t="inlineStr">
        <is>
          <t>No contesta</t>
        </is>
      </c>
      <c r="E1501" s="6" t="n">
        <v>0.021</v>
      </c>
      <c r="F1501" s="7" t="n">
        <v>1226</v>
      </c>
    </row>
    <row r="1502">
      <c r="A1502" s="5" t="inlineStr">
        <is>
          <t>Apoyo democracia</t>
        </is>
      </c>
      <c r="B1502" s="5" t="inlineStr">
        <is>
          <t>Perú</t>
        </is>
      </c>
      <c r="C1502" s="5" t="n">
        <v>1996</v>
      </c>
      <c r="D1502" s="5" t="inlineStr">
        <is>
          <t>Democracia</t>
        </is>
      </c>
      <c r="E1502" s="6" t="n">
        <v>0.627</v>
      </c>
      <c r="F1502" s="7" t="n">
        <v>1200</v>
      </c>
    </row>
    <row r="1503">
      <c r="A1503" s="5" t="inlineStr">
        <is>
          <t>Apoyo democracia</t>
        </is>
      </c>
      <c r="B1503" s="5" t="inlineStr">
        <is>
          <t>Perú</t>
        </is>
      </c>
      <c r="C1503" s="5" t="n">
        <v>1996</v>
      </c>
      <c r="D1503" s="5" t="inlineStr">
        <is>
          <t>Gobierno Autoritario</t>
        </is>
      </c>
      <c r="E1503" s="6" t="n">
        <v>0.131</v>
      </c>
      <c r="F1503" s="7" t="n">
        <v>1200</v>
      </c>
    </row>
    <row r="1504">
      <c r="A1504" s="5" t="inlineStr">
        <is>
          <t>Apoyo democracia</t>
        </is>
      </c>
      <c r="B1504" s="5" t="inlineStr">
        <is>
          <t>Perú</t>
        </is>
      </c>
      <c r="C1504" s="5" t="n">
        <v>1996</v>
      </c>
      <c r="D1504" s="5" t="inlineStr">
        <is>
          <t>Da lo mismo</t>
        </is>
      </c>
      <c r="E1504" s="6" t="n">
        <v>0.143</v>
      </c>
      <c r="F1504" s="7" t="n">
        <v>1200</v>
      </c>
    </row>
    <row r="1505">
      <c r="A1505" s="5" t="inlineStr">
        <is>
          <t>Apoyo democracia</t>
        </is>
      </c>
      <c r="B1505" s="5" t="inlineStr">
        <is>
          <t>Perú</t>
        </is>
      </c>
      <c r="C1505" s="5" t="n">
        <v>1996</v>
      </c>
      <c r="D1505" s="5" t="inlineStr">
        <is>
          <t>No sabe</t>
        </is>
      </c>
      <c r="E1505" s="6" t="n">
        <v>0.08400000000000001</v>
      </c>
      <c r="F1505" s="7" t="n">
        <v>1200</v>
      </c>
    </row>
    <row r="1506">
      <c r="A1506" s="5" t="inlineStr">
        <is>
          <t>Apoyo democracia</t>
        </is>
      </c>
      <c r="B1506" s="5" t="inlineStr">
        <is>
          <t>Perú</t>
        </is>
      </c>
      <c r="C1506" s="5" t="n">
        <v>1996</v>
      </c>
      <c r="D1506" s="5" t="inlineStr">
        <is>
          <t>No contesta</t>
        </is>
      </c>
      <c r="E1506" s="6" t="n">
        <v>0.016</v>
      </c>
      <c r="F1506" s="7" t="n">
        <v>1200</v>
      </c>
    </row>
    <row r="1507">
      <c r="A1507" s="5" t="inlineStr">
        <is>
          <t>Apoyo democracia</t>
        </is>
      </c>
      <c r="B1507" s="5" t="inlineStr">
        <is>
          <t>Perú</t>
        </is>
      </c>
      <c r="C1507" s="5" t="n">
        <v>1997</v>
      </c>
      <c r="D1507" s="5" t="inlineStr">
        <is>
          <t>Democracia</t>
        </is>
      </c>
      <c r="E1507" s="6" t="n">
        <v>0.599</v>
      </c>
      <c r="F1507" s="7" t="n">
        <v>1054</v>
      </c>
    </row>
    <row r="1508">
      <c r="A1508" s="5" t="inlineStr">
        <is>
          <t>Apoyo democracia</t>
        </is>
      </c>
      <c r="B1508" s="5" t="inlineStr">
        <is>
          <t>Perú</t>
        </is>
      </c>
      <c r="C1508" s="5" t="n">
        <v>1997</v>
      </c>
      <c r="D1508" s="5" t="inlineStr">
        <is>
          <t>Gobierno Autoritario</t>
        </is>
      </c>
      <c r="E1508" s="6" t="n">
        <v>0.163</v>
      </c>
      <c r="F1508" s="7" t="n">
        <v>1054</v>
      </c>
    </row>
    <row r="1509">
      <c r="A1509" s="5" t="inlineStr">
        <is>
          <t>Apoyo democracia</t>
        </is>
      </c>
      <c r="B1509" s="5" t="inlineStr">
        <is>
          <t>Perú</t>
        </is>
      </c>
      <c r="C1509" s="5" t="n">
        <v>1997</v>
      </c>
      <c r="D1509" s="5" t="inlineStr">
        <is>
          <t>Da lo mismo</t>
        </is>
      </c>
      <c r="E1509" s="6" t="n">
        <v>0.129</v>
      </c>
      <c r="F1509" s="7" t="n">
        <v>1054</v>
      </c>
    </row>
    <row r="1510">
      <c r="A1510" s="5" t="inlineStr">
        <is>
          <t>Apoyo democracia</t>
        </is>
      </c>
      <c r="B1510" s="5" t="inlineStr">
        <is>
          <t>Perú</t>
        </is>
      </c>
      <c r="C1510" s="5" t="n">
        <v>1997</v>
      </c>
      <c r="D1510" s="5" t="inlineStr">
        <is>
          <t>No sabe</t>
        </is>
      </c>
      <c r="E1510" s="6" t="n">
        <v>0.078</v>
      </c>
      <c r="F1510" s="7" t="n">
        <v>1054</v>
      </c>
    </row>
    <row r="1511">
      <c r="A1511" s="5" t="inlineStr">
        <is>
          <t>Apoyo democracia</t>
        </is>
      </c>
      <c r="B1511" s="5" t="inlineStr">
        <is>
          <t>Perú</t>
        </is>
      </c>
      <c r="C1511" s="5" t="n">
        <v>1997</v>
      </c>
      <c r="D1511" s="5" t="inlineStr">
        <is>
          <t>No contesta</t>
        </is>
      </c>
      <c r="E1511" s="6" t="n">
        <v>0.031</v>
      </c>
      <c r="F1511" s="7" t="n">
        <v>1054</v>
      </c>
    </row>
    <row r="1512">
      <c r="A1512" s="5" t="inlineStr">
        <is>
          <t>Apoyo democracia</t>
        </is>
      </c>
      <c r="B1512" s="5" t="inlineStr">
        <is>
          <t>Perú</t>
        </is>
      </c>
      <c r="C1512" s="5" t="n">
        <v>1998</v>
      </c>
      <c r="D1512" s="5" t="inlineStr">
        <is>
          <t>Democracia</t>
        </is>
      </c>
      <c r="E1512" s="6" t="n">
        <v>0.629</v>
      </c>
      <c r="F1512" s="7" t="n">
        <v>1045</v>
      </c>
    </row>
    <row r="1513">
      <c r="A1513" s="5" t="inlineStr">
        <is>
          <t>Apoyo democracia</t>
        </is>
      </c>
      <c r="B1513" s="5" t="inlineStr">
        <is>
          <t>Perú</t>
        </is>
      </c>
      <c r="C1513" s="5" t="n">
        <v>1998</v>
      </c>
      <c r="D1513" s="5" t="inlineStr">
        <is>
          <t>Gobierno Autoritario</t>
        </is>
      </c>
      <c r="E1513" s="6" t="n">
        <v>0.12</v>
      </c>
      <c r="F1513" s="7" t="n">
        <v>1045</v>
      </c>
    </row>
    <row r="1514">
      <c r="A1514" s="5" t="inlineStr">
        <is>
          <t>Apoyo democracia</t>
        </is>
      </c>
      <c r="B1514" s="5" t="inlineStr">
        <is>
          <t>Perú</t>
        </is>
      </c>
      <c r="C1514" s="5" t="n">
        <v>1998</v>
      </c>
      <c r="D1514" s="5" t="inlineStr">
        <is>
          <t>Da lo mismo</t>
        </is>
      </c>
      <c r="E1514" s="6" t="n">
        <v>0.174</v>
      </c>
      <c r="F1514" s="7" t="n">
        <v>1045</v>
      </c>
    </row>
    <row r="1515">
      <c r="A1515" s="5" t="inlineStr">
        <is>
          <t>Apoyo democracia</t>
        </is>
      </c>
      <c r="B1515" s="5" t="inlineStr">
        <is>
          <t>Perú</t>
        </is>
      </c>
      <c r="C1515" s="5" t="n">
        <v>1998</v>
      </c>
      <c r="D1515" s="5" t="inlineStr">
        <is>
          <t>No sabe</t>
        </is>
      </c>
      <c r="E1515" s="6" t="n">
        <v>0.048</v>
      </c>
      <c r="F1515" s="7" t="n">
        <v>1045</v>
      </c>
    </row>
    <row r="1516">
      <c r="A1516" s="5" t="inlineStr">
        <is>
          <t>Apoyo democracia</t>
        </is>
      </c>
      <c r="B1516" s="5" t="inlineStr">
        <is>
          <t>Perú</t>
        </is>
      </c>
      <c r="C1516" s="5" t="n">
        <v>1998</v>
      </c>
      <c r="D1516" s="5" t="inlineStr">
        <is>
          <t>No contesta</t>
        </is>
      </c>
      <c r="E1516" s="6" t="n">
        <v>0.03</v>
      </c>
      <c r="F1516" s="7" t="n">
        <v>1045</v>
      </c>
    </row>
    <row r="1517">
      <c r="A1517" s="5" t="inlineStr">
        <is>
          <t>Apoyo democracia</t>
        </is>
      </c>
      <c r="B1517" s="5" t="inlineStr">
        <is>
          <t>Perú</t>
        </is>
      </c>
      <c r="C1517" s="5" t="n">
        <v>2000</v>
      </c>
      <c r="D1517" s="5" t="inlineStr">
        <is>
          <t>Democracia</t>
        </is>
      </c>
      <c r="E1517" s="6" t="n">
        <v>0.6409999999999999</v>
      </c>
      <c r="F1517" s="7" t="n">
        <v>1046</v>
      </c>
    </row>
    <row r="1518">
      <c r="A1518" s="5" t="inlineStr">
        <is>
          <t>Apoyo democracia</t>
        </is>
      </c>
      <c r="B1518" s="5" t="inlineStr">
        <is>
          <t>Perú</t>
        </is>
      </c>
      <c r="C1518" s="5" t="n">
        <v>2000</v>
      </c>
      <c r="D1518" s="5" t="inlineStr">
        <is>
          <t>Gobierno Autoritario</t>
        </is>
      </c>
      <c r="E1518" s="6" t="n">
        <v>0.131</v>
      </c>
      <c r="F1518" s="7" t="n">
        <v>1046</v>
      </c>
    </row>
    <row r="1519">
      <c r="A1519" s="5" t="inlineStr">
        <is>
          <t>Apoyo democracia</t>
        </is>
      </c>
      <c r="B1519" s="5" t="inlineStr">
        <is>
          <t>Perú</t>
        </is>
      </c>
      <c r="C1519" s="5" t="n">
        <v>2000</v>
      </c>
      <c r="D1519" s="5" t="inlineStr">
        <is>
          <t>Da lo mismo</t>
        </is>
      </c>
      <c r="E1519" s="6" t="n">
        <v>0.126</v>
      </c>
      <c r="F1519" s="7" t="n">
        <v>1046</v>
      </c>
    </row>
    <row r="1520">
      <c r="A1520" s="5" t="inlineStr">
        <is>
          <t>Apoyo democracia</t>
        </is>
      </c>
      <c r="B1520" s="5" t="inlineStr">
        <is>
          <t>Perú</t>
        </is>
      </c>
      <c r="C1520" s="5" t="n">
        <v>2000</v>
      </c>
      <c r="D1520" s="5" t="inlineStr">
        <is>
          <t>No sabe</t>
        </is>
      </c>
      <c r="E1520" s="6" t="n">
        <v>0.08199999999999999</v>
      </c>
      <c r="F1520" s="7" t="n">
        <v>1046</v>
      </c>
    </row>
    <row r="1521">
      <c r="A1521" s="5" t="inlineStr">
        <is>
          <t>Apoyo democracia</t>
        </is>
      </c>
      <c r="B1521" s="5" t="inlineStr">
        <is>
          <t>Perú</t>
        </is>
      </c>
      <c r="C1521" s="5" t="n">
        <v>2000</v>
      </c>
      <c r="D1521" s="5" t="inlineStr">
        <is>
          <t>No contesta</t>
        </is>
      </c>
      <c r="E1521" s="6" t="n">
        <v>0.02</v>
      </c>
      <c r="F1521" s="7" t="n">
        <v>1046</v>
      </c>
    </row>
    <row r="1522">
      <c r="A1522" s="5" t="inlineStr">
        <is>
          <t>Apoyo democracia</t>
        </is>
      </c>
      <c r="B1522" s="5" t="inlineStr">
        <is>
          <t>Perú</t>
        </is>
      </c>
      <c r="C1522" s="5" t="n">
        <v>2001</v>
      </c>
      <c r="D1522" s="5" t="inlineStr">
        <is>
          <t>Democracia</t>
        </is>
      </c>
      <c r="E1522" s="6" t="n">
        <v>0.621</v>
      </c>
      <c r="F1522" s="7" t="n">
        <v>1023</v>
      </c>
    </row>
    <row r="1523">
      <c r="A1523" s="5" t="inlineStr">
        <is>
          <t>Apoyo democracia</t>
        </is>
      </c>
      <c r="B1523" s="5" t="inlineStr">
        <is>
          <t>Perú</t>
        </is>
      </c>
      <c r="C1523" s="5" t="n">
        <v>2001</v>
      </c>
      <c r="D1523" s="5" t="inlineStr">
        <is>
          <t>Gobierno Autoritario</t>
        </is>
      </c>
      <c r="E1523" s="6" t="n">
        <v>0.116</v>
      </c>
      <c r="F1523" s="7" t="n">
        <v>1023</v>
      </c>
    </row>
    <row r="1524">
      <c r="A1524" s="5" t="inlineStr">
        <is>
          <t>Apoyo democracia</t>
        </is>
      </c>
      <c r="B1524" s="5" t="inlineStr">
        <is>
          <t>Perú</t>
        </is>
      </c>
      <c r="C1524" s="5" t="n">
        <v>2001</v>
      </c>
      <c r="D1524" s="5" t="inlineStr">
        <is>
          <t>Da lo mismo</t>
        </is>
      </c>
      <c r="E1524" s="6" t="n">
        <v>0.132</v>
      </c>
      <c r="F1524" s="7" t="n">
        <v>1023</v>
      </c>
    </row>
    <row r="1525">
      <c r="A1525" s="5" t="inlineStr">
        <is>
          <t>Apoyo democracia</t>
        </is>
      </c>
      <c r="B1525" s="5" t="inlineStr">
        <is>
          <t>Perú</t>
        </is>
      </c>
      <c r="C1525" s="5" t="n">
        <v>2001</v>
      </c>
      <c r="D1525" s="5" t="inlineStr">
        <is>
          <t>No sabe</t>
        </is>
      </c>
      <c r="E1525" s="6" t="n">
        <v>0.09699999999999999</v>
      </c>
      <c r="F1525" s="7" t="n">
        <v>1023</v>
      </c>
    </row>
    <row r="1526">
      <c r="A1526" s="5" t="inlineStr">
        <is>
          <t>Apoyo democracia</t>
        </is>
      </c>
      <c r="B1526" s="5" t="inlineStr">
        <is>
          <t>Perú</t>
        </is>
      </c>
      <c r="C1526" s="5" t="n">
        <v>2001</v>
      </c>
      <c r="D1526" s="5" t="inlineStr">
        <is>
          <t>No contesta</t>
        </is>
      </c>
      <c r="E1526" s="6" t="n">
        <v>0.034</v>
      </c>
      <c r="F1526" s="7" t="n">
        <v>1023</v>
      </c>
    </row>
    <row r="1527">
      <c r="A1527" s="5" t="inlineStr">
        <is>
          <t>Apoyo democracia</t>
        </is>
      </c>
      <c r="B1527" s="5" t="inlineStr">
        <is>
          <t>Perú</t>
        </is>
      </c>
      <c r="C1527" s="5" t="n">
        <v>2002</v>
      </c>
      <c r="D1527" s="5" t="inlineStr">
        <is>
          <t>Democracia</t>
        </is>
      </c>
      <c r="E1527" s="6" t="n">
        <v>0.552</v>
      </c>
      <c r="F1527" s="7" t="n">
        <v>1224</v>
      </c>
    </row>
    <row r="1528">
      <c r="A1528" s="5" t="inlineStr">
        <is>
          <t>Apoyo democracia</t>
        </is>
      </c>
      <c r="B1528" s="5" t="inlineStr">
        <is>
          <t>Perú</t>
        </is>
      </c>
      <c r="C1528" s="5" t="n">
        <v>2002</v>
      </c>
      <c r="D1528" s="5" t="inlineStr">
        <is>
          <t>Gobierno Autoritario</t>
        </is>
      </c>
      <c r="E1528" s="6" t="n">
        <v>0.156</v>
      </c>
      <c r="F1528" s="7" t="n">
        <v>1224</v>
      </c>
    </row>
    <row r="1529">
      <c r="A1529" s="5" t="inlineStr">
        <is>
          <t>Apoyo democracia</t>
        </is>
      </c>
      <c r="B1529" s="5" t="inlineStr">
        <is>
          <t>Perú</t>
        </is>
      </c>
      <c r="C1529" s="5" t="n">
        <v>2002</v>
      </c>
      <c r="D1529" s="5" t="inlineStr">
        <is>
          <t>Da lo mismo</t>
        </is>
      </c>
      <c r="E1529" s="6" t="n">
        <v>0.133</v>
      </c>
      <c r="F1529" s="7" t="n">
        <v>1224</v>
      </c>
    </row>
    <row r="1530">
      <c r="A1530" s="5" t="inlineStr">
        <is>
          <t>Apoyo democracia</t>
        </is>
      </c>
      <c r="B1530" s="5" t="inlineStr">
        <is>
          <t>Perú</t>
        </is>
      </c>
      <c r="C1530" s="5" t="n">
        <v>2002</v>
      </c>
      <c r="D1530" s="5" t="inlineStr">
        <is>
          <t>No sabe</t>
        </is>
      </c>
      <c r="E1530" s="6" t="n">
        <v>0.12</v>
      </c>
      <c r="F1530" s="7" t="n">
        <v>1224</v>
      </c>
    </row>
    <row r="1531">
      <c r="A1531" s="5" t="inlineStr">
        <is>
          <t>Apoyo democracia</t>
        </is>
      </c>
      <c r="B1531" s="5" t="inlineStr">
        <is>
          <t>Perú</t>
        </is>
      </c>
      <c r="C1531" s="5" t="n">
        <v>2002</v>
      </c>
      <c r="D1531" s="5" t="inlineStr">
        <is>
          <t>No contesta</t>
        </is>
      </c>
      <c r="E1531" s="6" t="n">
        <v>0.04</v>
      </c>
      <c r="F1531" s="7" t="n">
        <v>1224</v>
      </c>
    </row>
    <row r="1532">
      <c r="A1532" s="5" t="inlineStr">
        <is>
          <t>Apoyo democracia</t>
        </is>
      </c>
      <c r="B1532" s="5" t="inlineStr">
        <is>
          <t>Perú</t>
        </is>
      </c>
      <c r="C1532" s="5" t="n">
        <v>2003</v>
      </c>
      <c r="D1532" s="5" t="inlineStr">
        <is>
          <t>Democracia</t>
        </is>
      </c>
      <c r="E1532" s="6" t="n">
        <v>0.498</v>
      </c>
      <c r="F1532" s="7" t="n">
        <v>1200</v>
      </c>
    </row>
    <row r="1533">
      <c r="A1533" s="5" t="inlineStr">
        <is>
          <t>Apoyo democracia</t>
        </is>
      </c>
      <c r="B1533" s="5" t="inlineStr">
        <is>
          <t>Perú</t>
        </is>
      </c>
      <c r="C1533" s="5" t="n">
        <v>2003</v>
      </c>
      <c r="D1533" s="5" t="inlineStr">
        <is>
          <t>Gobierno Autoritario</t>
        </is>
      </c>
      <c r="E1533" s="6" t="n">
        <v>0.191</v>
      </c>
      <c r="F1533" s="7" t="n">
        <v>1200</v>
      </c>
    </row>
    <row r="1534">
      <c r="A1534" s="5" t="inlineStr">
        <is>
          <t>Apoyo democracia</t>
        </is>
      </c>
      <c r="B1534" s="5" t="inlineStr">
        <is>
          <t>Perú</t>
        </is>
      </c>
      <c r="C1534" s="5" t="n">
        <v>2003</v>
      </c>
      <c r="D1534" s="5" t="inlineStr">
        <is>
          <t>Da lo mismo</t>
        </is>
      </c>
      <c r="E1534" s="6" t="n">
        <v>0.228</v>
      </c>
      <c r="F1534" s="7" t="n">
        <v>1200</v>
      </c>
    </row>
    <row r="1535">
      <c r="A1535" s="5" t="inlineStr">
        <is>
          <t>Apoyo democracia</t>
        </is>
      </c>
      <c r="B1535" s="5" t="inlineStr">
        <is>
          <t>Perú</t>
        </is>
      </c>
      <c r="C1535" s="5" t="n">
        <v>2003</v>
      </c>
      <c r="D1535" s="5" t="inlineStr">
        <is>
          <t>No sabe</t>
        </is>
      </c>
      <c r="E1535" s="6" t="n">
        <v>0.057</v>
      </c>
      <c r="F1535" s="7" t="n">
        <v>1200</v>
      </c>
    </row>
    <row r="1536">
      <c r="A1536" s="5" t="inlineStr">
        <is>
          <t>Apoyo democracia</t>
        </is>
      </c>
      <c r="B1536" s="5" t="inlineStr">
        <is>
          <t>Perú</t>
        </is>
      </c>
      <c r="C1536" s="5" t="n">
        <v>2003</v>
      </c>
      <c r="D1536" s="5" t="inlineStr">
        <is>
          <t>No contesta</t>
        </is>
      </c>
      <c r="E1536" s="6" t="n">
        <v>0.026</v>
      </c>
      <c r="F1536" s="7" t="n">
        <v>1200</v>
      </c>
    </row>
    <row r="1537">
      <c r="A1537" s="5" t="inlineStr">
        <is>
          <t>Apoyo democracia</t>
        </is>
      </c>
      <c r="B1537" s="5" t="inlineStr">
        <is>
          <t>Perú</t>
        </is>
      </c>
      <c r="C1537" s="5" t="n">
        <v>2004</v>
      </c>
      <c r="D1537" s="5" t="inlineStr">
        <is>
          <t>Democracia</t>
        </is>
      </c>
      <c r="E1537" s="6" t="n">
        <v>0.451</v>
      </c>
      <c r="F1537" s="7" t="n">
        <v>1200</v>
      </c>
    </row>
    <row r="1538">
      <c r="A1538" s="5" t="inlineStr">
        <is>
          <t>Apoyo democracia</t>
        </is>
      </c>
      <c r="B1538" s="5" t="inlineStr">
        <is>
          <t>Perú</t>
        </is>
      </c>
      <c r="C1538" s="5" t="n">
        <v>2004</v>
      </c>
      <c r="D1538" s="5" t="inlineStr">
        <is>
          <t>Gobierno Autoritario</t>
        </is>
      </c>
      <c r="E1538" s="6" t="n">
        <v>0.197</v>
      </c>
      <c r="F1538" s="7" t="n">
        <v>1200</v>
      </c>
    </row>
    <row r="1539">
      <c r="A1539" s="5" t="inlineStr">
        <is>
          <t>Apoyo democracia</t>
        </is>
      </c>
      <c r="B1539" s="5" t="inlineStr">
        <is>
          <t>Perú</t>
        </is>
      </c>
      <c r="C1539" s="5" t="n">
        <v>2004</v>
      </c>
      <c r="D1539" s="5" t="inlineStr">
        <is>
          <t>Da lo mismo</t>
        </is>
      </c>
      <c r="E1539" s="6" t="n">
        <v>0.235</v>
      </c>
      <c r="F1539" s="7" t="n">
        <v>1200</v>
      </c>
    </row>
    <row r="1540">
      <c r="A1540" s="5" t="inlineStr">
        <is>
          <t>Apoyo democracia</t>
        </is>
      </c>
      <c r="B1540" s="5" t="inlineStr">
        <is>
          <t>Perú</t>
        </is>
      </c>
      <c r="C1540" s="5" t="n">
        <v>2004</v>
      </c>
      <c r="D1540" s="5" t="inlineStr">
        <is>
          <t>No sabe</t>
        </is>
      </c>
      <c r="E1540" s="6" t="n">
        <v>0.096</v>
      </c>
      <c r="F1540" s="7" t="n">
        <v>1200</v>
      </c>
    </row>
    <row r="1541">
      <c r="A1541" s="5" t="inlineStr">
        <is>
          <t>Apoyo democracia</t>
        </is>
      </c>
      <c r="B1541" s="5" t="inlineStr">
        <is>
          <t>Perú</t>
        </is>
      </c>
      <c r="C1541" s="5" t="n">
        <v>2004</v>
      </c>
      <c r="D1541" s="5" t="inlineStr">
        <is>
          <t>No contesta</t>
        </is>
      </c>
      <c r="E1541" s="6" t="n">
        <v>0.021</v>
      </c>
      <c r="F1541" s="7" t="n">
        <v>1200</v>
      </c>
    </row>
    <row r="1542">
      <c r="A1542" s="5" t="inlineStr">
        <is>
          <t>Apoyo democracia</t>
        </is>
      </c>
      <c r="B1542" s="5" t="inlineStr">
        <is>
          <t>Perú</t>
        </is>
      </c>
      <c r="C1542" s="5" t="n">
        <v>2005</v>
      </c>
      <c r="D1542" s="5" t="inlineStr">
        <is>
          <t>Democracia</t>
        </is>
      </c>
      <c r="E1542" s="6" t="n">
        <v>0.397</v>
      </c>
      <c r="F1542" s="7" t="n">
        <v>1200</v>
      </c>
    </row>
    <row r="1543">
      <c r="A1543" s="5" t="inlineStr">
        <is>
          <t>Apoyo democracia</t>
        </is>
      </c>
      <c r="B1543" s="5" t="inlineStr">
        <is>
          <t>Perú</t>
        </is>
      </c>
      <c r="C1543" s="5" t="n">
        <v>2005</v>
      </c>
      <c r="D1543" s="5" t="inlineStr">
        <is>
          <t>Gobierno Autoritario</t>
        </is>
      </c>
      <c r="E1543" s="6" t="n">
        <v>0.191</v>
      </c>
      <c r="F1543" s="7" t="n">
        <v>1200</v>
      </c>
    </row>
    <row r="1544">
      <c r="A1544" s="5" t="inlineStr">
        <is>
          <t>Apoyo democracia</t>
        </is>
      </c>
      <c r="B1544" s="5" t="inlineStr">
        <is>
          <t>Perú</t>
        </is>
      </c>
      <c r="C1544" s="5" t="n">
        <v>2005</v>
      </c>
      <c r="D1544" s="5" t="inlineStr">
        <is>
          <t>Da lo mismo</t>
        </is>
      </c>
      <c r="E1544" s="6" t="n">
        <v>0.247</v>
      </c>
      <c r="F1544" s="7" t="n">
        <v>1200</v>
      </c>
    </row>
    <row r="1545">
      <c r="A1545" s="5" t="inlineStr">
        <is>
          <t>Apoyo democracia</t>
        </is>
      </c>
      <c r="B1545" s="5" t="inlineStr">
        <is>
          <t>Perú</t>
        </is>
      </c>
      <c r="C1545" s="5" t="n">
        <v>2005</v>
      </c>
      <c r="D1545" s="5" t="inlineStr">
        <is>
          <t>No sabe</t>
        </is>
      </c>
      <c r="E1545" s="6" t="n">
        <v>0.142</v>
      </c>
      <c r="F1545" s="7" t="n">
        <v>1200</v>
      </c>
    </row>
    <row r="1546">
      <c r="A1546" s="5" t="inlineStr">
        <is>
          <t>Apoyo democracia</t>
        </is>
      </c>
      <c r="B1546" s="5" t="inlineStr">
        <is>
          <t>Perú</t>
        </is>
      </c>
      <c r="C1546" s="5" t="n">
        <v>2005</v>
      </c>
      <c r="D1546" s="5" t="inlineStr">
        <is>
          <t>No contesta</t>
        </is>
      </c>
      <c r="E1546" s="6" t="n">
        <v>0.024</v>
      </c>
      <c r="F1546" s="7" t="n">
        <v>1200</v>
      </c>
    </row>
    <row r="1547">
      <c r="A1547" s="5" t="inlineStr">
        <is>
          <t>Apoyo democracia</t>
        </is>
      </c>
      <c r="B1547" s="5" t="inlineStr">
        <is>
          <t>Perú</t>
        </is>
      </c>
      <c r="C1547" s="5" t="n">
        <v>2006</v>
      </c>
      <c r="D1547" s="5" t="inlineStr">
        <is>
          <t>Democracia</t>
        </is>
      </c>
      <c r="E1547" s="6" t="n">
        <v>0.546</v>
      </c>
      <c r="F1547" s="7" t="n">
        <v>1200</v>
      </c>
    </row>
    <row r="1548">
      <c r="A1548" s="5" t="inlineStr">
        <is>
          <t>Apoyo democracia</t>
        </is>
      </c>
      <c r="B1548" s="5" t="inlineStr">
        <is>
          <t>Perú</t>
        </is>
      </c>
      <c r="C1548" s="5" t="n">
        <v>2006</v>
      </c>
      <c r="D1548" s="5" t="inlineStr">
        <is>
          <t>Gobierno Autoritario</t>
        </is>
      </c>
      <c r="E1548" s="6" t="n">
        <v>0.197</v>
      </c>
      <c r="F1548" s="7" t="n">
        <v>1200</v>
      </c>
    </row>
    <row r="1549">
      <c r="A1549" s="5" t="inlineStr">
        <is>
          <t>Apoyo democracia</t>
        </is>
      </c>
      <c r="B1549" s="5" t="inlineStr">
        <is>
          <t>Perú</t>
        </is>
      </c>
      <c r="C1549" s="5" t="n">
        <v>2006</v>
      </c>
      <c r="D1549" s="5" t="inlineStr">
        <is>
          <t>Da lo mismo</t>
        </is>
      </c>
      <c r="E1549" s="6" t="n">
        <v>0.165</v>
      </c>
      <c r="F1549" s="7" t="n">
        <v>1200</v>
      </c>
    </row>
    <row r="1550">
      <c r="A1550" s="5" t="inlineStr">
        <is>
          <t>Apoyo democracia</t>
        </is>
      </c>
      <c r="B1550" s="5" t="inlineStr">
        <is>
          <t>Perú</t>
        </is>
      </c>
      <c r="C1550" s="5" t="n">
        <v>2006</v>
      </c>
      <c r="D1550" s="5" t="inlineStr">
        <is>
          <t>No sabe</t>
        </is>
      </c>
      <c r="E1550" s="6" t="n">
        <v>0.07400000000000001</v>
      </c>
      <c r="F1550" s="7" t="n">
        <v>1200</v>
      </c>
    </row>
    <row r="1551">
      <c r="A1551" s="5" t="inlineStr">
        <is>
          <t>Apoyo democracia</t>
        </is>
      </c>
      <c r="B1551" s="5" t="inlineStr">
        <is>
          <t>Perú</t>
        </is>
      </c>
      <c r="C1551" s="5" t="n">
        <v>2006</v>
      </c>
      <c r="D1551" s="5" t="inlineStr">
        <is>
          <t>No contesta</t>
        </is>
      </c>
      <c r="E1551" s="6" t="n">
        <v>0.018</v>
      </c>
      <c r="F1551" s="7" t="n">
        <v>1200</v>
      </c>
    </row>
    <row r="1552">
      <c r="A1552" s="5" t="inlineStr">
        <is>
          <t>Apoyo democracia</t>
        </is>
      </c>
      <c r="B1552" s="5" t="inlineStr">
        <is>
          <t>Perú</t>
        </is>
      </c>
      <c r="C1552" s="5" t="n">
        <v>2007</v>
      </c>
      <c r="D1552" s="5" t="inlineStr">
        <is>
          <t>Democracia</t>
        </is>
      </c>
      <c r="E1552" s="6" t="n">
        <v>0.474</v>
      </c>
      <c r="F1552" s="7" t="n">
        <v>1200</v>
      </c>
    </row>
    <row r="1553">
      <c r="A1553" s="5" t="inlineStr">
        <is>
          <t>Apoyo democracia</t>
        </is>
      </c>
      <c r="B1553" s="5" t="inlineStr">
        <is>
          <t>Perú</t>
        </is>
      </c>
      <c r="C1553" s="5" t="n">
        <v>2007</v>
      </c>
      <c r="D1553" s="5" t="inlineStr">
        <is>
          <t>Gobierno Autoritario</t>
        </is>
      </c>
      <c r="E1553" s="6" t="n">
        <v>0.216</v>
      </c>
      <c r="F1553" s="7" t="n">
        <v>1200</v>
      </c>
    </row>
    <row r="1554">
      <c r="A1554" s="5" t="inlineStr">
        <is>
          <t>Apoyo democracia</t>
        </is>
      </c>
      <c r="B1554" s="5" t="inlineStr">
        <is>
          <t>Perú</t>
        </is>
      </c>
      <c r="C1554" s="5" t="n">
        <v>2007</v>
      </c>
      <c r="D1554" s="5" t="inlineStr">
        <is>
          <t>Da lo mismo</t>
        </is>
      </c>
      <c r="E1554" s="6" t="n">
        <v>0.198</v>
      </c>
      <c r="F1554" s="7" t="n">
        <v>1200</v>
      </c>
    </row>
    <row r="1555">
      <c r="A1555" s="5" t="inlineStr">
        <is>
          <t>Apoyo democracia</t>
        </is>
      </c>
      <c r="B1555" s="5" t="inlineStr">
        <is>
          <t>Perú</t>
        </is>
      </c>
      <c r="C1555" s="5" t="n">
        <v>2007</v>
      </c>
      <c r="D1555" s="5" t="inlineStr">
        <is>
          <t>No sabe</t>
        </is>
      </c>
      <c r="E1555" s="6" t="n">
        <v>0.098</v>
      </c>
      <c r="F1555" s="7" t="n">
        <v>1200</v>
      </c>
    </row>
    <row r="1556">
      <c r="A1556" s="5" t="inlineStr">
        <is>
          <t>Apoyo democracia</t>
        </is>
      </c>
      <c r="B1556" s="5" t="inlineStr">
        <is>
          <t>Perú</t>
        </is>
      </c>
      <c r="C1556" s="5" t="n">
        <v>2007</v>
      </c>
      <c r="D1556" s="5" t="inlineStr">
        <is>
          <t>No contesta</t>
        </is>
      </c>
      <c r="E1556" s="6" t="n">
        <v>0.015</v>
      </c>
      <c r="F1556" s="7" t="n">
        <v>1200</v>
      </c>
    </row>
    <row r="1557">
      <c r="A1557" s="5" t="inlineStr">
        <is>
          <t>Apoyo democracia</t>
        </is>
      </c>
      <c r="B1557" s="5" t="inlineStr">
        <is>
          <t>Perú</t>
        </is>
      </c>
      <c r="C1557" s="5" t="n">
        <v>2008</v>
      </c>
      <c r="D1557" s="5" t="inlineStr">
        <is>
          <t>Democracia</t>
        </is>
      </c>
      <c r="E1557" s="6" t="n">
        <v>0.45</v>
      </c>
      <c r="F1557" s="7" t="n">
        <v>1200</v>
      </c>
    </row>
    <row r="1558">
      <c r="A1558" s="5" t="inlineStr">
        <is>
          <t>Apoyo democracia</t>
        </is>
      </c>
      <c r="B1558" s="5" t="inlineStr">
        <is>
          <t>Perú</t>
        </is>
      </c>
      <c r="C1558" s="5" t="n">
        <v>2008</v>
      </c>
      <c r="D1558" s="5" t="inlineStr">
        <is>
          <t>Gobierno Autoritario</t>
        </is>
      </c>
      <c r="E1558" s="6" t="n">
        <v>0.198</v>
      </c>
      <c r="F1558" s="7" t="n">
        <v>1200</v>
      </c>
    </row>
    <row r="1559">
      <c r="A1559" s="5" t="inlineStr">
        <is>
          <t>Apoyo democracia</t>
        </is>
      </c>
      <c r="B1559" s="5" t="inlineStr">
        <is>
          <t>Perú</t>
        </is>
      </c>
      <c r="C1559" s="5" t="n">
        <v>2008</v>
      </c>
      <c r="D1559" s="5" t="inlineStr">
        <is>
          <t>Da lo mismo</t>
        </is>
      </c>
      <c r="E1559" s="6" t="n">
        <v>0.242</v>
      </c>
      <c r="F1559" s="7" t="n">
        <v>1200</v>
      </c>
    </row>
    <row r="1560">
      <c r="A1560" s="5" t="inlineStr">
        <is>
          <t>Apoyo democracia</t>
        </is>
      </c>
      <c r="B1560" s="5" t="inlineStr">
        <is>
          <t>Perú</t>
        </is>
      </c>
      <c r="C1560" s="5" t="n">
        <v>2008</v>
      </c>
      <c r="D1560" s="5" t="inlineStr">
        <is>
          <t>No sabe</t>
        </is>
      </c>
      <c r="E1560" s="6" t="n">
        <v>0.09699999999999999</v>
      </c>
      <c r="F1560" s="7" t="n">
        <v>1200</v>
      </c>
    </row>
    <row r="1561">
      <c r="A1561" s="5" t="inlineStr">
        <is>
          <t>Apoyo democracia</t>
        </is>
      </c>
      <c r="B1561" s="5" t="inlineStr">
        <is>
          <t>Perú</t>
        </is>
      </c>
      <c r="C1561" s="5" t="n">
        <v>2008</v>
      </c>
      <c r="D1561" s="5" t="inlineStr">
        <is>
          <t>No contesta</t>
        </is>
      </c>
      <c r="E1561" s="6" t="n">
        <v>0.013</v>
      </c>
      <c r="F1561" s="7" t="n">
        <v>1200</v>
      </c>
    </row>
    <row r="1562">
      <c r="A1562" s="5" t="inlineStr">
        <is>
          <t>Apoyo democracia</t>
        </is>
      </c>
      <c r="B1562" s="5" t="inlineStr">
        <is>
          <t>Perú</t>
        </is>
      </c>
      <c r="C1562" s="5" t="n">
        <v>2009</v>
      </c>
      <c r="D1562" s="5" t="inlineStr">
        <is>
          <t>Democracia</t>
        </is>
      </c>
      <c r="E1562" s="6" t="n">
        <v>0.519</v>
      </c>
      <c r="F1562" s="7" t="n">
        <v>1200</v>
      </c>
    </row>
    <row r="1563">
      <c r="A1563" s="5" t="inlineStr">
        <is>
          <t>Apoyo democracia</t>
        </is>
      </c>
      <c r="B1563" s="5" t="inlineStr">
        <is>
          <t>Perú</t>
        </is>
      </c>
      <c r="C1563" s="5" t="n">
        <v>2009</v>
      </c>
      <c r="D1563" s="5" t="inlineStr">
        <is>
          <t>Gobierno Autoritario</t>
        </is>
      </c>
      <c r="E1563" s="6" t="n">
        <v>0.163</v>
      </c>
      <c r="F1563" s="7" t="n">
        <v>1200</v>
      </c>
    </row>
    <row r="1564">
      <c r="A1564" s="5" t="inlineStr">
        <is>
          <t>Apoyo democracia</t>
        </is>
      </c>
      <c r="B1564" s="5" t="inlineStr">
        <is>
          <t>Perú</t>
        </is>
      </c>
      <c r="C1564" s="5" t="n">
        <v>2009</v>
      </c>
      <c r="D1564" s="5" t="inlineStr">
        <is>
          <t>Da lo mismo</t>
        </is>
      </c>
      <c r="E1564" s="6" t="n">
        <v>0.205</v>
      </c>
      <c r="F1564" s="7" t="n">
        <v>1200</v>
      </c>
    </row>
    <row r="1565">
      <c r="A1565" s="5" t="inlineStr">
        <is>
          <t>Apoyo democracia</t>
        </is>
      </c>
      <c r="B1565" s="5" t="inlineStr">
        <is>
          <t>Perú</t>
        </is>
      </c>
      <c r="C1565" s="5" t="n">
        <v>2009</v>
      </c>
      <c r="D1565" s="5" t="inlineStr">
        <is>
          <t>No sabe</t>
        </is>
      </c>
      <c r="E1565" s="6" t="n">
        <v>0.094</v>
      </c>
      <c r="F1565" s="7" t="n">
        <v>1200</v>
      </c>
    </row>
    <row r="1566">
      <c r="A1566" s="5" t="inlineStr">
        <is>
          <t>Apoyo democracia</t>
        </is>
      </c>
      <c r="B1566" s="5" t="inlineStr">
        <is>
          <t>Perú</t>
        </is>
      </c>
      <c r="C1566" s="5" t="n">
        <v>2009</v>
      </c>
      <c r="D1566" s="5" t="inlineStr">
        <is>
          <t>No contesta</t>
        </is>
      </c>
      <c r="E1566" s="6" t="n">
        <v>0.019</v>
      </c>
      <c r="F1566" s="7" t="n">
        <v>1200</v>
      </c>
    </row>
    <row r="1567">
      <c r="A1567" s="5" t="inlineStr">
        <is>
          <t>Apoyo democracia</t>
        </is>
      </c>
      <c r="B1567" s="5" t="inlineStr">
        <is>
          <t>Perú</t>
        </is>
      </c>
      <c r="C1567" s="5" t="n">
        <v>2010</v>
      </c>
      <c r="D1567" s="5" t="inlineStr">
        <is>
          <t>Democracia</t>
        </is>
      </c>
      <c r="E1567" s="6" t="n">
        <v>0.61</v>
      </c>
      <c r="F1567" s="7" t="n">
        <v>1200</v>
      </c>
    </row>
    <row r="1568">
      <c r="A1568" s="5" t="inlineStr">
        <is>
          <t>Apoyo democracia</t>
        </is>
      </c>
      <c r="B1568" s="5" t="inlineStr">
        <is>
          <t>Perú</t>
        </is>
      </c>
      <c r="C1568" s="5" t="n">
        <v>2010</v>
      </c>
      <c r="D1568" s="5" t="inlineStr">
        <is>
          <t>Gobierno Autoritario</t>
        </is>
      </c>
      <c r="E1568" s="6" t="n">
        <v>0.153</v>
      </c>
      <c r="F1568" s="7" t="n">
        <v>1200</v>
      </c>
    </row>
    <row r="1569">
      <c r="A1569" s="5" t="inlineStr">
        <is>
          <t>Apoyo democracia</t>
        </is>
      </c>
      <c r="B1569" s="5" t="inlineStr">
        <is>
          <t>Perú</t>
        </is>
      </c>
      <c r="C1569" s="5" t="n">
        <v>2010</v>
      </c>
      <c r="D1569" s="5" t="inlineStr">
        <is>
          <t>Da lo mismo</t>
        </is>
      </c>
      <c r="E1569" s="6" t="n">
        <v>0.142</v>
      </c>
      <c r="F1569" s="7" t="n">
        <v>1200</v>
      </c>
    </row>
    <row r="1570">
      <c r="A1570" s="5" t="inlineStr">
        <is>
          <t>Apoyo democracia</t>
        </is>
      </c>
      <c r="B1570" s="5" t="inlineStr">
        <is>
          <t>Perú</t>
        </is>
      </c>
      <c r="C1570" s="5" t="n">
        <v>2010</v>
      </c>
      <c r="D1570" s="5" t="inlineStr">
        <is>
          <t>No sabe</t>
        </is>
      </c>
      <c r="E1570" s="6" t="n">
        <v>0.07200000000000001</v>
      </c>
      <c r="F1570" s="7" t="n">
        <v>1200</v>
      </c>
    </row>
    <row r="1571">
      <c r="A1571" s="5" t="inlineStr">
        <is>
          <t>Apoyo democracia</t>
        </is>
      </c>
      <c r="B1571" s="5" t="inlineStr">
        <is>
          <t>Perú</t>
        </is>
      </c>
      <c r="C1571" s="5" t="n">
        <v>2010</v>
      </c>
      <c r="D1571" s="5" t="inlineStr">
        <is>
          <t>No contesta</t>
        </is>
      </c>
      <c r="E1571" s="6" t="n">
        <v>0.023</v>
      </c>
      <c r="F1571" s="7" t="n">
        <v>1200</v>
      </c>
    </row>
    <row r="1572">
      <c r="A1572" s="5" t="inlineStr">
        <is>
          <t>Apoyo democracia</t>
        </is>
      </c>
      <c r="B1572" s="5" t="inlineStr">
        <is>
          <t>Perú</t>
        </is>
      </c>
      <c r="C1572" s="5" t="n">
        <v>2011</v>
      </c>
      <c r="D1572" s="5" t="inlineStr">
        <is>
          <t>Democracia</t>
        </is>
      </c>
      <c r="E1572" s="6" t="n">
        <v>0.589</v>
      </c>
      <c r="F1572" s="7" t="n">
        <v>1200</v>
      </c>
    </row>
    <row r="1573">
      <c r="A1573" s="5" t="inlineStr">
        <is>
          <t>Apoyo democracia</t>
        </is>
      </c>
      <c r="B1573" s="5" t="inlineStr">
        <is>
          <t>Perú</t>
        </is>
      </c>
      <c r="C1573" s="5" t="n">
        <v>2011</v>
      </c>
      <c r="D1573" s="5" t="inlineStr">
        <is>
          <t>Gobierno Autoritario</t>
        </is>
      </c>
      <c r="E1573" s="6" t="n">
        <v>0.162</v>
      </c>
      <c r="F1573" s="7" t="n">
        <v>1200</v>
      </c>
    </row>
    <row r="1574">
      <c r="A1574" s="5" t="inlineStr">
        <is>
          <t>Apoyo democracia</t>
        </is>
      </c>
      <c r="B1574" s="5" t="inlineStr">
        <is>
          <t>Perú</t>
        </is>
      </c>
      <c r="C1574" s="5" t="n">
        <v>2011</v>
      </c>
      <c r="D1574" s="5" t="inlineStr">
        <is>
          <t>Da lo mismo</t>
        </is>
      </c>
      <c r="E1574" s="6" t="n">
        <v>0.177</v>
      </c>
      <c r="F1574" s="7" t="n">
        <v>1200</v>
      </c>
    </row>
    <row r="1575">
      <c r="A1575" s="5" t="inlineStr">
        <is>
          <t>Apoyo democracia</t>
        </is>
      </c>
      <c r="B1575" s="5" t="inlineStr">
        <is>
          <t>Perú</t>
        </is>
      </c>
      <c r="C1575" s="5" t="n">
        <v>2011</v>
      </c>
      <c r="D1575" s="5" t="inlineStr">
        <is>
          <t>No sabe</t>
        </is>
      </c>
      <c r="E1575" s="6" t="n">
        <v>0.052</v>
      </c>
      <c r="F1575" s="7" t="n">
        <v>1200</v>
      </c>
    </row>
    <row r="1576">
      <c r="A1576" s="5" t="inlineStr">
        <is>
          <t>Apoyo democracia</t>
        </is>
      </c>
      <c r="B1576" s="5" t="inlineStr">
        <is>
          <t>Perú</t>
        </is>
      </c>
      <c r="C1576" s="5" t="n">
        <v>2011</v>
      </c>
      <c r="D1576" s="5" t="inlineStr">
        <is>
          <t>No contesta</t>
        </is>
      </c>
      <c r="E1576" s="6" t="n">
        <v>0.021</v>
      </c>
      <c r="F1576" s="7" t="n">
        <v>1200</v>
      </c>
    </row>
    <row r="1577">
      <c r="A1577" s="5" t="inlineStr">
        <is>
          <t>Apoyo democracia</t>
        </is>
      </c>
      <c r="B1577" s="5" t="inlineStr">
        <is>
          <t>Perú</t>
        </is>
      </c>
      <c r="C1577" s="5" t="n">
        <v>2015</v>
      </c>
      <c r="D1577" s="5" t="inlineStr">
        <is>
          <t>Democracia</t>
        </is>
      </c>
      <c r="E1577" s="6" t="n">
        <v>0.5589999999999999</v>
      </c>
      <c r="F1577" s="7" t="n">
        <v>1200</v>
      </c>
    </row>
    <row r="1578">
      <c r="A1578" s="5" t="inlineStr">
        <is>
          <t>Apoyo democracia</t>
        </is>
      </c>
      <c r="B1578" s="5" t="inlineStr">
        <is>
          <t>Perú</t>
        </is>
      </c>
      <c r="C1578" s="5" t="n">
        <v>2015</v>
      </c>
      <c r="D1578" s="5" t="inlineStr">
        <is>
          <t>Gobierno Autoritario</t>
        </is>
      </c>
      <c r="E1578" s="6" t="n">
        <v>0.177</v>
      </c>
      <c r="F1578" s="7" t="n">
        <v>1200</v>
      </c>
    </row>
    <row r="1579">
      <c r="A1579" s="5" t="inlineStr">
        <is>
          <t>Apoyo democracia</t>
        </is>
      </c>
      <c r="B1579" s="5" t="inlineStr">
        <is>
          <t>Perú</t>
        </is>
      </c>
      <c r="C1579" s="5" t="n">
        <v>2015</v>
      </c>
      <c r="D1579" s="5" t="inlineStr">
        <is>
          <t>Da lo mismo</t>
        </is>
      </c>
      <c r="E1579" s="6" t="n">
        <v>0.165</v>
      </c>
      <c r="F1579" s="7" t="n">
        <v>1200</v>
      </c>
    </row>
    <row r="1580">
      <c r="A1580" s="5" t="inlineStr">
        <is>
          <t>Apoyo democracia</t>
        </is>
      </c>
      <c r="B1580" s="5" t="inlineStr">
        <is>
          <t>Perú</t>
        </is>
      </c>
      <c r="C1580" s="5" t="n">
        <v>2015</v>
      </c>
      <c r="D1580" s="5" t="inlineStr">
        <is>
          <t>No sabe</t>
        </is>
      </c>
      <c r="E1580" s="6" t="n">
        <v>0.08400000000000001</v>
      </c>
      <c r="F1580" s="7" t="n">
        <v>1200</v>
      </c>
    </row>
    <row r="1581">
      <c r="A1581" s="5" t="inlineStr">
        <is>
          <t>Apoyo democracia</t>
        </is>
      </c>
      <c r="B1581" s="5" t="inlineStr">
        <is>
          <t>Perú</t>
        </is>
      </c>
      <c r="C1581" s="5" t="n">
        <v>2015</v>
      </c>
      <c r="D1581" s="5" t="inlineStr">
        <is>
          <t>No contesta</t>
        </is>
      </c>
      <c r="E1581" s="6" t="n">
        <v>0.015</v>
      </c>
      <c r="F1581" s="7" t="n">
        <v>1200</v>
      </c>
    </row>
    <row r="1582">
      <c r="A1582" s="5" t="inlineStr">
        <is>
          <t>Apoyo democracia</t>
        </is>
      </c>
      <c r="B1582" s="5" t="inlineStr">
        <is>
          <t>Perú</t>
        </is>
      </c>
      <c r="C1582" s="5" t="n">
        <v>2016</v>
      </c>
      <c r="D1582" s="5" t="inlineStr">
        <is>
          <t>Democracia</t>
        </is>
      </c>
      <c r="E1582" s="6" t="n">
        <v>0.529</v>
      </c>
      <c r="F1582" s="7" t="n">
        <v>1200</v>
      </c>
    </row>
    <row r="1583">
      <c r="A1583" s="5" t="inlineStr">
        <is>
          <t>Apoyo democracia</t>
        </is>
      </c>
      <c r="B1583" s="5" t="inlineStr">
        <is>
          <t>Perú</t>
        </is>
      </c>
      <c r="C1583" s="5" t="n">
        <v>2016</v>
      </c>
      <c r="D1583" s="5" t="inlineStr">
        <is>
          <t>Gobierno Autoritario</t>
        </is>
      </c>
      <c r="E1583" s="6" t="n">
        <v>0.211</v>
      </c>
      <c r="F1583" s="7" t="n">
        <v>1200</v>
      </c>
    </row>
    <row r="1584">
      <c r="A1584" s="5" t="inlineStr">
        <is>
          <t>Apoyo democracia</t>
        </is>
      </c>
      <c r="B1584" s="5" t="inlineStr">
        <is>
          <t>Perú</t>
        </is>
      </c>
      <c r="C1584" s="5" t="n">
        <v>2016</v>
      </c>
      <c r="D1584" s="5" t="inlineStr">
        <is>
          <t>Da lo mismo</t>
        </is>
      </c>
      <c r="E1584" s="6" t="n">
        <v>0.168</v>
      </c>
      <c r="F1584" s="7" t="n">
        <v>1200</v>
      </c>
    </row>
    <row r="1585">
      <c r="A1585" s="5" t="inlineStr">
        <is>
          <t>Apoyo democracia</t>
        </is>
      </c>
      <c r="B1585" s="5" t="inlineStr">
        <is>
          <t>Perú</t>
        </is>
      </c>
      <c r="C1585" s="5" t="n">
        <v>2016</v>
      </c>
      <c r="D1585" s="5" t="inlineStr">
        <is>
          <t>No sabe</t>
        </is>
      </c>
      <c r="E1585" s="6" t="n">
        <v>0.077</v>
      </c>
      <c r="F1585" s="7" t="n">
        <v>1200</v>
      </c>
    </row>
    <row r="1586">
      <c r="A1586" s="5" t="inlineStr">
        <is>
          <t>Apoyo democracia</t>
        </is>
      </c>
      <c r="B1586" s="5" t="inlineStr">
        <is>
          <t>Perú</t>
        </is>
      </c>
      <c r="C1586" s="5" t="n">
        <v>2016</v>
      </c>
      <c r="D1586" s="5" t="inlineStr">
        <is>
          <t>No contesta</t>
        </is>
      </c>
      <c r="E1586" s="6" t="n">
        <v>0.015</v>
      </c>
      <c r="F1586" s="7" t="n">
        <v>1200</v>
      </c>
    </row>
    <row r="1587">
      <c r="A1587" s="5" t="inlineStr">
        <is>
          <t>Apoyo democracia</t>
        </is>
      </c>
      <c r="B1587" s="5" t="inlineStr">
        <is>
          <t>Perú</t>
        </is>
      </c>
      <c r="C1587" s="5" t="n">
        <v>2017</v>
      </c>
      <c r="D1587" s="5" t="inlineStr">
        <is>
          <t>Democracia</t>
        </is>
      </c>
      <c r="E1587" s="6" t="n">
        <v>0.451</v>
      </c>
      <c r="F1587" s="7" t="n">
        <v>1200</v>
      </c>
    </row>
    <row r="1588">
      <c r="A1588" s="5" t="inlineStr">
        <is>
          <t>Apoyo democracia</t>
        </is>
      </c>
      <c r="B1588" s="5" t="inlineStr">
        <is>
          <t>Perú</t>
        </is>
      </c>
      <c r="C1588" s="5" t="n">
        <v>2017</v>
      </c>
      <c r="D1588" s="5" t="inlineStr">
        <is>
          <t>Gobierno Autoritario</t>
        </is>
      </c>
      <c r="E1588" s="6" t="n">
        <v>0.163</v>
      </c>
      <c r="F1588" s="7" t="n">
        <v>1200</v>
      </c>
    </row>
    <row r="1589">
      <c r="A1589" s="5" t="inlineStr">
        <is>
          <t>Apoyo democracia</t>
        </is>
      </c>
      <c r="B1589" s="5" t="inlineStr">
        <is>
          <t>Perú</t>
        </is>
      </c>
      <c r="C1589" s="5" t="n">
        <v>2017</v>
      </c>
      <c r="D1589" s="5" t="inlineStr">
        <is>
          <t>Da lo mismo</t>
        </is>
      </c>
      <c r="E1589" s="6" t="n">
        <v>0.274</v>
      </c>
      <c r="F1589" s="7" t="n">
        <v>1200</v>
      </c>
    </row>
    <row r="1590">
      <c r="A1590" s="5" t="inlineStr">
        <is>
          <t>Apoyo democracia</t>
        </is>
      </c>
      <c r="B1590" s="5" t="inlineStr">
        <is>
          <t>Perú</t>
        </is>
      </c>
      <c r="C1590" s="5" t="n">
        <v>2017</v>
      </c>
      <c r="D1590" s="5" t="inlineStr">
        <is>
          <t>No sabe</t>
        </is>
      </c>
      <c r="E1590" s="6" t="n">
        <v>0.08800000000000001</v>
      </c>
      <c r="F1590" s="7" t="n">
        <v>1200</v>
      </c>
    </row>
    <row r="1591">
      <c r="A1591" s="5" t="inlineStr">
        <is>
          <t>Apoyo democracia</t>
        </is>
      </c>
      <c r="B1591" s="5" t="inlineStr">
        <is>
          <t>Perú</t>
        </is>
      </c>
      <c r="C1591" s="5" t="n">
        <v>2017</v>
      </c>
      <c r="D1591" s="5" t="inlineStr">
        <is>
          <t>No contesta</t>
        </is>
      </c>
      <c r="E1591" s="6" t="n">
        <v>0.024</v>
      </c>
      <c r="F1591" s="7" t="n">
        <v>1200</v>
      </c>
    </row>
    <row r="1592">
      <c r="A1592" s="5" t="inlineStr">
        <is>
          <t>Apoyo democracia</t>
        </is>
      </c>
      <c r="B1592" s="5" t="inlineStr">
        <is>
          <t>Perú</t>
        </is>
      </c>
      <c r="C1592" s="5" t="n">
        <v>2018</v>
      </c>
      <c r="D1592" s="5" t="inlineStr">
        <is>
          <t>Democracia</t>
        </is>
      </c>
      <c r="E1592" s="6" t="n">
        <v>0.428</v>
      </c>
      <c r="F1592" s="7" t="n">
        <v>1200</v>
      </c>
    </row>
    <row r="1593">
      <c r="A1593" s="5" t="inlineStr">
        <is>
          <t>Apoyo democracia</t>
        </is>
      </c>
      <c r="B1593" s="5" t="inlineStr">
        <is>
          <t>Perú</t>
        </is>
      </c>
      <c r="C1593" s="5" t="n">
        <v>2018</v>
      </c>
      <c r="D1593" s="5" t="inlineStr">
        <is>
          <t>Gobierno Autoritario</t>
        </is>
      </c>
      <c r="E1593" s="6" t="n">
        <v>0.18</v>
      </c>
      <c r="F1593" s="7" t="n">
        <v>1200</v>
      </c>
    </row>
    <row r="1594">
      <c r="A1594" s="5" t="inlineStr">
        <is>
          <t>Apoyo democracia</t>
        </is>
      </c>
      <c r="B1594" s="5" t="inlineStr">
        <is>
          <t>Perú</t>
        </is>
      </c>
      <c r="C1594" s="5" t="n">
        <v>2018</v>
      </c>
      <c r="D1594" s="5" t="inlineStr">
        <is>
          <t>Da lo mismo</t>
        </is>
      </c>
      <c r="E1594" s="6" t="n">
        <v>0.27</v>
      </c>
      <c r="F1594" s="7" t="n">
        <v>1200</v>
      </c>
    </row>
    <row r="1595">
      <c r="A1595" s="5" t="inlineStr">
        <is>
          <t>Apoyo democracia</t>
        </is>
      </c>
      <c r="B1595" s="5" t="inlineStr">
        <is>
          <t>Perú</t>
        </is>
      </c>
      <c r="C1595" s="5" t="n">
        <v>2018</v>
      </c>
      <c r="D1595" s="5" t="inlineStr">
        <is>
          <t>No sabe</t>
        </is>
      </c>
      <c r="E1595" s="6" t="n">
        <v>0.096</v>
      </c>
      <c r="F1595" s="7" t="n">
        <v>1200</v>
      </c>
    </row>
    <row r="1596">
      <c r="A1596" s="5" t="inlineStr">
        <is>
          <t>Apoyo democracia</t>
        </is>
      </c>
      <c r="B1596" s="5" t="inlineStr">
        <is>
          <t>Perú</t>
        </is>
      </c>
      <c r="C1596" s="5" t="n">
        <v>2018</v>
      </c>
      <c r="D1596" s="5" t="inlineStr">
        <is>
          <t>No contesta</t>
        </is>
      </c>
      <c r="E1596" s="6" t="n">
        <v>0.026</v>
      </c>
      <c r="F1596" s="7" t="n">
        <v>1200</v>
      </c>
    </row>
    <row r="1597">
      <c r="A1597" s="5" t="inlineStr">
        <is>
          <t>Apoyo democracia</t>
        </is>
      </c>
      <c r="B1597" s="5" t="inlineStr">
        <is>
          <t>Perú</t>
        </is>
      </c>
      <c r="C1597" s="5" t="n">
        <v>2020</v>
      </c>
      <c r="D1597" s="5" t="inlineStr">
        <is>
          <t>Democracia</t>
        </is>
      </c>
      <c r="E1597" s="6" t="n">
        <v>0.464</v>
      </c>
      <c r="F1597" s="7" t="n">
        <v>1200</v>
      </c>
    </row>
    <row r="1598">
      <c r="A1598" s="5" t="inlineStr">
        <is>
          <t>Apoyo democracia</t>
        </is>
      </c>
      <c r="B1598" s="5" t="inlineStr">
        <is>
          <t>Perú</t>
        </is>
      </c>
      <c r="C1598" s="5" t="n">
        <v>2020</v>
      </c>
      <c r="D1598" s="5" t="inlineStr">
        <is>
          <t>Gobierno Autoritario</t>
        </is>
      </c>
      <c r="E1598" s="6" t="n">
        <v>0.162</v>
      </c>
      <c r="F1598" s="7" t="n">
        <v>1200</v>
      </c>
    </row>
    <row r="1599">
      <c r="A1599" s="5" t="inlineStr">
        <is>
          <t>Apoyo democracia</t>
        </is>
      </c>
      <c r="B1599" s="5" t="inlineStr">
        <is>
          <t>Perú</t>
        </is>
      </c>
      <c r="C1599" s="5" t="n">
        <v>2020</v>
      </c>
      <c r="D1599" s="5" t="inlineStr">
        <is>
          <t>Da lo mismo</t>
        </is>
      </c>
      <c r="E1599" s="6" t="n">
        <v>0.25</v>
      </c>
      <c r="F1599" s="7" t="n">
        <v>1200</v>
      </c>
    </row>
    <row r="1600">
      <c r="A1600" s="5" t="inlineStr">
        <is>
          <t>Apoyo democracia</t>
        </is>
      </c>
      <c r="B1600" s="5" t="inlineStr">
        <is>
          <t>Perú</t>
        </is>
      </c>
      <c r="C1600" s="5" t="n">
        <v>2020</v>
      </c>
      <c r="D1600" s="5" t="inlineStr">
        <is>
          <t>No sabe</t>
        </is>
      </c>
      <c r="E1600" s="6" t="n">
        <v>0.103</v>
      </c>
      <c r="F1600" s="7" t="n">
        <v>1200</v>
      </c>
    </row>
    <row r="1601">
      <c r="A1601" s="5" t="inlineStr">
        <is>
          <t>Apoyo democracia</t>
        </is>
      </c>
      <c r="B1601" s="5" t="inlineStr">
        <is>
          <t>Perú</t>
        </is>
      </c>
      <c r="C1601" s="5" t="n">
        <v>2020</v>
      </c>
      <c r="D1601" s="5" t="inlineStr">
        <is>
          <t>No contesta</t>
        </is>
      </c>
      <c r="E1601" s="6" t="n">
        <v>0.021</v>
      </c>
      <c r="F1601" s="7" t="n">
        <v>1200</v>
      </c>
    </row>
    <row r="1602">
      <c r="A1602" s="5" t="inlineStr">
        <is>
          <t>Apoyo democracia</t>
        </is>
      </c>
      <c r="B1602" s="5" t="inlineStr">
        <is>
          <t>Perú</t>
        </is>
      </c>
      <c r="C1602" s="5" t="n">
        <v>2024</v>
      </c>
      <c r="D1602" s="5" t="inlineStr">
        <is>
          <t>Democracia</t>
        </is>
      </c>
      <c r="E1602" s="6" t="n">
        <v>0.4429999999999999</v>
      </c>
      <c r="F1602" s="7" t="n">
        <v>1200</v>
      </c>
    </row>
    <row r="1603">
      <c r="A1603" s="5" t="inlineStr">
        <is>
          <t>Apoyo democracia</t>
        </is>
      </c>
      <c r="B1603" s="5" t="inlineStr">
        <is>
          <t>Perú</t>
        </is>
      </c>
      <c r="C1603" s="5" t="n">
        <v>2024</v>
      </c>
      <c r="D1603" s="5" t="inlineStr">
        <is>
          <t>Gobierno Autoritario</t>
        </is>
      </c>
      <c r="E1603" s="6" t="n">
        <v>0.191</v>
      </c>
      <c r="F1603" s="7" t="n">
        <v>1200</v>
      </c>
    </row>
    <row r="1604">
      <c r="A1604" s="5" t="inlineStr">
        <is>
          <t>Apoyo democracia</t>
        </is>
      </c>
      <c r="B1604" s="5" t="inlineStr">
        <is>
          <t>Perú</t>
        </is>
      </c>
      <c r="C1604" s="5" t="n">
        <v>2024</v>
      </c>
      <c r="D1604" s="5" t="inlineStr">
        <is>
          <t>Da lo mismo</t>
        </is>
      </c>
      <c r="E1604" s="6" t="n">
        <v>0.297</v>
      </c>
      <c r="F1604" s="7" t="n">
        <v>1200</v>
      </c>
    </row>
    <row r="1605">
      <c r="A1605" s="5" t="inlineStr">
        <is>
          <t>Apoyo democracia</t>
        </is>
      </c>
      <c r="B1605" s="5" t="inlineStr">
        <is>
          <t>Perú</t>
        </is>
      </c>
      <c r="C1605" s="5" t="n">
        <v>2024</v>
      </c>
      <c r="D1605" s="5" t="inlineStr">
        <is>
          <t>No sabe</t>
        </is>
      </c>
      <c r="E1605" s="6" t="n">
        <v>0.064</v>
      </c>
      <c r="F1605" s="7" t="n">
        <v>1200</v>
      </c>
    </row>
    <row r="1606">
      <c r="A1606" s="5" t="inlineStr">
        <is>
          <t>Apoyo democracia</t>
        </is>
      </c>
      <c r="B1606" s="5" t="inlineStr">
        <is>
          <t>Perú</t>
        </is>
      </c>
      <c r="C1606" s="5" t="n">
        <v>2024</v>
      </c>
      <c r="D1606" s="5" t="inlineStr">
        <is>
          <t>No contesta</t>
        </is>
      </c>
      <c r="E1606" s="6" t="n">
        <v>0.006</v>
      </c>
      <c r="F1606" s="7" t="n">
        <v>1200</v>
      </c>
    </row>
    <row r="1607">
      <c r="A1607" s="5" t="inlineStr">
        <is>
          <t>Apoyo democracia</t>
        </is>
      </c>
      <c r="B1607" s="5" t="inlineStr">
        <is>
          <t>España</t>
        </is>
      </c>
      <c r="C1607" s="5" t="n">
        <v>1996</v>
      </c>
      <c r="D1607" s="5" t="inlineStr">
        <is>
          <t>Democracia</t>
        </is>
      </c>
      <c r="E1607" s="6" t="n">
        <v>0.8129999999999999</v>
      </c>
      <c r="F1607" s="7" t="n">
        <v>2481</v>
      </c>
    </row>
    <row r="1608">
      <c r="A1608" s="5" t="inlineStr">
        <is>
          <t>Apoyo democracia</t>
        </is>
      </c>
      <c r="B1608" s="5" t="inlineStr">
        <is>
          <t>España</t>
        </is>
      </c>
      <c r="C1608" s="5" t="n">
        <v>1996</v>
      </c>
      <c r="D1608" s="5" t="inlineStr">
        <is>
          <t>Gobierno Autoritario</t>
        </is>
      </c>
      <c r="E1608" s="6" t="n">
        <v>0.081</v>
      </c>
      <c r="F1608" s="7" t="n">
        <v>2481</v>
      </c>
    </row>
    <row r="1609">
      <c r="A1609" s="5" t="inlineStr">
        <is>
          <t>Apoyo democracia</t>
        </is>
      </c>
      <c r="B1609" s="5" t="inlineStr">
        <is>
          <t>España</t>
        </is>
      </c>
      <c r="C1609" s="5" t="n">
        <v>1996</v>
      </c>
      <c r="D1609" s="5" t="inlineStr">
        <is>
          <t>Da lo mismo</t>
        </is>
      </c>
      <c r="E1609" s="6" t="n">
        <v>0.067</v>
      </c>
      <c r="F1609" s="7" t="n">
        <v>2481</v>
      </c>
    </row>
    <row r="1610">
      <c r="A1610" s="5" t="inlineStr">
        <is>
          <t>Apoyo democracia</t>
        </is>
      </c>
      <c r="B1610" s="5" t="inlineStr">
        <is>
          <t>España</t>
        </is>
      </c>
      <c r="C1610" s="5" t="n">
        <v>1996</v>
      </c>
      <c r="D1610" s="5" t="inlineStr">
        <is>
          <t>No sabe</t>
        </is>
      </c>
      <c r="E1610" s="6" t="n">
        <v>0.036</v>
      </c>
      <c r="F1610" s="7" t="n">
        <v>2481</v>
      </c>
    </row>
    <row r="1611">
      <c r="A1611" s="5" t="inlineStr">
        <is>
          <t>Apoyo democracia</t>
        </is>
      </c>
      <c r="B1611" s="5" t="inlineStr">
        <is>
          <t>España</t>
        </is>
      </c>
      <c r="C1611" s="5" t="n">
        <v>1996</v>
      </c>
      <c r="D1611" s="5" t="inlineStr">
        <is>
          <t>No contesta</t>
        </is>
      </c>
      <c r="E1611" s="6" t="n">
        <v>0.003</v>
      </c>
      <c r="F1611" s="7" t="n">
        <v>2481</v>
      </c>
    </row>
    <row r="1612">
      <c r="A1612" s="5" t="inlineStr">
        <is>
          <t>Apoyo democracia</t>
        </is>
      </c>
      <c r="B1612" s="5" t="inlineStr">
        <is>
          <t>España</t>
        </is>
      </c>
      <c r="C1612" s="5" t="n">
        <v>1997</v>
      </c>
      <c r="D1612" s="5" t="inlineStr">
        <is>
          <t>Democracia</t>
        </is>
      </c>
      <c r="E1612" s="6" t="n">
        <v>0.8009999999999999</v>
      </c>
      <c r="F1612" s="7" t="n">
        <v>2476</v>
      </c>
    </row>
    <row r="1613">
      <c r="A1613" s="5" t="inlineStr">
        <is>
          <t>Apoyo democracia</t>
        </is>
      </c>
      <c r="B1613" s="5" t="inlineStr">
        <is>
          <t>España</t>
        </is>
      </c>
      <c r="C1613" s="5" t="n">
        <v>1997</v>
      </c>
      <c r="D1613" s="5" t="inlineStr">
        <is>
          <t>Gobierno Autoritario</t>
        </is>
      </c>
      <c r="E1613" s="6" t="n">
        <v>0.068</v>
      </c>
      <c r="F1613" s="7" t="n">
        <v>2476</v>
      </c>
    </row>
    <row r="1614">
      <c r="A1614" s="5" t="inlineStr">
        <is>
          <t>Apoyo democracia</t>
        </is>
      </c>
      <c r="B1614" s="5" t="inlineStr">
        <is>
          <t>España</t>
        </is>
      </c>
      <c r="C1614" s="5" t="n">
        <v>1997</v>
      </c>
      <c r="D1614" s="5" t="inlineStr">
        <is>
          <t>Da lo mismo</t>
        </is>
      </c>
      <c r="E1614" s="6" t="n">
        <v>0.08800000000000001</v>
      </c>
      <c r="F1614" s="7" t="n">
        <v>2476</v>
      </c>
    </row>
    <row r="1615">
      <c r="A1615" s="5" t="inlineStr">
        <is>
          <t>Apoyo democracia</t>
        </is>
      </c>
      <c r="B1615" s="5" t="inlineStr">
        <is>
          <t>España</t>
        </is>
      </c>
      <c r="C1615" s="5" t="n">
        <v>1997</v>
      </c>
      <c r="D1615" s="5" t="inlineStr">
        <is>
          <t>No sabe</t>
        </is>
      </c>
      <c r="E1615" s="6" t="n">
        <v>0.03700000000000001</v>
      </c>
      <c r="F1615" s="7" t="n">
        <v>2476</v>
      </c>
    </row>
    <row r="1616">
      <c r="A1616" s="5" t="inlineStr">
        <is>
          <t>Apoyo democracia</t>
        </is>
      </c>
      <c r="B1616" s="5" t="inlineStr">
        <is>
          <t>España</t>
        </is>
      </c>
      <c r="C1616" s="5" t="n">
        <v>1997</v>
      </c>
      <c r="D1616" s="5" t="inlineStr">
        <is>
          <t>No contesta</t>
        </is>
      </c>
      <c r="E1616" s="6" t="n">
        <v>0.006</v>
      </c>
      <c r="F1616" s="7" t="n">
        <v>2476</v>
      </c>
    </row>
    <row r="1617">
      <c r="A1617" s="5" t="inlineStr">
        <is>
          <t>Apoyo democracia</t>
        </is>
      </c>
      <c r="B1617" s="5" t="inlineStr">
        <is>
          <t>España</t>
        </is>
      </c>
      <c r="C1617" s="5" t="n">
        <v>1998</v>
      </c>
      <c r="D1617" s="5" t="inlineStr">
        <is>
          <t>Democracia</t>
        </is>
      </c>
      <c r="E1617" s="6" t="n">
        <v>0.8390000000000001</v>
      </c>
      <c r="F1617" s="7" t="n">
        <v>2492</v>
      </c>
    </row>
    <row r="1618">
      <c r="A1618" s="5" t="inlineStr">
        <is>
          <t>Apoyo democracia</t>
        </is>
      </c>
      <c r="B1618" s="5" t="inlineStr">
        <is>
          <t>España</t>
        </is>
      </c>
      <c r="C1618" s="5" t="n">
        <v>1998</v>
      </c>
      <c r="D1618" s="5" t="inlineStr">
        <is>
          <t>Gobierno Autoritario</t>
        </is>
      </c>
      <c r="E1618" s="6" t="n">
        <v>0.061</v>
      </c>
      <c r="F1618" s="7" t="n">
        <v>2492</v>
      </c>
    </row>
    <row r="1619">
      <c r="A1619" s="5" t="inlineStr">
        <is>
          <t>Apoyo democracia</t>
        </is>
      </c>
      <c r="B1619" s="5" t="inlineStr">
        <is>
          <t>España</t>
        </is>
      </c>
      <c r="C1619" s="5" t="n">
        <v>1998</v>
      </c>
      <c r="D1619" s="5" t="inlineStr">
        <is>
          <t>Da lo mismo</t>
        </is>
      </c>
      <c r="E1619" s="6" t="n">
        <v>0.07099999999999999</v>
      </c>
      <c r="F1619" s="7" t="n">
        <v>2492</v>
      </c>
    </row>
    <row r="1620">
      <c r="A1620" s="5" t="inlineStr">
        <is>
          <t>Apoyo democracia</t>
        </is>
      </c>
      <c r="B1620" s="5" t="inlineStr">
        <is>
          <t>España</t>
        </is>
      </c>
      <c r="C1620" s="5" t="n">
        <v>1998</v>
      </c>
      <c r="D1620" s="5" t="inlineStr">
        <is>
          <t>No sabe</t>
        </is>
      </c>
      <c r="E1620" s="6" t="n">
        <v>0.025</v>
      </c>
      <c r="F1620" s="7" t="n">
        <v>2492</v>
      </c>
    </row>
    <row r="1621">
      <c r="A1621" s="5" t="inlineStr">
        <is>
          <t>Apoyo democracia</t>
        </is>
      </c>
      <c r="B1621" s="5" t="inlineStr">
        <is>
          <t>España</t>
        </is>
      </c>
      <c r="C1621" s="5" t="n">
        <v>1998</v>
      </c>
      <c r="D1621" s="5" t="inlineStr">
        <is>
          <t>No contesta</t>
        </is>
      </c>
      <c r="E1621" s="6" t="n">
        <v>0.005</v>
      </c>
      <c r="F1621" s="7" t="n">
        <v>2492</v>
      </c>
    </row>
    <row r="1622">
      <c r="A1622" s="5" t="inlineStr">
        <is>
          <t>Apoyo democracia</t>
        </is>
      </c>
      <c r="B1622" s="5" t="inlineStr">
        <is>
          <t>España</t>
        </is>
      </c>
      <c r="C1622" s="5" t="n">
        <v>2001</v>
      </c>
      <c r="D1622" s="5" t="inlineStr">
        <is>
          <t>Democracia</t>
        </is>
      </c>
      <c r="E1622" s="6" t="n">
        <v>0.821</v>
      </c>
      <c r="F1622" s="7" t="n">
        <v>2496</v>
      </c>
    </row>
    <row r="1623">
      <c r="A1623" s="5" t="inlineStr">
        <is>
          <t>Apoyo democracia</t>
        </is>
      </c>
      <c r="B1623" s="5" t="inlineStr">
        <is>
          <t>España</t>
        </is>
      </c>
      <c r="C1623" s="5" t="n">
        <v>2001</v>
      </c>
      <c r="D1623" s="5" t="inlineStr">
        <is>
          <t>Gobierno Autoritario</t>
        </is>
      </c>
      <c r="E1623" s="6" t="n">
        <v>0.05400000000000001</v>
      </c>
      <c r="F1623" s="7" t="n">
        <v>2496</v>
      </c>
    </row>
    <row r="1624">
      <c r="A1624" s="5" t="inlineStr">
        <is>
          <t>Apoyo democracia</t>
        </is>
      </c>
      <c r="B1624" s="5" t="inlineStr">
        <is>
          <t>España</t>
        </is>
      </c>
      <c r="C1624" s="5" t="n">
        <v>2001</v>
      </c>
      <c r="D1624" s="5" t="inlineStr">
        <is>
          <t>Da lo mismo</t>
        </is>
      </c>
      <c r="E1624" s="6" t="n">
        <v>0.07000000000000001</v>
      </c>
      <c r="F1624" s="7" t="n">
        <v>2496</v>
      </c>
    </row>
    <row r="1625">
      <c r="A1625" s="5" t="inlineStr">
        <is>
          <t>Apoyo democracia</t>
        </is>
      </c>
      <c r="B1625" s="5" t="inlineStr">
        <is>
          <t>España</t>
        </is>
      </c>
      <c r="C1625" s="5" t="n">
        <v>2001</v>
      </c>
      <c r="D1625" s="5" t="inlineStr">
        <is>
          <t>No sabe</t>
        </is>
      </c>
      <c r="E1625" s="6" t="n">
        <v>0.047</v>
      </c>
      <c r="F1625" s="7" t="n">
        <v>2496</v>
      </c>
    </row>
    <row r="1626">
      <c r="A1626" s="5" t="inlineStr">
        <is>
          <t>Apoyo democracia</t>
        </is>
      </c>
      <c r="B1626" s="5" t="inlineStr">
        <is>
          <t>España</t>
        </is>
      </c>
      <c r="C1626" s="5" t="n">
        <v>2001</v>
      </c>
      <c r="D1626" s="5" t="inlineStr">
        <is>
          <t>No contesta</t>
        </is>
      </c>
      <c r="E1626" s="6" t="n">
        <v>0.008</v>
      </c>
      <c r="F1626" s="7" t="n">
        <v>2496</v>
      </c>
    </row>
    <row r="1627">
      <c r="A1627" s="5" t="inlineStr">
        <is>
          <t>Apoyo democracia</t>
        </is>
      </c>
      <c r="B1627" s="5" t="inlineStr">
        <is>
          <t>España</t>
        </is>
      </c>
      <c r="C1627" s="5" t="n">
        <v>2002</v>
      </c>
      <c r="D1627" s="5" t="inlineStr">
        <is>
          <t>Democracia</t>
        </is>
      </c>
      <c r="E1627" s="6" t="n">
        <v>0.825</v>
      </c>
      <c r="F1627" s="7" t="n">
        <v>2484</v>
      </c>
    </row>
    <row r="1628">
      <c r="A1628" s="5" t="inlineStr">
        <is>
          <t>Apoyo democracia</t>
        </is>
      </c>
      <c r="B1628" s="5" t="inlineStr">
        <is>
          <t>España</t>
        </is>
      </c>
      <c r="C1628" s="5" t="n">
        <v>2002</v>
      </c>
      <c r="D1628" s="5" t="inlineStr">
        <is>
          <t>Gobierno Autoritario</t>
        </is>
      </c>
      <c r="E1628" s="6" t="n">
        <v>0.067</v>
      </c>
      <c r="F1628" s="7" t="n">
        <v>2484</v>
      </c>
    </row>
    <row r="1629">
      <c r="A1629" s="5" t="inlineStr">
        <is>
          <t>Apoyo democracia</t>
        </is>
      </c>
      <c r="B1629" s="5" t="inlineStr">
        <is>
          <t>España</t>
        </is>
      </c>
      <c r="C1629" s="5" t="n">
        <v>2002</v>
      </c>
      <c r="D1629" s="5" t="inlineStr">
        <is>
          <t>Da lo mismo</t>
        </is>
      </c>
      <c r="E1629" s="6" t="n">
        <v>0.061</v>
      </c>
      <c r="F1629" s="7" t="n">
        <v>2484</v>
      </c>
    </row>
    <row r="1630">
      <c r="A1630" s="5" t="inlineStr">
        <is>
          <t>Apoyo democracia</t>
        </is>
      </c>
      <c r="B1630" s="5" t="inlineStr">
        <is>
          <t>España</t>
        </is>
      </c>
      <c r="C1630" s="5" t="n">
        <v>2002</v>
      </c>
      <c r="D1630" s="5" t="inlineStr">
        <is>
          <t>No sabe</t>
        </is>
      </c>
      <c r="E1630" s="6" t="n">
        <v>0.039</v>
      </c>
      <c r="F1630" s="7" t="n">
        <v>2484</v>
      </c>
    </row>
    <row r="1631">
      <c r="A1631" s="5" t="inlineStr">
        <is>
          <t>Apoyo democracia</t>
        </is>
      </c>
      <c r="B1631" s="5" t="inlineStr">
        <is>
          <t>España</t>
        </is>
      </c>
      <c r="C1631" s="5" t="n">
        <v>2002</v>
      </c>
      <c r="D1631" s="5" t="inlineStr">
        <is>
          <t>No contesta</t>
        </is>
      </c>
      <c r="E1631" s="6" t="n">
        <v>0.008</v>
      </c>
      <c r="F1631" s="7" t="n">
        <v>2484</v>
      </c>
    </row>
    <row r="1632">
      <c r="A1632" s="5" t="inlineStr">
        <is>
          <t>Apoyo democracia</t>
        </is>
      </c>
      <c r="B1632" s="5" t="inlineStr">
        <is>
          <t>España</t>
        </is>
      </c>
      <c r="C1632" s="5" t="n">
        <v>2003</v>
      </c>
      <c r="D1632" s="5" t="inlineStr">
        <is>
          <t>Democracia</t>
        </is>
      </c>
      <c r="E1632" s="6" t="n">
        <v>0.848</v>
      </c>
      <c r="F1632" s="7" t="n">
        <v>2495</v>
      </c>
    </row>
    <row r="1633">
      <c r="A1633" s="5" t="inlineStr">
        <is>
          <t>Apoyo democracia</t>
        </is>
      </c>
      <c r="B1633" s="5" t="inlineStr">
        <is>
          <t>España</t>
        </is>
      </c>
      <c r="C1633" s="5" t="n">
        <v>2003</v>
      </c>
      <c r="D1633" s="5" t="inlineStr">
        <is>
          <t>Gobierno Autoritario</t>
        </is>
      </c>
      <c r="E1633" s="6" t="n">
        <v>0.047</v>
      </c>
      <c r="F1633" s="7" t="n">
        <v>2495</v>
      </c>
    </row>
    <row r="1634">
      <c r="A1634" s="5" t="inlineStr">
        <is>
          <t>Apoyo democracia</t>
        </is>
      </c>
      <c r="B1634" s="5" t="inlineStr">
        <is>
          <t>España</t>
        </is>
      </c>
      <c r="C1634" s="5" t="n">
        <v>2003</v>
      </c>
      <c r="D1634" s="5" t="inlineStr">
        <is>
          <t>Da lo mismo</t>
        </is>
      </c>
      <c r="E1634" s="6" t="n">
        <v>0.07000000000000001</v>
      </c>
      <c r="F1634" s="7" t="n">
        <v>2495</v>
      </c>
    </row>
    <row r="1635">
      <c r="A1635" s="5" t="inlineStr">
        <is>
          <t>Apoyo democracia</t>
        </is>
      </c>
      <c r="B1635" s="5" t="inlineStr">
        <is>
          <t>España</t>
        </is>
      </c>
      <c r="C1635" s="5" t="n">
        <v>2003</v>
      </c>
      <c r="D1635" s="5" t="inlineStr">
        <is>
          <t>No sabe</t>
        </is>
      </c>
      <c r="E1635" s="6" t="n">
        <v>0.029</v>
      </c>
      <c r="F1635" s="7" t="n">
        <v>2495</v>
      </c>
    </row>
    <row r="1636">
      <c r="A1636" s="5" t="inlineStr">
        <is>
          <t>Apoyo democracia</t>
        </is>
      </c>
      <c r="B1636" s="5" t="inlineStr">
        <is>
          <t>España</t>
        </is>
      </c>
      <c r="C1636" s="5" t="n">
        <v>2003</v>
      </c>
      <c r="D1636" s="5" t="inlineStr">
        <is>
          <t>No contesta</t>
        </is>
      </c>
      <c r="E1636" s="6" t="n">
        <v>0.006</v>
      </c>
      <c r="F1636" s="7" t="n">
        <v>2495</v>
      </c>
    </row>
    <row r="1637">
      <c r="A1637" s="5" t="inlineStr">
        <is>
          <t>Apoyo democracia</t>
        </is>
      </c>
      <c r="B1637" s="5" t="inlineStr">
        <is>
          <t>España</t>
        </is>
      </c>
      <c r="C1637" s="5" t="n">
        <v>2004</v>
      </c>
      <c r="D1637" s="5" t="inlineStr">
        <is>
          <t>Democracia</t>
        </is>
      </c>
      <c r="E1637" s="6" t="n">
        <v>0.8420000000000001</v>
      </c>
      <c r="F1637" s="7" t="n">
        <v>2491</v>
      </c>
    </row>
    <row r="1638">
      <c r="A1638" s="5" t="inlineStr">
        <is>
          <t>Apoyo democracia</t>
        </is>
      </c>
      <c r="B1638" s="5" t="inlineStr">
        <is>
          <t>España</t>
        </is>
      </c>
      <c r="C1638" s="5" t="n">
        <v>2004</v>
      </c>
      <c r="D1638" s="5" t="inlineStr">
        <is>
          <t>Gobierno Autoritario</t>
        </is>
      </c>
      <c r="E1638" s="6" t="n">
        <v>0.053</v>
      </c>
      <c r="F1638" s="7" t="n">
        <v>2491</v>
      </c>
    </row>
    <row r="1639">
      <c r="A1639" s="5" t="inlineStr">
        <is>
          <t>Apoyo democracia</t>
        </is>
      </c>
      <c r="B1639" s="5" t="inlineStr">
        <is>
          <t>España</t>
        </is>
      </c>
      <c r="C1639" s="5" t="n">
        <v>2004</v>
      </c>
      <c r="D1639" s="5" t="inlineStr">
        <is>
          <t>Da lo mismo</t>
        </is>
      </c>
      <c r="E1639" s="6" t="n">
        <v>0.063</v>
      </c>
      <c r="F1639" s="7" t="n">
        <v>2491</v>
      </c>
    </row>
    <row r="1640">
      <c r="A1640" s="5" t="inlineStr">
        <is>
          <t>Apoyo democracia</t>
        </is>
      </c>
      <c r="B1640" s="5" t="inlineStr">
        <is>
          <t>España</t>
        </is>
      </c>
      <c r="C1640" s="5" t="n">
        <v>2004</v>
      </c>
      <c r="D1640" s="5" t="inlineStr">
        <is>
          <t>No sabe</t>
        </is>
      </c>
      <c r="E1640" s="6" t="n">
        <v>0.036</v>
      </c>
      <c r="F1640" s="7" t="n">
        <v>2491</v>
      </c>
    </row>
    <row r="1641">
      <c r="A1641" s="5" t="inlineStr">
        <is>
          <t>Apoyo democracia</t>
        </is>
      </c>
      <c r="B1641" s="5" t="inlineStr">
        <is>
          <t>España</t>
        </is>
      </c>
      <c r="C1641" s="5" t="n">
        <v>2004</v>
      </c>
      <c r="D1641" s="5" t="inlineStr">
        <is>
          <t>No contesta</t>
        </is>
      </c>
      <c r="E1641" s="6" t="n">
        <v>0.006</v>
      </c>
      <c r="F1641" s="7" t="n">
        <v>2491</v>
      </c>
    </row>
    <row r="1642">
      <c r="A1642" s="5" t="inlineStr">
        <is>
          <t>Apoyo democracia</t>
        </is>
      </c>
      <c r="B1642" s="5" t="inlineStr">
        <is>
          <t>España</t>
        </is>
      </c>
      <c r="C1642" s="5" t="n">
        <v>2006</v>
      </c>
      <c r="D1642" s="5" t="inlineStr">
        <is>
          <t>Democracia</t>
        </is>
      </c>
      <c r="E1642" s="6" t="n">
        <v>0.8190000000000001</v>
      </c>
      <c r="F1642" s="7" t="n">
        <v>2476</v>
      </c>
    </row>
    <row r="1643">
      <c r="A1643" s="5" t="inlineStr">
        <is>
          <t>Apoyo democracia</t>
        </is>
      </c>
      <c r="B1643" s="5" t="inlineStr">
        <is>
          <t>España</t>
        </is>
      </c>
      <c r="C1643" s="5" t="n">
        <v>2006</v>
      </c>
      <c r="D1643" s="5" t="inlineStr">
        <is>
          <t>Gobierno Autoritario</t>
        </is>
      </c>
      <c r="E1643" s="6" t="n">
        <v>0.07400000000000001</v>
      </c>
      <c r="F1643" s="7" t="n">
        <v>2476</v>
      </c>
    </row>
    <row r="1644">
      <c r="A1644" s="5" t="inlineStr">
        <is>
          <t>Apoyo democracia</t>
        </is>
      </c>
      <c r="B1644" s="5" t="inlineStr">
        <is>
          <t>España</t>
        </is>
      </c>
      <c r="C1644" s="5" t="n">
        <v>2006</v>
      </c>
      <c r="D1644" s="5" t="inlineStr">
        <is>
          <t>Da lo mismo</t>
        </is>
      </c>
      <c r="E1644" s="6" t="n">
        <v>0.07099999999999999</v>
      </c>
      <c r="F1644" s="7" t="n">
        <v>2476</v>
      </c>
    </row>
    <row r="1645">
      <c r="A1645" s="5" t="inlineStr">
        <is>
          <t>Apoyo democracia</t>
        </is>
      </c>
      <c r="B1645" s="5" t="inlineStr">
        <is>
          <t>España</t>
        </is>
      </c>
      <c r="C1645" s="5" t="n">
        <v>2006</v>
      </c>
      <c r="D1645" s="5" t="inlineStr">
        <is>
          <t>No sabe</t>
        </is>
      </c>
      <c r="E1645" s="6" t="n">
        <v>0.027</v>
      </c>
      <c r="F1645" s="7" t="n">
        <v>2476</v>
      </c>
    </row>
    <row r="1646">
      <c r="A1646" s="5" t="inlineStr">
        <is>
          <t>Apoyo democracia</t>
        </is>
      </c>
      <c r="B1646" s="5" t="inlineStr">
        <is>
          <t>España</t>
        </is>
      </c>
      <c r="C1646" s="5" t="n">
        <v>2006</v>
      </c>
      <c r="D1646" s="5" t="inlineStr">
        <is>
          <t>No contesta</t>
        </is>
      </c>
      <c r="E1646" s="6" t="n">
        <v>0.008</v>
      </c>
      <c r="F1646" s="7" t="n">
        <v>2476</v>
      </c>
    </row>
    <row r="1647">
      <c r="A1647" s="5" t="inlineStr">
        <is>
          <t>Apoyo democracia</t>
        </is>
      </c>
      <c r="B1647" s="5" t="inlineStr">
        <is>
          <t>España</t>
        </is>
      </c>
      <c r="C1647" s="5" t="n">
        <v>2007</v>
      </c>
      <c r="D1647" s="5" t="inlineStr">
        <is>
          <t>Democracia</t>
        </is>
      </c>
      <c r="E1647" s="6" t="n">
        <v>0.799</v>
      </c>
      <c r="F1647" s="7" t="n">
        <v>2482</v>
      </c>
    </row>
    <row r="1648">
      <c r="A1648" s="5" t="inlineStr">
        <is>
          <t>Apoyo democracia</t>
        </is>
      </c>
      <c r="B1648" s="5" t="inlineStr">
        <is>
          <t>España</t>
        </is>
      </c>
      <c r="C1648" s="5" t="n">
        <v>2007</v>
      </c>
      <c r="D1648" s="5" t="inlineStr">
        <is>
          <t>Gobierno Autoritario</t>
        </is>
      </c>
      <c r="E1648" s="6" t="n">
        <v>0.066</v>
      </c>
      <c r="F1648" s="7" t="n">
        <v>2482</v>
      </c>
    </row>
    <row r="1649">
      <c r="A1649" s="5" t="inlineStr">
        <is>
          <t>Apoyo democracia</t>
        </is>
      </c>
      <c r="B1649" s="5" t="inlineStr">
        <is>
          <t>España</t>
        </is>
      </c>
      <c r="C1649" s="5" t="n">
        <v>2007</v>
      </c>
      <c r="D1649" s="5" t="inlineStr">
        <is>
          <t>Da lo mismo</t>
        </is>
      </c>
      <c r="E1649" s="6" t="n">
        <v>0.08699999999999999</v>
      </c>
      <c r="F1649" s="7" t="n">
        <v>2482</v>
      </c>
    </row>
    <row r="1650">
      <c r="A1650" s="5" t="inlineStr">
        <is>
          <t>Apoyo democracia</t>
        </is>
      </c>
      <c r="B1650" s="5" t="inlineStr">
        <is>
          <t>España</t>
        </is>
      </c>
      <c r="C1650" s="5" t="n">
        <v>2007</v>
      </c>
      <c r="D1650" s="5" t="inlineStr">
        <is>
          <t>No sabe</t>
        </is>
      </c>
      <c r="E1650" s="6" t="n">
        <v>0.039</v>
      </c>
      <c r="F1650" s="7" t="n">
        <v>2482</v>
      </c>
    </row>
    <row r="1651">
      <c r="A1651" s="5" t="inlineStr">
        <is>
          <t>Apoyo democracia</t>
        </is>
      </c>
      <c r="B1651" s="5" t="inlineStr">
        <is>
          <t>España</t>
        </is>
      </c>
      <c r="C1651" s="5" t="n">
        <v>2007</v>
      </c>
      <c r="D1651" s="5" t="inlineStr">
        <is>
          <t>No contesta</t>
        </is>
      </c>
      <c r="E1651" s="6" t="n">
        <v>0.008</v>
      </c>
      <c r="F1651" s="7" t="n">
        <v>2482</v>
      </c>
    </row>
    <row r="1652">
      <c r="A1652" s="5" t="inlineStr">
        <is>
          <t>Apoyo democracia</t>
        </is>
      </c>
      <c r="B1652" s="5" t="inlineStr">
        <is>
          <t>España</t>
        </is>
      </c>
      <c r="C1652" s="5" t="n">
        <v>2008</v>
      </c>
      <c r="D1652" s="5" t="inlineStr">
        <is>
          <t>Democracia</t>
        </is>
      </c>
      <c r="E1652" s="6" t="n">
        <v>0.799</v>
      </c>
      <c r="F1652" s="7" t="n">
        <v>2471</v>
      </c>
    </row>
    <row r="1653">
      <c r="A1653" s="5" t="inlineStr">
        <is>
          <t>Apoyo democracia</t>
        </is>
      </c>
      <c r="B1653" s="5" t="inlineStr">
        <is>
          <t>España</t>
        </is>
      </c>
      <c r="C1653" s="5" t="n">
        <v>2008</v>
      </c>
      <c r="D1653" s="5" t="inlineStr">
        <is>
          <t>Gobierno Autoritario</t>
        </is>
      </c>
      <c r="E1653" s="6" t="n">
        <v>0.063</v>
      </c>
      <c r="F1653" s="7" t="n">
        <v>2471</v>
      </c>
    </row>
    <row r="1654">
      <c r="A1654" s="5" t="inlineStr">
        <is>
          <t>Apoyo democracia</t>
        </is>
      </c>
      <c r="B1654" s="5" t="inlineStr">
        <is>
          <t>España</t>
        </is>
      </c>
      <c r="C1654" s="5" t="n">
        <v>2008</v>
      </c>
      <c r="D1654" s="5" t="inlineStr">
        <is>
          <t>Da lo mismo</t>
        </is>
      </c>
      <c r="E1654" s="6" t="n">
        <v>0.091</v>
      </c>
      <c r="F1654" s="7" t="n">
        <v>2471</v>
      </c>
    </row>
    <row r="1655">
      <c r="A1655" s="5" t="inlineStr">
        <is>
          <t>Apoyo democracia</t>
        </is>
      </c>
      <c r="B1655" s="5" t="inlineStr">
        <is>
          <t>España</t>
        </is>
      </c>
      <c r="C1655" s="5" t="n">
        <v>2008</v>
      </c>
      <c r="D1655" s="5" t="inlineStr">
        <is>
          <t>No sabe</t>
        </is>
      </c>
      <c r="E1655" s="6" t="n">
        <v>0.034</v>
      </c>
      <c r="F1655" s="7" t="n">
        <v>2471</v>
      </c>
    </row>
    <row r="1656">
      <c r="A1656" s="5" t="inlineStr">
        <is>
          <t>Apoyo democracia</t>
        </is>
      </c>
      <c r="B1656" s="5" t="inlineStr">
        <is>
          <t>España</t>
        </is>
      </c>
      <c r="C1656" s="5" t="n">
        <v>2008</v>
      </c>
      <c r="D1656" s="5" t="inlineStr">
        <is>
          <t>No contesta</t>
        </is>
      </c>
      <c r="E1656" s="6" t="n">
        <v>0.013</v>
      </c>
      <c r="F1656" s="7" t="n">
        <v>2471</v>
      </c>
    </row>
    <row r="1657">
      <c r="A1657" s="5" t="inlineStr">
        <is>
          <t>Apoyo democracia</t>
        </is>
      </c>
      <c r="B1657" s="5" t="inlineStr">
        <is>
          <t>España</t>
        </is>
      </c>
      <c r="C1657" s="5" t="n">
        <v>2009</v>
      </c>
      <c r="D1657" s="5" t="inlineStr">
        <is>
          <t>Democracia</t>
        </is>
      </c>
      <c r="E1657" s="6" t="n">
        <v>0.784</v>
      </c>
      <c r="F1657" s="7" t="n">
        <v>2486</v>
      </c>
    </row>
    <row r="1658">
      <c r="A1658" s="5" t="inlineStr">
        <is>
          <t>Apoyo democracia</t>
        </is>
      </c>
      <c r="B1658" s="5" t="inlineStr">
        <is>
          <t>España</t>
        </is>
      </c>
      <c r="C1658" s="5" t="n">
        <v>2009</v>
      </c>
      <c r="D1658" s="5" t="inlineStr">
        <is>
          <t>Gobierno Autoritario</t>
        </is>
      </c>
      <c r="E1658" s="6" t="n">
        <v>0.078</v>
      </c>
      <c r="F1658" s="7" t="n">
        <v>2486</v>
      </c>
    </row>
    <row r="1659">
      <c r="A1659" s="5" t="inlineStr">
        <is>
          <t>Apoyo democracia</t>
        </is>
      </c>
      <c r="B1659" s="5" t="inlineStr">
        <is>
          <t>España</t>
        </is>
      </c>
      <c r="C1659" s="5" t="n">
        <v>2009</v>
      </c>
      <c r="D1659" s="5" t="inlineStr">
        <is>
          <t>Da lo mismo</t>
        </is>
      </c>
      <c r="E1659" s="6" t="n">
        <v>0.09699999999999999</v>
      </c>
      <c r="F1659" s="7" t="n">
        <v>2486</v>
      </c>
    </row>
    <row r="1660">
      <c r="A1660" s="5" t="inlineStr">
        <is>
          <t>Apoyo democracia</t>
        </is>
      </c>
      <c r="B1660" s="5" t="inlineStr">
        <is>
          <t>España</t>
        </is>
      </c>
      <c r="C1660" s="5" t="n">
        <v>2009</v>
      </c>
      <c r="D1660" s="5" t="inlineStr">
        <is>
          <t>No sabe</t>
        </is>
      </c>
      <c r="E1660" s="6" t="n">
        <v>0.033</v>
      </c>
      <c r="F1660" s="7" t="n">
        <v>2486</v>
      </c>
    </row>
    <row r="1661">
      <c r="A1661" s="5" t="inlineStr">
        <is>
          <t>Apoyo democracia</t>
        </is>
      </c>
      <c r="B1661" s="5" t="inlineStr">
        <is>
          <t>España</t>
        </is>
      </c>
      <c r="C1661" s="5" t="n">
        <v>2009</v>
      </c>
      <c r="D1661" s="5" t="inlineStr">
        <is>
          <t>No contesta</t>
        </is>
      </c>
      <c r="E1661" s="6" t="n">
        <v>0.008</v>
      </c>
      <c r="F1661" s="7" t="n">
        <v>2486</v>
      </c>
    </row>
    <row r="1662">
      <c r="A1662" s="5" t="inlineStr">
        <is>
          <t>Apoyo democracia</t>
        </is>
      </c>
      <c r="B1662" s="5" t="inlineStr">
        <is>
          <t>España</t>
        </is>
      </c>
      <c r="C1662" s="5" t="n">
        <v>2010</v>
      </c>
      <c r="D1662" s="5" t="inlineStr">
        <is>
          <t>Democracia</t>
        </is>
      </c>
      <c r="E1662" s="6" t="n">
        <v>0.785</v>
      </c>
      <c r="F1662" s="7" t="n">
        <v>2483</v>
      </c>
    </row>
    <row r="1663">
      <c r="A1663" s="5" t="inlineStr">
        <is>
          <t>Apoyo democracia</t>
        </is>
      </c>
      <c r="B1663" s="5" t="inlineStr">
        <is>
          <t>España</t>
        </is>
      </c>
      <c r="C1663" s="5" t="n">
        <v>2010</v>
      </c>
      <c r="D1663" s="5" t="inlineStr">
        <is>
          <t>Gobierno Autoritario</t>
        </is>
      </c>
      <c r="E1663" s="6" t="n">
        <v>0.066</v>
      </c>
      <c r="F1663" s="7" t="n">
        <v>2483</v>
      </c>
    </row>
    <row r="1664">
      <c r="A1664" s="5" t="inlineStr">
        <is>
          <t>Apoyo democracia</t>
        </is>
      </c>
      <c r="B1664" s="5" t="inlineStr">
        <is>
          <t>España</t>
        </is>
      </c>
      <c r="C1664" s="5" t="n">
        <v>2010</v>
      </c>
      <c r="D1664" s="5" t="inlineStr">
        <is>
          <t>Da lo mismo</t>
        </is>
      </c>
      <c r="E1664" s="6" t="n">
        <v>0.098</v>
      </c>
      <c r="F1664" s="7" t="n">
        <v>2483</v>
      </c>
    </row>
    <row r="1665">
      <c r="A1665" s="5" t="inlineStr">
        <is>
          <t>Apoyo democracia</t>
        </is>
      </c>
      <c r="B1665" s="5" t="inlineStr">
        <is>
          <t>España</t>
        </is>
      </c>
      <c r="C1665" s="5" t="n">
        <v>2010</v>
      </c>
      <c r="D1665" s="5" t="inlineStr">
        <is>
          <t>No sabe</t>
        </is>
      </c>
      <c r="E1665" s="6" t="n">
        <v>0.046</v>
      </c>
      <c r="F1665" s="7" t="n">
        <v>2483</v>
      </c>
    </row>
    <row r="1666">
      <c r="A1666" s="5" t="inlineStr">
        <is>
          <t>Apoyo democracia</t>
        </is>
      </c>
      <c r="B1666" s="5" t="inlineStr">
        <is>
          <t>España</t>
        </is>
      </c>
      <c r="C1666" s="5" t="n">
        <v>2010</v>
      </c>
      <c r="D1666" s="5" t="inlineStr">
        <is>
          <t>No contesta</t>
        </is>
      </c>
      <c r="E1666" s="6" t="n">
        <v>0.006</v>
      </c>
      <c r="F1666" s="7" t="n">
        <v>2483</v>
      </c>
    </row>
    <row r="1667">
      <c r="A1667" s="5" t="inlineStr">
        <is>
          <t>Apoyo democracia</t>
        </is>
      </c>
      <c r="B1667" s="5" t="inlineStr">
        <is>
          <t>Uruguay</t>
        </is>
      </c>
      <c r="C1667" s="5" t="n">
        <v>1995</v>
      </c>
      <c r="D1667" s="5" t="inlineStr">
        <is>
          <t>Democracia</t>
        </is>
      </c>
      <c r="E1667" s="6" t="n">
        <v>0.802</v>
      </c>
      <c r="F1667" s="7" t="n">
        <v>1262</v>
      </c>
    </row>
    <row r="1668">
      <c r="A1668" s="5" t="inlineStr">
        <is>
          <t>Apoyo democracia</t>
        </is>
      </c>
      <c r="B1668" s="5" t="inlineStr">
        <is>
          <t>Uruguay</t>
        </is>
      </c>
      <c r="C1668" s="5" t="n">
        <v>1995</v>
      </c>
      <c r="D1668" s="5" t="inlineStr">
        <is>
          <t>Gobierno Autoritario</t>
        </is>
      </c>
      <c r="E1668" s="6" t="n">
        <v>0.077</v>
      </c>
      <c r="F1668" s="7" t="n">
        <v>1262</v>
      </c>
    </row>
    <row r="1669">
      <c r="A1669" s="5" t="inlineStr">
        <is>
          <t>Apoyo democracia</t>
        </is>
      </c>
      <c r="B1669" s="5" t="inlineStr">
        <is>
          <t>Uruguay</t>
        </is>
      </c>
      <c r="C1669" s="5" t="n">
        <v>1995</v>
      </c>
      <c r="D1669" s="5" t="inlineStr">
        <is>
          <t>Da lo mismo</t>
        </is>
      </c>
      <c r="E1669" s="6" t="n">
        <v>0.058</v>
      </c>
      <c r="F1669" s="7" t="n">
        <v>1262</v>
      </c>
    </row>
    <row r="1670">
      <c r="A1670" s="5" t="inlineStr">
        <is>
          <t>Apoyo democracia</t>
        </is>
      </c>
      <c r="B1670" s="5" t="inlineStr">
        <is>
          <t>Uruguay</t>
        </is>
      </c>
      <c r="C1670" s="5" t="n">
        <v>1995</v>
      </c>
      <c r="D1670" s="5" t="inlineStr">
        <is>
          <t>No sabe</t>
        </is>
      </c>
      <c r="E1670" s="6" t="n">
        <v>0.044</v>
      </c>
      <c r="F1670" s="7" t="n">
        <v>1262</v>
      </c>
    </row>
    <row r="1671">
      <c r="A1671" s="5" t="inlineStr">
        <is>
          <t>Apoyo democracia</t>
        </is>
      </c>
      <c r="B1671" s="5" t="inlineStr">
        <is>
          <t>Uruguay</t>
        </is>
      </c>
      <c r="C1671" s="5" t="n">
        <v>1995</v>
      </c>
      <c r="D1671" s="5" t="inlineStr">
        <is>
          <t>No contesta</t>
        </is>
      </c>
      <c r="E1671" s="6" t="n">
        <v>0.019</v>
      </c>
      <c r="F1671" s="7" t="n">
        <v>1262</v>
      </c>
    </row>
    <row r="1672">
      <c r="A1672" s="5" t="inlineStr">
        <is>
          <t>Apoyo democracia</t>
        </is>
      </c>
      <c r="B1672" s="5" t="inlineStr">
        <is>
          <t>Uruguay</t>
        </is>
      </c>
      <c r="C1672" s="5" t="n">
        <v>1996</v>
      </c>
      <c r="D1672" s="5" t="inlineStr">
        <is>
          <t>Democracia</t>
        </is>
      </c>
      <c r="E1672" s="6" t="n">
        <v>0.8029999999999999</v>
      </c>
      <c r="F1672" s="7" t="n">
        <v>1200</v>
      </c>
    </row>
    <row r="1673">
      <c r="A1673" s="5" t="inlineStr">
        <is>
          <t>Apoyo democracia</t>
        </is>
      </c>
      <c r="B1673" s="5" t="inlineStr">
        <is>
          <t>Uruguay</t>
        </is>
      </c>
      <c r="C1673" s="5" t="n">
        <v>1996</v>
      </c>
      <c r="D1673" s="5" t="inlineStr">
        <is>
          <t>Gobierno Autoritario</t>
        </is>
      </c>
      <c r="E1673" s="6" t="n">
        <v>0.09300000000000001</v>
      </c>
      <c r="F1673" s="7" t="n">
        <v>1200</v>
      </c>
    </row>
    <row r="1674">
      <c r="A1674" s="5" t="inlineStr">
        <is>
          <t>Apoyo democracia</t>
        </is>
      </c>
      <c r="B1674" s="5" t="inlineStr">
        <is>
          <t>Uruguay</t>
        </is>
      </c>
      <c r="C1674" s="5" t="n">
        <v>1996</v>
      </c>
      <c r="D1674" s="5" t="inlineStr">
        <is>
          <t>Da lo mismo</t>
        </is>
      </c>
      <c r="E1674" s="6" t="n">
        <v>0.077</v>
      </c>
      <c r="F1674" s="7" t="n">
        <v>1200</v>
      </c>
    </row>
    <row r="1675">
      <c r="A1675" s="5" t="inlineStr">
        <is>
          <t>Apoyo democracia</t>
        </is>
      </c>
      <c r="B1675" s="5" t="inlineStr">
        <is>
          <t>Uruguay</t>
        </is>
      </c>
      <c r="C1675" s="5" t="n">
        <v>1996</v>
      </c>
      <c r="D1675" s="5" t="inlineStr">
        <is>
          <t>No sabe</t>
        </is>
      </c>
      <c r="E1675" s="6" t="n">
        <v>0.02</v>
      </c>
      <c r="F1675" s="7" t="n">
        <v>1200</v>
      </c>
    </row>
    <row r="1676">
      <c r="A1676" s="5" t="inlineStr">
        <is>
          <t>Apoyo democracia</t>
        </is>
      </c>
      <c r="B1676" s="5" t="inlineStr">
        <is>
          <t>Uruguay</t>
        </is>
      </c>
      <c r="C1676" s="5" t="n">
        <v>1996</v>
      </c>
      <c r="D1676" s="5" t="inlineStr">
        <is>
          <t>No contesta</t>
        </is>
      </c>
      <c r="E1676" s="6" t="n">
        <v>0.008</v>
      </c>
      <c r="F1676" s="7" t="n">
        <v>1200</v>
      </c>
    </row>
    <row r="1677">
      <c r="A1677" s="5" t="inlineStr">
        <is>
          <t>Apoyo democracia</t>
        </is>
      </c>
      <c r="B1677" s="5" t="inlineStr">
        <is>
          <t>Uruguay</t>
        </is>
      </c>
      <c r="C1677" s="5" t="n">
        <v>1997</v>
      </c>
      <c r="D1677" s="5" t="inlineStr">
        <is>
          <t>Democracia</t>
        </is>
      </c>
      <c r="E1677" s="6" t="n">
        <v>0.855</v>
      </c>
      <c r="F1677" s="7" t="n">
        <v>1189</v>
      </c>
    </row>
    <row r="1678">
      <c r="A1678" s="5" t="inlineStr">
        <is>
          <t>Apoyo democracia</t>
        </is>
      </c>
      <c r="B1678" s="5" t="inlineStr">
        <is>
          <t>Uruguay</t>
        </is>
      </c>
      <c r="C1678" s="5" t="n">
        <v>1997</v>
      </c>
      <c r="D1678" s="5" t="inlineStr">
        <is>
          <t>Gobierno Autoritario</t>
        </is>
      </c>
      <c r="E1678" s="6" t="n">
        <v>0.073</v>
      </c>
      <c r="F1678" s="7" t="n">
        <v>1189</v>
      </c>
    </row>
    <row r="1679">
      <c r="A1679" s="5" t="inlineStr">
        <is>
          <t>Apoyo democracia</t>
        </is>
      </c>
      <c r="B1679" s="5" t="inlineStr">
        <is>
          <t>Uruguay</t>
        </is>
      </c>
      <c r="C1679" s="5" t="n">
        <v>1997</v>
      </c>
      <c r="D1679" s="5" t="inlineStr">
        <is>
          <t>Da lo mismo</t>
        </is>
      </c>
      <c r="E1679" s="6" t="n">
        <v>0.048</v>
      </c>
      <c r="F1679" s="7" t="n">
        <v>1189</v>
      </c>
    </row>
    <row r="1680">
      <c r="A1680" s="5" t="inlineStr">
        <is>
          <t>Apoyo democracia</t>
        </is>
      </c>
      <c r="B1680" s="5" t="inlineStr">
        <is>
          <t>Uruguay</t>
        </is>
      </c>
      <c r="C1680" s="5" t="n">
        <v>1997</v>
      </c>
      <c r="D1680" s="5" t="inlineStr">
        <is>
          <t>No sabe</t>
        </is>
      </c>
      <c r="E1680" s="6" t="n">
        <v>0.021</v>
      </c>
      <c r="F1680" s="7" t="n">
        <v>1189</v>
      </c>
    </row>
    <row r="1681">
      <c r="A1681" s="5" t="inlineStr">
        <is>
          <t>Apoyo democracia</t>
        </is>
      </c>
      <c r="B1681" s="5" t="inlineStr">
        <is>
          <t>Uruguay</t>
        </is>
      </c>
      <c r="C1681" s="5" t="n">
        <v>1997</v>
      </c>
      <c r="D1681" s="5" t="inlineStr">
        <is>
          <t>No contesta</t>
        </is>
      </c>
      <c r="E1681" s="6" t="n">
        <v>0.003</v>
      </c>
      <c r="F1681" s="7" t="n">
        <v>1189</v>
      </c>
    </row>
    <row r="1682">
      <c r="A1682" s="5" t="inlineStr">
        <is>
          <t>Apoyo democracia</t>
        </is>
      </c>
      <c r="B1682" s="5" t="inlineStr">
        <is>
          <t>Uruguay</t>
        </is>
      </c>
      <c r="C1682" s="5" t="n">
        <v>1998</v>
      </c>
      <c r="D1682" s="5" t="inlineStr">
        <is>
          <t>Democracia</t>
        </is>
      </c>
      <c r="E1682" s="6" t="n">
        <v>0.805</v>
      </c>
      <c r="F1682" s="7" t="n">
        <v>1199</v>
      </c>
    </row>
    <row r="1683">
      <c r="A1683" s="5" t="inlineStr">
        <is>
          <t>Apoyo democracia</t>
        </is>
      </c>
      <c r="B1683" s="5" t="inlineStr">
        <is>
          <t>Uruguay</t>
        </is>
      </c>
      <c r="C1683" s="5" t="n">
        <v>1998</v>
      </c>
      <c r="D1683" s="5" t="inlineStr">
        <is>
          <t>Gobierno Autoritario</t>
        </is>
      </c>
      <c r="E1683" s="6" t="n">
        <v>0.094</v>
      </c>
      <c r="F1683" s="7" t="n">
        <v>1199</v>
      </c>
    </row>
    <row r="1684">
      <c r="A1684" s="5" t="inlineStr">
        <is>
          <t>Apoyo democracia</t>
        </is>
      </c>
      <c r="B1684" s="5" t="inlineStr">
        <is>
          <t>Uruguay</t>
        </is>
      </c>
      <c r="C1684" s="5" t="n">
        <v>1998</v>
      </c>
      <c r="D1684" s="5" t="inlineStr">
        <is>
          <t>Da lo mismo</t>
        </is>
      </c>
      <c r="E1684" s="6" t="n">
        <v>0.06900000000000001</v>
      </c>
      <c r="F1684" s="7" t="n">
        <v>1199</v>
      </c>
    </row>
    <row r="1685">
      <c r="A1685" s="5" t="inlineStr">
        <is>
          <t>Apoyo democracia</t>
        </is>
      </c>
      <c r="B1685" s="5" t="inlineStr">
        <is>
          <t>Uruguay</t>
        </is>
      </c>
      <c r="C1685" s="5" t="n">
        <v>1998</v>
      </c>
      <c r="D1685" s="5" t="inlineStr">
        <is>
          <t>No sabe</t>
        </is>
      </c>
      <c r="E1685" s="6" t="n">
        <v>0.028</v>
      </c>
      <c r="F1685" s="7" t="n">
        <v>1199</v>
      </c>
    </row>
    <row r="1686">
      <c r="A1686" s="5" t="inlineStr">
        <is>
          <t>Apoyo democracia</t>
        </is>
      </c>
      <c r="B1686" s="5" t="inlineStr">
        <is>
          <t>Uruguay</t>
        </is>
      </c>
      <c r="C1686" s="5" t="n">
        <v>1998</v>
      </c>
      <c r="D1686" s="5" t="inlineStr">
        <is>
          <t>No contesta</t>
        </is>
      </c>
      <c r="E1686" s="6" t="n">
        <v>0.005</v>
      </c>
      <c r="F1686" s="7" t="n">
        <v>1199</v>
      </c>
    </row>
    <row r="1687">
      <c r="A1687" s="5" t="inlineStr">
        <is>
          <t>Apoyo democracia</t>
        </is>
      </c>
      <c r="B1687" s="5" t="inlineStr">
        <is>
          <t>Uruguay</t>
        </is>
      </c>
      <c r="C1687" s="5" t="n">
        <v>2000</v>
      </c>
      <c r="D1687" s="5" t="inlineStr">
        <is>
          <t>Democracia</t>
        </is>
      </c>
      <c r="E1687" s="6" t="n">
        <v>0.826</v>
      </c>
      <c r="F1687" s="7" t="n">
        <v>1200</v>
      </c>
    </row>
    <row r="1688">
      <c r="A1688" s="5" t="inlineStr">
        <is>
          <t>Apoyo democracia</t>
        </is>
      </c>
      <c r="B1688" s="5" t="inlineStr">
        <is>
          <t>Uruguay</t>
        </is>
      </c>
      <c r="C1688" s="5" t="n">
        <v>2000</v>
      </c>
      <c r="D1688" s="5" t="inlineStr">
        <is>
          <t>Gobierno Autoritario</t>
        </is>
      </c>
      <c r="E1688" s="6" t="n">
        <v>0.09300000000000001</v>
      </c>
      <c r="F1688" s="7" t="n">
        <v>1200</v>
      </c>
    </row>
    <row r="1689">
      <c r="A1689" s="5" t="inlineStr">
        <is>
          <t>Apoyo democracia</t>
        </is>
      </c>
      <c r="B1689" s="5" t="inlineStr">
        <is>
          <t>Uruguay</t>
        </is>
      </c>
      <c r="C1689" s="5" t="n">
        <v>2000</v>
      </c>
      <c r="D1689" s="5" t="inlineStr">
        <is>
          <t>Da lo mismo</t>
        </is>
      </c>
      <c r="E1689" s="6" t="n">
        <v>0.061</v>
      </c>
      <c r="F1689" s="7" t="n">
        <v>1200</v>
      </c>
    </row>
    <row r="1690">
      <c r="A1690" s="5" t="inlineStr">
        <is>
          <t>Apoyo democracia</t>
        </is>
      </c>
      <c r="B1690" s="5" t="inlineStr">
        <is>
          <t>Uruguay</t>
        </is>
      </c>
      <c r="C1690" s="5" t="n">
        <v>2000</v>
      </c>
      <c r="D1690" s="5" t="inlineStr">
        <is>
          <t>No sabe</t>
        </is>
      </c>
      <c r="E1690" s="6" t="n">
        <v>0.02</v>
      </c>
      <c r="F1690" s="7" t="n">
        <v>1200</v>
      </c>
    </row>
    <row r="1691">
      <c r="A1691" s="5" t="inlineStr">
        <is>
          <t>Apoyo democracia</t>
        </is>
      </c>
      <c r="B1691" s="5" t="inlineStr">
        <is>
          <t>Uruguay</t>
        </is>
      </c>
      <c r="C1691" s="5" t="n">
        <v>2000</v>
      </c>
      <c r="D1691" s="5" t="inlineStr">
        <is>
          <t>No contesta</t>
        </is>
      </c>
      <c r="E1691" s="6" t="n">
        <v>0.001</v>
      </c>
      <c r="F1691" s="7" t="n">
        <v>1200</v>
      </c>
    </row>
    <row r="1692">
      <c r="A1692" s="5" t="inlineStr">
        <is>
          <t>Apoyo democracia</t>
        </is>
      </c>
      <c r="B1692" s="5" t="inlineStr">
        <is>
          <t>Uruguay</t>
        </is>
      </c>
      <c r="C1692" s="5" t="n">
        <v>2001</v>
      </c>
      <c r="D1692" s="5" t="inlineStr">
        <is>
          <t>Democracia</t>
        </is>
      </c>
      <c r="E1692" s="6" t="n">
        <v>0.7929999999999999</v>
      </c>
      <c r="F1692" s="7" t="n">
        <v>1200</v>
      </c>
    </row>
    <row r="1693">
      <c r="A1693" s="5" t="inlineStr">
        <is>
          <t>Apoyo democracia</t>
        </is>
      </c>
      <c r="B1693" s="5" t="inlineStr">
        <is>
          <t>Uruguay</t>
        </is>
      </c>
      <c r="C1693" s="5" t="n">
        <v>2001</v>
      </c>
      <c r="D1693" s="5" t="inlineStr">
        <is>
          <t>Gobierno Autoritario</t>
        </is>
      </c>
      <c r="E1693" s="6" t="n">
        <v>0.098</v>
      </c>
      <c r="F1693" s="7" t="n">
        <v>1200</v>
      </c>
    </row>
    <row r="1694">
      <c r="A1694" s="5" t="inlineStr">
        <is>
          <t>Apoyo democracia</t>
        </is>
      </c>
      <c r="B1694" s="5" t="inlineStr">
        <is>
          <t>Uruguay</t>
        </is>
      </c>
      <c r="C1694" s="5" t="n">
        <v>2001</v>
      </c>
      <c r="D1694" s="5" t="inlineStr">
        <is>
          <t>Da lo mismo</t>
        </is>
      </c>
      <c r="E1694" s="6" t="n">
        <v>0.08</v>
      </c>
      <c r="F1694" s="7" t="n">
        <v>1200</v>
      </c>
    </row>
    <row r="1695">
      <c r="A1695" s="5" t="inlineStr">
        <is>
          <t>Apoyo democracia</t>
        </is>
      </c>
      <c r="B1695" s="5" t="inlineStr">
        <is>
          <t>Uruguay</t>
        </is>
      </c>
      <c r="C1695" s="5" t="n">
        <v>2001</v>
      </c>
      <c r="D1695" s="5" t="inlineStr">
        <is>
          <t>No sabe</t>
        </is>
      </c>
      <c r="E1695" s="6" t="n">
        <v>0.027</v>
      </c>
      <c r="F1695" s="7" t="n">
        <v>1200</v>
      </c>
    </row>
    <row r="1696">
      <c r="A1696" s="5" t="inlineStr">
        <is>
          <t>Apoyo democracia</t>
        </is>
      </c>
      <c r="B1696" s="5" t="inlineStr">
        <is>
          <t>Uruguay</t>
        </is>
      </c>
      <c r="C1696" s="5" t="n">
        <v>2001</v>
      </c>
      <c r="D1696" s="5" t="inlineStr">
        <is>
          <t>No contesta</t>
        </is>
      </c>
      <c r="E1696" s="6" t="n">
        <v>0.002</v>
      </c>
      <c r="F1696" s="7" t="n">
        <v>1200</v>
      </c>
    </row>
    <row r="1697">
      <c r="A1697" s="5" t="inlineStr">
        <is>
          <t>Apoyo democracia</t>
        </is>
      </c>
      <c r="B1697" s="5" t="inlineStr">
        <is>
          <t>Uruguay</t>
        </is>
      </c>
      <c r="C1697" s="5" t="n">
        <v>2002</v>
      </c>
      <c r="D1697" s="5" t="inlineStr">
        <is>
          <t>Democracia</t>
        </is>
      </c>
      <c r="E1697" s="6" t="n">
        <v>0.765</v>
      </c>
      <c r="F1697" s="7" t="n">
        <v>1187</v>
      </c>
    </row>
    <row r="1698">
      <c r="A1698" s="5" t="inlineStr">
        <is>
          <t>Apoyo democracia</t>
        </is>
      </c>
      <c r="B1698" s="5" t="inlineStr">
        <is>
          <t>Uruguay</t>
        </is>
      </c>
      <c r="C1698" s="5" t="n">
        <v>2002</v>
      </c>
      <c r="D1698" s="5" t="inlineStr">
        <is>
          <t>Gobierno Autoritario</t>
        </is>
      </c>
      <c r="E1698" s="6" t="n">
        <v>0.105</v>
      </c>
      <c r="F1698" s="7" t="n">
        <v>1187</v>
      </c>
    </row>
    <row r="1699">
      <c r="A1699" s="5" t="inlineStr">
        <is>
          <t>Apoyo democracia</t>
        </is>
      </c>
      <c r="B1699" s="5" t="inlineStr">
        <is>
          <t>Uruguay</t>
        </is>
      </c>
      <c r="C1699" s="5" t="n">
        <v>2002</v>
      </c>
      <c r="D1699" s="5" t="inlineStr">
        <is>
          <t>Da lo mismo</t>
        </is>
      </c>
      <c r="E1699" s="6" t="n">
        <v>0.091</v>
      </c>
      <c r="F1699" s="7" t="n">
        <v>1187</v>
      </c>
    </row>
    <row r="1700">
      <c r="A1700" s="5" t="inlineStr">
        <is>
          <t>Apoyo democracia</t>
        </is>
      </c>
      <c r="B1700" s="5" t="inlineStr">
        <is>
          <t>Uruguay</t>
        </is>
      </c>
      <c r="C1700" s="5" t="n">
        <v>2002</v>
      </c>
      <c r="D1700" s="5" t="inlineStr">
        <is>
          <t>No sabe</t>
        </is>
      </c>
      <c r="E1700" s="6" t="n">
        <v>0.032</v>
      </c>
      <c r="F1700" s="7" t="n">
        <v>1187</v>
      </c>
    </row>
    <row r="1701">
      <c r="A1701" s="5" t="inlineStr">
        <is>
          <t>Apoyo democracia</t>
        </is>
      </c>
      <c r="B1701" s="5" t="inlineStr">
        <is>
          <t>Uruguay</t>
        </is>
      </c>
      <c r="C1701" s="5" t="n">
        <v>2002</v>
      </c>
      <c r="D1701" s="5" t="inlineStr">
        <is>
          <t>No contesta</t>
        </is>
      </c>
      <c r="E1701" s="6" t="n">
        <v>0.006999999999999999</v>
      </c>
      <c r="F1701" s="7" t="n">
        <v>1187</v>
      </c>
    </row>
    <row r="1702">
      <c r="A1702" s="5" t="inlineStr">
        <is>
          <t>Apoyo democracia</t>
        </is>
      </c>
      <c r="B1702" s="5" t="inlineStr">
        <is>
          <t>Uruguay</t>
        </is>
      </c>
      <c r="C1702" s="5" t="n">
        <v>2003</v>
      </c>
      <c r="D1702" s="5" t="inlineStr">
        <is>
          <t>Democracia</t>
        </is>
      </c>
      <c r="E1702" s="6" t="n">
        <v>0.7809999999999999</v>
      </c>
      <c r="F1702" s="7" t="n">
        <v>1200</v>
      </c>
    </row>
    <row r="1703">
      <c r="A1703" s="5" t="inlineStr">
        <is>
          <t>Apoyo democracia</t>
        </is>
      </c>
      <c r="B1703" s="5" t="inlineStr">
        <is>
          <t>Uruguay</t>
        </is>
      </c>
      <c r="C1703" s="5" t="n">
        <v>2003</v>
      </c>
      <c r="D1703" s="5" t="inlineStr">
        <is>
          <t>Gobierno Autoritario</t>
        </is>
      </c>
      <c r="E1703" s="6" t="n">
        <v>0.09</v>
      </c>
      <c r="F1703" s="7" t="n">
        <v>1200</v>
      </c>
    </row>
    <row r="1704">
      <c r="A1704" s="5" t="inlineStr">
        <is>
          <t>Apoyo democracia</t>
        </is>
      </c>
      <c r="B1704" s="5" t="inlineStr">
        <is>
          <t>Uruguay</t>
        </is>
      </c>
      <c r="C1704" s="5" t="n">
        <v>2003</v>
      </c>
      <c r="D1704" s="5" t="inlineStr">
        <is>
          <t>Da lo mismo</t>
        </is>
      </c>
      <c r="E1704" s="6" t="n">
        <v>0.106</v>
      </c>
      <c r="F1704" s="7" t="n">
        <v>1200</v>
      </c>
    </row>
    <row r="1705">
      <c r="A1705" s="5" t="inlineStr">
        <is>
          <t>Apoyo democracia</t>
        </is>
      </c>
      <c r="B1705" s="5" t="inlineStr">
        <is>
          <t>Uruguay</t>
        </is>
      </c>
      <c r="C1705" s="5" t="n">
        <v>2003</v>
      </c>
      <c r="D1705" s="5" t="inlineStr">
        <is>
          <t>No sabe</t>
        </is>
      </c>
      <c r="E1705" s="6" t="n">
        <v>0.021</v>
      </c>
      <c r="F1705" s="7" t="n">
        <v>1200</v>
      </c>
    </row>
    <row r="1706">
      <c r="A1706" s="5" t="inlineStr">
        <is>
          <t>Apoyo democracia</t>
        </is>
      </c>
      <c r="B1706" s="5" t="inlineStr">
        <is>
          <t>Uruguay</t>
        </is>
      </c>
      <c r="C1706" s="5" t="n">
        <v>2003</v>
      </c>
      <c r="D1706" s="5" t="inlineStr">
        <is>
          <t>No contesta</t>
        </is>
      </c>
      <c r="E1706" s="6" t="n">
        <v>0.002</v>
      </c>
      <c r="F1706" s="7" t="n">
        <v>1200</v>
      </c>
    </row>
    <row r="1707">
      <c r="A1707" s="5" t="inlineStr">
        <is>
          <t>Apoyo democracia</t>
        </is>
      </c>
      <c r="B1707" s="5" t="inlineStr">
        <is>
          <t>Uruguay</t>
        </is>
      </c>
      <c r="C1707" s="5" t="n">
        <v>2004</v>
      </c>
      <c r="D1707" s="5" t="inlineStr">
        <is>
          <t>Democracia</t>
        </is>
      </c>
      <c r="E1707" s="6" t="n">
        <v>0.777</v>
      </c>
      <c r="F1707" s="7" t="n">
        <v>1200</v>
      </c>
    </row>
    <row r="1708">
      <c r="A1708" s="5" t="inlineStr">
        <is>
          <t>Apoyo democracia</t>
        </is>
      </c>
      <c r="B1708" s="5" t="inlineStr">
        <is>
          <t>Uruguay</t>
        </is>
      </c>
      <c r="C1708" s="5" t="n">
        <v>2004</v>
      </c>
      <c r="D1708" s="5" t="inlineStr">
        <is>
          <t>Gobierno Autoritario</t>
        </is>
      </c>
      <c r="E1708" s="6" t="n">
        <v>0.068</v>
      </c>
      <c r="F1708" s="7" t="n">
        <v>1200</v>
      </c>
    </row>
    <row r="1709">
      <c r="A1709" s="5" t="inlineStr">
        <is>
          <t>Apoyo democracia</t>
        </is>
      </c>
      <c r="B1709" s="5" t="inlineStr">
        <is>
          <t>Uruguay</t>
        </is>
      </c>
      <c r="C1709" s="5" t="n">
        <v>2004</v>
      </c>
      <c r="D1709" s="5" t="inlineStr">
        <is>
          <t>Da lo mismo</t>
        </is>
      </c>
      <c r="E1709" s="6" t="n">
        <v>0.099</v>
      </c>
      <c r="F1709" s="7" t="n">
        <v>1200</v>
      </c>
    </row>
    <row r="1710">
      <c r="A1710" s="5" t="inlineStr">
        <is>
          <t>Apoyo democracia</t>
        </is>
      </c>
      <c r="B1710" s="5" t="inlineStr">
        <is>
          <t>Uruguay</t>
        </is>
      </c>
      <c r="C1710" s="5" t="n">
        <v>2004</v>
      </c>
      <c r="D1710" s="5" t="inlineStr">
        <is>
          <t>No sabe</t>
        </is>
      </c>
      <c r="E1710" s="6" t="n">
        <v>0.055</v>
      </c>
      <c r="F1710" s="7" t="n">
        <v>1200</v>
      </c>
    </row>
    <row r="1711">
      <c r="A1711" s="5" t="inlineStr">
        <is>
          <t>Apoyo democracia</t>
        </is>
      </c>
      <c r="B1711" s="5" t="inlineStr">
        <is>
          <t>Uruguay</t>
        </is>
      </c>
      <c r="C1711" s="5" t="n">
        <v>2004</v>
      </c>
      <c r="D1711" s="5" t="inlineStr">
        <is>
          <t>No contesta</t>
        </is>
      </c>
      <c r="E1711" s="6" t="n">
        <v>0.001</v>
      </c>
      <c r="F1711" s="7" t="n">
        <v>1200</v>
      </c>
    </row>
    <row r="1712">
      <c r="A1712" s="5" t="inlineStr">
        <is>
          <t>Apoyo democracia</t>
        </is>
      </c>
      <c r="B1712" s="5" t="inlineStr">
        <is>
          <t>Uruguay</t>
        </is>
      </c>
      <c r="C1712" s="5" t="n">
        <v>2005</v>
      </c>
      <c r="D1712" s="5" t="inlineStr">
        <is>
          <t>Democracia</t>
        </is>
      </c>
      <c r="E1712" s="6" t="n">
        <v>0.7659999999999999</v>
      </c>
      <c r="F1712" s="7" t="n">
        <v>1200</v>
      </c>
    </row>
    <row r="1713">
      <c r="A1713" s="5" t="inlineStr">
        <is>
          <t>Apoyo democracia</t>
        </is>
      </c>
      <c r="B1713" s="5" t="inlineStr">
        <is>
          <t>Uruguay</t>
        </is>
      </c>
      <c r="C1713" s="5" t="n">
        <v>2005</v>
      </c>
      <c r="D1713" s="5" t="inlineStr">
        <is>
          <t>Gobierno Autoritario</t>
        </is>
      </c>
      <c r="E1713" s="6" t="n">
        <v>0.09699999999999999</v>
      </c>
      <c r="F1713" s="7" t="n">
        <v>1200</v>
      </c>
    </row>
    <row r="1714">
      <c r="A1714" s="5" t="inlineStr">
        <is>
          <t>Apoyo democracia</t>
        </is>
      </c>
      <c r="B1714" s="5" t="inlineStr">
        <is>
          <t>Uruguay</t>
        </is>
      </c>
      <c r="C1714" s="5" t="n">
        <v>2005</v>
      </c>
      <c r="D1714" s="5" t="inlineStr">
        <is>
          <t>Da lo mismo</t>
        </is>
      </c>
      <c r="E1714" s="6" t="n">
        <v>0.073</v>
      </c>
      <c r="F1714" s="7" t="n">
        <v>1200</v>
      </c>
    </row>
    <row r="1715">
      <c r="A1715" s="5" t="inlineStr">
        <is>
          <t>Apoyo democracia</t>
        </is>
      </c>
      <c r="B1715" s="5" t="inlineStr">
        <is>
          <t>Uruguay</t>
        </is>
      </c>
      <c r="C1715" s="5" t="n">
        <v>2005</v>
      </c>
      <c r="D1715" s="5" t="inlineStr">
        <is>
          <t>No sabe</t>
        </is>
      </c>
      <c r="E1715" s="6" t="n">
        <v>0.059</v>
      </c>
      <c r="F1715" s="7" t="n">
        <v>1200</v>
      </c>
    </row>
    <row r="1716">
      <c r="A1716" s="5" t="inlineStr">
        <is>
          <t>Apoyo democracia</t>
        </is>
      </c>
      <c r="B1716" s="5" t="inlineStr">
        <is>
          <t>Uruguay</t>
        </is>
      </c>
      <c r="C1716" s="5" t="n">
        <v>2005</v>
      </c>
      <c r="D1716" s="5" t="inlineStr">
        <is>
          <t>No contesta</t>
        </is>
      </c>
      <c r="E1716" s="6" t="n">
        <v>0.005</v>
      </c>
      <c r="F1716" s="7" t="n">
        <v>1200</v>
      </c>
    </row>
    <row r="1717">
      <c r="A1717" s="5" t="inlineStr">
        <is>
          <t>Apoyo democracia</t>
        </is>
      </c>
      <c r="B1717" s="5" t="inlineStr">
        <is>
          <t>Uruguay</t>
        </is>
      </c>
      <c r="C1717" s="5" t="n">
        <v>2006</v>
      </c>
      <c r="D1717" s="5" t="inlineStr">
        <is>
          <t>Democracia</t>
        </is>
      </c>
      <c r="E1717" s="6" t="n">
        <v>0.765</v>
      </c>
      <c r="F1717" s="7" t="n">
        <v>1200</v>
      </c>
    </row>
    <row r="1718">
      <c r="A1718" s="5" t="inlineStr">
        <is>
          <t>Apoyo democracia</t>
        </is>
      </c>
      <c r="B1718" s="5" t="inlineStr">
        <is>
          <t>Uruguay</t>
        </is>
      </c>
      <c r="C1718" s="5" t="n">
        <v>2006</v>
      </c>
      <c r="D1718" s="5" t="inlineStr">
        <is>
          <t>Gobierno Autoritario</t>
        </is>
      </c>
      <c r="E1718" s="6" t="n">
        <v>0.094</v>
      </c>
      <c r="F1718" s="7" t="n">
        <v>1200</v>
      </c>
    </row>
    <row r="1719">
      <c r="A1719" s="5" t="inlineStr">
        <is>
          <t>Apoyo democracia</t>
        </is>
      </c>
      <c r="B1719" s="5" t="inlineStr">
        <is>
          <t>Uruguay</t>
        </is>
      </c>
      <c r="C1719" s="5" t="n">
        <v>2006</v>
      </c>
      <c r="D1719" s="5" t="inlineStr">
        <is>
          <t>Da lo mismo</t>
        </is>
      </c>
      <c r="E1719" s="6" t="n">
        <v>0.091</v>
      </c>
      <c r="F1719" s="7" t="n">
        <v>1200</v>
      </c>
    </row>
    <row r="1720">
      <c r="A1720" s="5" t="inlineStr">
        <is>
          <t>Apoyo democracia</t>
        </is>
      </c>
      <c r="B1720" s="5" t="inlineStr">
        <is>
          <t>Uruguay</t>
        </is>
      </c>
      <c r="C1720" s="5" t="n">
        <v>2006</v>
      </c>
      <c r="D1720" s="5" t="inlineStr">
        <is>
          <t>No sabe</t>
        </is>
      </c>
      <c r="E1720" s="6" t="n">
        <v>0.042</v>
      </c>
      <c r="F1720" s="7" t="n">
        <v>1200</v>
      </c>
    </row>
    <row r="1721">
      <c r="A1721" s="5" t="inlineStr">
        <is>
          <t>Apoyo democracia</t>
        </is>
      </c>
      <c r="B1721" s="5" t="inlineStr">
        <is>
          <t>Uruguay</t>
        </is>
      </c>
      <c r="C1721" s="5" t="n">
        <v>2006</v>
      </c>
      <c r="D1721" s="5" t="inlineStr">
        <is>
          <t>No contesta</t>
        </is>
      </c>
      <c r="E1721" s="6" t="n">
        <v>0.008</v>
      </c>
      <c r="F1721" s="7" t="n">
        <v>1200</v>
      </c>
    </row>
    <row r="1722">
      <c r="A1722" s="5" t="inlineStr">
        <is>
          <t>Apoyo democracia</t>
        </is>
      </c>
      <c r="B1722" s="5" t="inlineStr">
        <is>
          <t>Uruguay</t>
        </is>
      </c>
      <c r="C1722" s="5" t="n">
        <v>2007</v>
      </c>
      <c r="D1722" s="5" t="inlineStr">
        <is>
          <t>Democracia</t>
        </is>
      </c>
      <c r="E1722" s="6" t="n">
        <v>0.7509999999999999</v>
      </c>
      <c r="F1722" s="7" t="n">
        <v>1200</v>
      </c>
    </row>
    <row r="1723">
      <c r="A1723" s="5" t="inlineStr">
        <is>
          <t>Apoyo democracia</t>
        </is>
      </c>
      <c r="B1723" s="5" t="inlineStr">
        <is>
          <t>Uruguay</t>
        </is>
      </c>
      <c r="C1723" s="5" t="n">
        <v>2007</v>
      </c>
      <c r="D1723" s="5" t="inlineStr">
        <is>
          <t>Gobierno Autoritario</t>
        </is>
      </c>
      <c r="E1723" s="6" t="n">
        <v>0.102</v>
      </c>
      <c r="F1723" s="7" t="n">
        <v>1200</v>
      </c>
    </row>
    <row r="1724">
      <c r="A1724" s="5" t="inlineStr">
        <is>
          <t>Apoyo democracia</t>
        </is>
      </c>
      <c r="B1724" s="5" t="inlineStr">
        <is>
          <t>Uruguay</t>
        </is>
      </c>
      <c r="C1724" s="5" t="n">
        <v>2007</v>
      </c>
      <c r="D1724" s="5" t="inlineStr">
        <is>
          <t>Da lo mismo</t>
        </is>
      </c>
      <c r="E1724" s="6" t="n">
        <v>0.109</v>
      </c>
      <c r="F1724" s="7" t="n">
        <v>1200</v>
      </c>
    </row>
    <row r="1725">
      <c r="A1725" s="5" t="inlineStr">
        <is>
          <t>Apoyo democracia</t>
        </is>
      </c>
      <c r="B1725" s="5" t="inlineStr">
        <is>
          <t>Uruguay</t>
        </is>
      </c>
      <c r="C1725" s="5" t="n">
        <v>2007</v>
      </c>
      <c r="D1725" s="5" t="inlineStr">
        <is>
          <t>No sabe</t>
        </is>
      </c>
      <c r="E1725" s="6" t="n">
        <v>0.032</v>
      </c>
      <c r="F1725" s="7" t="n">
        <v>1200</v>
      </c>
    </row>
    <row r="1726">
      <c r="A1726" s="5" t="inlineStr">
        <is>
          <t>Apoyo democracia</t>
        </is>
      </c>
      <c r="B1726" s="5" t="inlineStr">
        <is>
          <t>Uruguay</t>
        </is>
      </c>
      <c r="C1726" s="5" t="n">
        <v>2007</v>
      </c>
      <c r="D1726" s="5" t="inlineStr">
        <is>
          <t>No contesta</t>
        </is>
      </c>
      <c r="E1726" s="6" t="n">
        <v>0.006999999999999999</v>
      </c>
      <c r="F1726" s="7" t="n">
        <v>1200</v>
      </c>
    </row>
    <row r="1727">
      <c r="A1727" s="5" t="inlineStr">
        <is>
          <t>Apoyo democracia</t>
        </is>
      </c>
      <c r="B1727" s="5" t="inlineStr">
        <is>
          <t>Uruguay</t>
        </is>
      </c>
      <c r="C1727" s="5" t="n">
        <v>2008</v>
      </c>
      <c r="D1727" s="5" t="inlineStr">
        <is>
          <t>Democracia</t>
        </is>
      </c>
      <c r="E1727" s="6" t="n">
        <v>0.785</v>
      </c>
      <c r="F1727" s="7" t="n">
        <v>1200</v>
      </c>
    </row>
    <row r="1728">
      <c r="A1728" s="5" t="inlineStr">
        <is>
          <t>Apoyo democracia</t>
        </is>
      </c>
      <c r="B1728" s="5" t="inlineStr">
        <is>
          <t>Uruguay</t>
        </is>
      </c>
      <c r="C1728" s="5" t="n">
        <v>2008</v>
      </c>
      <c r="D1728" s="5" t="inlineStr">
        <is>
          <t>Gobierno Autoritario</t>
        </is>
      </c>
      <c r="E1728" s="6" t="n">
        <v>0.06</v>
      </c>
      <c r="F1728" s="7" t="n">
        <v>1200</v>
      </c>
    </row>
    <row r="1729">
      <c r="A1729" s="5" t="inlineStr">
        <is>
          <t>Apoyo democracia</t>
        </is>
      </c>
      <c r="B1729" s="5" t="inlineStr">
        <is>
          <t>Uruguay</t>
        </is>
      </c>
      <c r="C1729" s="5" t="n">
        <v>2008</v>
      </c>
      <c r="D1729" s="5" t="inlineStr">
        <is>
          <t>Da lo mismo</t>
        </is>
      </c>
      <c r="E1729" s="6" t="n">
        <v>0.113</v>
      </c>
      <c r="F1729" s="7" t="n">
        <v>1200</v>
      </c>
    </row>
    <row r="1730">
      <c r="A1730" s="5" t="inlineStr">
        <is>
          <t>Apoyo democracia</t>
        </is>
      </c>
      <c r="B1730" s="5" t="inlineStr">
        <is>
          <t>Uruguay</t>
        </is>
      </c>
      <c r="C1730" s="5" t="n">
        <v>2008</v>
      </c>
      <c r="D1730" s="5" t="inlineStr">
        <is>
          <t>No sabe</t>
        </is>
      </c>
      <c r="E1730" s="6" t="n">
        <v>0.036</v>
      </c>
      <c r="F1730" s="7" t="n">
        <v>1200</v>
      </c>
    </row>
    <row r="1731">
      <c r="A1731" s="5" t="inlineStr">
        <is>
          <t>Apoyo democracia</t>
        </is>
      </c>
      <c r="B1731" s="5" t="inlineStr">
        <is>
          <t>Uruguay</t>
        </is>
      </c>
      <c r="C1731" s="5" t="n">
        <v>2008</v>
      </c>
      <c r="D1731" s="5" t="inlineStr">
        <is>
          <t>No contesta</t>
        </is>
      </c>
      <c r="E1731" s="6" t="n">
        <v>0.006</v>
      </c>
      <c r="F1731" s="7" t="n">
        <v>1200</v>
      </c>
    </row>
    <row r="1732">
      <c r="A1732" s="5" t="inlineStr">
        <is>
          <t>Apoyo democracia</t>
        </is>
      </c>
      <c r="B1732" s="5" t="inlineStr">
        <is>
          <t>Uruguay</t>
        </is>
      </c>
      <c r="C1732" s="5" t="n">
        <v>2009</v>
      </c>
      <c r="D1732" s="5" t="inlineStr">
        <is>
          <t>Democracia</t>
        </is>
      </c>
      <c r="E1732" s="6" t="n">
        <v>0.8149999999999999</v>
      </c>
      <c r="F1732" s="7" t="n">
        <v>1200</v>
      </c>
    </row>
    <row r="1733">
      <c r="A1733" s="5" t="inlineStr">
        <is>
          <t>Apoyo democracia</t>
        </is>
      </c>
      <c r="B1733" s="5" t="inlineStr">
        <is>
          <t>Uruguay</t>
        </is>
      </c>
      <c r="C1733" s="5" t="n">
        <v>2009</v>
      </c>
      <c r="D1733" s="5" t="inlineStr">
        <is>
          <t>Gobierno Autoritario</t>
        </is>
      </c>
      <c r="E1733" s="6" t="n">
        <v>0.079</v>
      </c>
      <c r="F1733" s="7" t="n">
        <v>1200</v>
      </c>
    </row>
    <row r="1734">
      <c r="A1734" s="5" t="inlineStr">
        <is>
          <t>Apoyo democracia</t>
        </is>
      </c>
      <c r="B1734" s="5" t="inlineStr">
        <is>
          <t>Uruguay</t>
        </is>
      </c>
      <c r="C1734" s="5" t="n">
        <v>2009</v>
      </c>
      <c r="D1734" s="5" t="inlineStr">
        <is>
          <t>Da lo mismo</t>
        </is>
      </c>
      <c r="E1734" s="6" t="n">
        <v>0.066</v>
      </c>
      <c r="F1734" s="7" t="n">
        <v>1200</v>
      </c>
    </row>
    <row r="1735">
      <c r="A1735" s="5" t="inlineStr">
        <is>
          <t>Apoyo democracia</t>
        </is>
      </c>
      <c r="B1735" s="5" t="inlineStr">
        <is>
          <t>Uruguay</t>
        </is>
      </c>
      <c r="C1735" s="5" t="n">
        <v>2009</v>
      </c>
      <c r="D1735" s="5" t="inlineStr">
        <is>
          <t>No sabe</t>
        </is>
      </c>
      <c r="E1735" s="6" t="n">
        <v>0.038</v>
      </c>
      <c r="F1735" s="7" t="n">
        <v>1200</v>
      </c>
    </row>
    <row r="1736">
      <c r="A1736" s="5" t="inlineStr">
        <is>
          <t>Apoyo democracia</t>
        </is>
      </c>
      <c r="B1736" s="5" t="inlineStr">
        <is>
          <t>Uruguay</t>
        </is>
      </c>
      <c r="C1736" s="5" t="n">
        <v>2009</v>
      </c>
      <c r="D1736" s="5" t="inlineStr">
        <is>
          <t>No contesta</t>
        </is>
      </c>
      <c r="E1736" s="6" t="n">
        <v>0.002</v>
      </c>
      <c r="F1736" s="7" t="n">
        <v>1200</v>
      </c>
    </row>
    <row r="1737">
      <c r="A1737" s="5" t="inlineStr">
        <is>
          <t>Apoyo democracia</t>
        </is>
      </c>
      <c r="B1737" s="5" t="inlineStr">
        <is>
          <t>Uruguay</t>
        </is>
      </c>
      <c r="C1737" s="5" t="n">
        <v>2010</v>
      </c>
      <c r="D1737" s="5" t="inlineStr">
        <is>
          <t>Democracia</t>
        </is>
      </c>
      <c r="E1737" s="6" t="n">
        <v>0.75</v>
      </c>
      <c r="F1737" s="7" t="n">
        <v>1200</v>
      </c>
    </row>
    <row r="1738">
      <c r="A1738" s="5" t="inlineStr">
        <is>
          <t>Apoyo democracia</t>
        </is>
      </c>
      <c r="B1738" s="5" t="inlineStr">
        <is>
          <t>Uruguay</t>
        </is>
      </c>
      <c r="C1738" s="5" t="n">
        <v>2010</v>
      </c>
      <c r="D1738" s="5" t="inlineStr">
        <is>
          <t>Gobierno Autoritario</t>
        </is>
      </c>
      <c r="E1738" s="6" t="n">
        <v>0.153</v>
      </c>
      <c r="F1738" s="7" t="n">
        <v>1200</v>
      </c>
    </row>
    <row r="1739">
      <c r="A1739" s="5" t="inlineStr">
        <is>
          <t>Apoyo democracia</t>
        </is>
      </c>
      <c r="B1739" s="5" t="inlineStr">
        <is>
          <t>Uruguay</t>
        </is>
      </c>
      <c r="C1739" s="5" t="n">
        <v>2010</v>
      </c>
      <c r="D1739" s="5" t="inlineStr">
        <is>
          <t>Da lo mismo</t>
        </is>
      </c>
      <c r="E1739" s="6" t="n">
        <v>0.059</v>
      </c>
      <c r="F1739" s="7" t="n">
        <v>1200</v>
      </c>
    </row>
    <row r="1740">
      <c r="A1740" s="5" t="inlineStr">
        <is>
          <t>Apoyo democracia</t>
        </is>
      </c>
      <c r="B1740" s="5" t="inlineStr">
        <is>
          <t>Uruguay</t>
        </is>
      </c>
      <c r="C1740" s="5" t="n">
        <v>2010</v>
      </c>
      <c r="D1740" s="5" t="inlineStr">
        <is>
          <t>No sabe</t>
        </is>
      </c>
      <c r="E1740" s="6" t="n">
        <v>0.029</v>
      </c>
      <c r="F1740" s="7" t="n">
        <v>1200</v>
      </c>
    </row>
    <row r="1741">
      <c r="A1741" s="5" t="inlineStr">
        <is>
          <t>Apoyo democracia</t>
        </is>
      </c>
      <c r="B1741" s="5" t="inlineStr">
        <is>
          <t>Uruguay</t>
        </is>
      </c>
      <c r="C1741" s="5" t="n">
        <v>2010</v>
      </c>
      <c r="D1741" s="5" t="inlineStr">
        <is>
          <t>No contesta</t>
        </is>
      </c>
      <c r="E1741" s="6" t="n">
        <v>0.009000000000000001</v>
      </c>
      <c r="F1741" s="7" t="n">
        <v>1200</v>
      </c>
    </row>
    <row r="1742">
      <c r="A1742" s="5" t="inlineStr">
        <is>
          <t>Apoyo democracia</t>
        </is>
      </c>
      <c r="B1742" s="5" t="inlineStr">
        <is>
          <t>Uruguay</t>
        </is>
      </c>
      <c r="C1742" s="5" t="n">
        <v>2011</v>
      </c>
      <c r="D1742" s="5" t="inlineStr">
        <is>
          <t>Democracia</t>
        </is>
      </c>
      <c r="E1742" s="6" t="n">
        <v>0.752</v>
      </c>
      <c r="F1742" s="7" t="n">
        <v>1200</v>
      </c>
    </row>
    <row r="1743">
      <c r="A1743" s="5" t="inlineStr">
        <is>
          <t>Apoyo democracia</t>
        </is>
      </c>
      <c r="B1743" s="5" t="inlineStr">
        <is>
          <t>Uruguay</t>
        </is>
      </c>
      <c r="C1743" s="5" t="n">
        <v>2011</v>
      </c>
      <c r="D1743" s="5" t="inlineStr">
        <is>
          <t>Gobierno Autoritario</t>
        </is>
      </c>
      <c r="E1743" s="6" t="n">
        <v>0.114</v>
      </c>
      <c r="F1743" s="7" t="n">
        <v>1200</v>
      </c>
    </row>
    <row r="1744">
      <c r="A1744" s="5" t="inlineStr">
        <is>
          <t>Apoyo democracia</t>
        </is>
      </c>
      <c r="B1744" s="5" t="inlineStr">
        <is>
          <t>Uruguay</t>
        </is>
      </c>
      <c r="C1744" s="5" t="n">
        <v>2011</v>
      </c>
      <c r="D1744" s="5" t="inlineStr">
        <is>
          <t>Da lo mismo</t>
        </is>
      </c>
      <c r="E1744" s="6" t="n">
        <v>0.08800000000000001</v>
      </c>
      <c r="F1744" s="7" t="n">
        <v>1200</v>
      </c>
    </row>
    <row r="1745">
      <c r="A1745" s="5" t="inlineStr">
        <is>
          <t>Apoyo democracia</t>
        </is>
      </c>
      <c r="B1745" s="5" t="inlineStr">
        <is>
          <t>Uruguay</t>
        </is>
      </c>
      <c r="C1745" s="5" t="n">
        <v>2011</v>
      </c>
      <c r="D1745" s="5" t="inlineStr">
        <is>
          <t>No sabe</t>
        </is>
      </c>
      <c r="E1745" s="6" t="n">
        <v>0.042</v>
      </c>
      <c r="F1745" s="7" t="n">
        <v>1200</v>
      </c>
    </row>
    <row r="1746">
      <c r="A1746" s="5" t="inlineStr">
        <is>
          <t>Apoyo democracia</t>
        </is>
      </c>
      <c r="B1746" s="5" t="inlineStr">
        <is>
          <t>Uruguay</t>
        </is>
      </c>
      <c r="C1746" s="5" t="n">
        <v>2011</v>
      </c>
      <c r="D1746" s="5" t="inlineStr">
        <is>
          <t>No contesta</t>
        </is>
      </c>
      <c r="E1746" s="6" t="n">
        <v>0.005</v>
      </c>
      <c r="F1746" s="7" t="n">
        <v>1200</v>
      </c>
    </row>
    <row r="1747">
      <c r="A1747" s="5" t="inlineStr">
        <is>
          <t>Apoyo democracia</t>
        </is>
      </c>
      <c r="B1747" s="5" t="inlineStr">
        <is>
          <t>Uruguay</t>
        </is>
      </c>
      <c r="C1747" s="5" t="n">
        <v>2016</v>
      </c>
      <c r="D1747" s="5" t="inlineStr">
        <is>
          <t>Democracia</t>
        </is>
      </c>
      <c r="E1747" s="6" t="n">
        <v>0.6809999999999999</v>
      </c>
      <c r="F1747" s="7" t="n">
        <v>1200</v>
      </c>
    </row>
    <row r="1748">
      <c r="A1748" s="5" t="inlineStr">
        <is>
          <t>Apoyo democracia</t>
        </is>
      </c>
      <c r="B1748" s="5" t="inlineStr">
        <is>
          <t>Uruguay</t>
        </is>
      </c>
      <c r="C1748" s="5" t="n">
        <v>2016</v>
      </c>
      <c r="D1748" s="5" t="inlineStr">
        <is>
          <t>Gobierno Autoritario</t>
        </is>
      </c>
      <c r="E1748" s="6" t="n">
        <v>0.117</v>
      </c>
      <c r="F1748" s="7" t="n">
        <v>1200</v>
      </c>
    </row>
    <row r="1749">
      <c r="A1749" s="5" t="inlineStr">
        <is>
          <t>Apoyo democracia</t>
        </is>
      </c>
      <c r="B1749" s="5" t="inlineStr">
        <is>
          <t>Uruguay</t>
        </is>
      </c>
      <c r="C1749" s="5" t="n">
        <v>2016</v>
      </c>
      <c r="D1749" s="5" t="inlineStr">
        <is>
          <t>Da lo mismo</t>
        </is>
      </c>
      <c r="E1749" s="6" t="n">
        <v>0.158</v>
      </c>
      <c r="F1749" s="7" t="n">
        <v>1200</v>
      </c>
    </row>
    <row r="1750">
      <c r="A1750" s="5" t="inlineStr">
        <is>
          <t>Apoyo democracia</t>
        </is>
      </c>
      <c r="B1750" s="5" t="inlineStr">
        <is>
          <t>Uruguay</t>
        </is>
      </c>
      <c r="C1750" s="5" t="n">
        <v>2016</v>
      </c>
      <c r="D1750" s="5" t="inlineStr">
        <is>
          <t>No sabe</t>
        </is>
      </c>
      <c r="E1750" s="6" t="n">
        <v>0.04</v>
      </c>
      <c r="F1750" s="7" t="n">
        <v>1200</v>
      </c>
    </row>
    <row r="1751">
      <c r="A1751" s="5" t="inlineStr">
        <is>
          <t>Apoyo democracia</t>
        </is>
      </c>
      <c r="B1751" s="5" t="inlineStr">
        <is>
          <t>Uruguay</t>
        </is>
      </c>
      <c r="C1751" s="5" t="n">
        <v>2016</v>
      </c>
      <c r="D1751" s="5" t="inlineStr">
        <is>
          <t>No contesta</t>
        </is>
      </c>
      <c r="E1751" s="6" t="n">
        <v>0.005</v>
      </c>
      <c r="F1751" s="7" t="n">
        <v>1200</v>
      </c>
    </row>
    <row r="1752">
      <c r="A1752" s="5" t="inlineStr">
        <is>
          <t>Apoyo democracia</t>
        </is>
      </c>
      <c r="B1752" s="5" t="inlineStr">
        <is>
          <t>Uruguay</t>
        </is>
      </c>
      <c r="C1752" s="5" t="n">
        <v>2017</v>
      </c>
      <c r="D1752" s="5" t="inlineStr">
        <is>
          <t>Democracia</t>
        </is>
      </c>
      <c r="E1752" s="6" t="n">
        <v>0.696</v>
      </c>
      <c r="F1752" s="7" t="n">
        <v>1200</v>
      </c>
    </row>
    <row r="1753">
      <c r="A1753" s="5" t="inlineStr">
        <is>
          <t>Apoyo democracia</t>
        </is>
      </c>
      <c r="B1753" s="5" t="inlineStr">
        <is>
          <t>Uruguay</t>
        </is>
      </c>
      <c r="C1753" s="5" t="n">
        <v>2017</v>
      </c>
      <c r="D1753" s="5" t="inlineStr">
        <is>
          <t>Gobierno Autoritario</t>
        </is>
      </c>
      <c r="E1753" s="6" t="n">
        <v>0.133</v>
      </c>
      <c r="F1753" s="7" t="n">
        <v>1200</v>
      </c>
    </row>
    <row r="1754">
      <c r="A1754" s="5" t="inlineStr">
        <is>
          <t>Apoyo democracia</t>
        </is>
      </c>
      <c r="B1754" s="5" t="inlineStr">
        <is>
          <t>Uruguay</t>
        </is>
      </c>
      <c r="C1754" s="5" t="n">
        <v>2017</v>
      </c>
      <c r="D1754" s="5" t="inlineStr">
        <is>
          <t>Da lo mismo</t>
        </is>
      </c>
      <c r="E1754" s="6" t="n">
        <v>0.126</v>
      </c>
      <c r="F1754" s="7" t="n">
        <v>1200</v>
      </c>
    </row>
    <row r="1755">
      <c r="A1755" s="5" t="inlineStr">
        <is>
          <t>Apoyo democracia</t>
        </is>
      </c>
      <c r="B1755" s="5" t="inlineStr">
        <is>
          <t>Uruguay</t>
        </is>
      </c>
      <c r="C1755" s="5" t="n">
        <v>2017</v>
      </c>
      <c r="D1755" s="5" t="inlineStr">
        <is>
          <t>No sabe</t>
        </is>
      </c>
      <c r="E1755" s="6" t="n">
        <v>0.036</v>
      </c>
      <c r="F1755" s="7" t="n">
        <v>1200</v>
      </c>
    </row>
    <row r="1756">
      <c r="A1756" s="5" t="inlineStr">
        <is>
          <t>Apoyo democracia</t>
        </is>
      </c>
      <c r="B1756" s="5" t="inlineStr">
        <is>
          <t>Uruguay</t>
        </is>
      </c>
      <c r="C1756" s="5" t="n">
        <v>2017</v>
      </c>
      <c r="D1756" s="5" t="inlineStr">
        <is>
          <t>No contesta</t>
        </is>
      </c>
      <c r="E1756" s="6" t="n">
        <v>0.009000000000000001</v>
      </c>
      <c r="F1756" s="7" t="n">
        <v>1200</v>
      </c>
    </row>
    <row r="1757">
      <c r="A1757" s="5" t="inlineStr">
        <is>
          <t>Apoyo democracia</t>
        </is>
      </c>
      <c r="B1757" s="5" t="inlineStr">
        <is>
          <t>Uruguay</t>
        </is>
      </c>
      <c r="C1757" s="5" t="n">
        <v>2018</v>
      </c>
      <c r="D1757" s="5" t="inlineStr">
        <is>
          <t>Democracia</t>
        </is>
      </c>
      <c r="E1757" s="6" t="n">
        <v>0.608</v>
      </c>
      <c r="F1757" s="7" t="n">
        <v>1200</v>
      </c>
    </row>
    <row r="1758">
      <c r="A1758" s="5" t="inlineStr">
        <is>
          <t>Apoyo democracia</t>
        </is>
      </c>
      <c r="B1758" s="5" t="inlineStr">
        <is>
          <t>Uruguay</t>
        </is>
      </c>
      <c r="C1758" s="5" t="n">
        <v>2018</v>
      </c>
      <c r="D1758" s="5" t="inlineStr">
        <is>
          <t>Gobierno Autoritario</t>
        </is>
      </c>
      <c r="E1758" s="6" t="n">
        <v>0.155</v>
      </c>
      <c r="F1758" s="7" t="n">
        <v>1200</v>
      </c>
    </row>
    <row r="1759">
      <c r="A1759" s="5" t="inlineStr">
        <is>
          <t>Apoyo democracia</t>
        </is>
      </c>
      <c r="B1759" s="5" t="inlineStr">
        <is>
          <t>Uruguay</t>
        </is>
      </c>
      <c r="C1759" s="5" t="n">
        <v>2018</v>
      </c>
      <c r="D1759" s="5" t="inlineStr">
        <is>
          <t>Da lo mismo</t>
        </is>
      </c>
      <c r="E1759" s="6" t="n">
        <v>0.179</v>
      </c>
      <c r="F1759" s="7" t="n">
        <v>1200</v>
      </c>
    </row>
    <row r="1760">
      <c r="A1760" s="5" t="inlineStr">
        <is>
          <t>Apoyo democracia</t>
        </is>
      </c>
      <c r="B1760" s="5" t="inlineStr">
        <is>
          <t>Uruguay</t>
        </is>
      </c>
      <c r="C1760" s="5" t="n">
        <v>2018</v>
      </c>
      <c r="D1760" s="5" t="inlineStr">
        <is>
          <t>No sabe</t>
        </is>
      </c>
      <c r="E1760" s="6" t="n">
        <v>0.04099999999999999</v>
      </c>
      <c r="F1760" s="7" t="n">
        <v>1200</v>
      </c>
    </row>
    <row r="1761">
      <c r="A1761" s="5" t="inlineStr">
        <is>
          <t>Apoyo democracia</t>
        </is>
      </c>
      <c r="B1761" s="5" t="inlineStr">
        <is>
          <t>Uruguay</t>
        </is>
      </c>
      <c r="C1761" s="5" t="n">
        <v>2018</v>
      </c>
      <c r="D1761" s="5" t="inlineStr">
        <is>
          <t>No contesta</t>
        </is>
      </c>
      <c r="E1761" s="6" t="n">
        <v>0.018</v>
      </c>
      <c r="F1761" s="7" t="n">
        <v>1200</v>
      </c>
    </row>
    <row r="1762">
      <c r="A1762" s="5" t="inlineStr">
        <is>
          <t>Apoyo democracia</t>
        </is>
      </c>
      <c r="B1762" s="5" t="inlineStr">
        <is>
          <t>Uruguay</t>
        </is>
      </c>
      <c r="C1762" s="5" t="n">
        <v>2020</v>
      </c>
      <c r="D1762" s="5" t="inlineStr">
        <is>
          <t>Democracia</t>
        </is>
      </c>
      <c r="E1762" s="6" t="n">
        <v>0.74</v>
      </c>
      <c r="F1762" s="7" t="n">
        <v>1200</v>
      </c>
    </row>
    <row r="1763">
      <c r="A1763" s="5" t="inlineStr">
        <is>
          <t>Apoyo democracia</t>
        </is>
      </c>
      <c r="B1763" s="5" t="inlineStr">
        <is>
          <t>Uruguay</t>
        </is>
      </c>
      <c r="C1763" s="5" t="n">
        <v>2020</v>
      </c>
      <c r="D1763" s="5" t="inlineStr">
        <is>
          <t>Gobierno Autoritario</t>
        </is>
      </c>
      <c r="E1763" s="6" t="n">
        <v>0.078</v>
      </c>
      <c r="F1763" s="7" t="n">
        <v>1200</v>
      </c>
    </row>
    <row r="1764">
      <c r="A1764" s="5" t="inlineStr">
        <is>
          <t>Apoyo democracia</t>
        </is>
      </c>
      <c r="B1764" s="5" t="inlineStr">
        <is>
          <t>Uruguay</t>
        </is>
      </c>
      <c r="C1764" s="5" t="n">
        <v>2020</v>
      </c>
      <c r="D1764" s="5" t="inlineStr">
        <is>
          <t>Da lo mismo</t>
        </is>
      </c>
      <c r="E1764" s="6" t="n">
        <v>0.125</v>
      </c>
      <c r="F1764" s="7" t="n">
        <v>1200</v>
      </c>
    </row>
    <row r="1765">
      <c r="A1765" s="5" t="inlineStr">
        <is>
          <t>Apoyo democracia</t>
        </is>
      </c>
      <c r="B1765" s="5" t="inlineStr">
        <is>
          <t>Uruguay</t>
        </is>
      </c>
      <c r="C1765" s="5" t="n">
        <v>2020</v>
      </c>
      <c r="D1765" s="5" t="inlineStr">
        <is>
          <t>No sabe</t>
        </is>
      </c>
      <c r="E1765" s="6" t="n">
        <v>0.043</v>
      </c>
      <c r="F1765" s="7" t="n">
        <v>1200</v>
      </c>
    </row>
    <row r="1766">
      <c r="A1766" s="5" t="inlineStr">
        <is>
          <t>Apoyo democracia</t>
        </is>
      </c>
      <c r="B1766" s="5" t="inlineStr">
        <is>
          <t>Uruguay</t>
        </is>
      </c>
      <c r="C1766" s="5" t="n">
        <v>2020</v>
      </c>
      <c r="D1766" s="5" t="inlineStr">
        <is>
          <t>No contesta</t>
        </is>
      </c>
      <c r="E1766" s="6" t="n">
        <v>0.014</v>
      </c>
      <c r="F1766" s="7" t="n">
        <v>1200</v>
      </c>
    </row>
    <row r="1767">
      <c r="A1767" s="5" t="inlineStr">
        <is>
          <t>Apoyo democracia</t>
        </is>
      </c>
      <c r="B1767" s="5" t="inlineStr">
        <is>
          <t>Uruguay</t>
        </is>
      </c>
      <c r="C1767" s="5" t="n">
        <v>2024</v>
      </c>
      <c r="D1767" s="5" t="inlineStr">
        <is>
          <t>Democracia</t>
        </is>
      </c>
      <c r="E1767" s="6" t="n">
        <v>0.701</v>
      </c>
      <c r="F1767" s="7" t="n">
        <v>1200</v>
      </c>
    </row>
    <row r="1768">
      <c r="A1768" s="5" t="inlineStr">
        <is>
          <t>Apoyo democracia</t>
        </is>
      </c>
      <c r="B1768" s="5" t="inlineStr">
        <is>
          <t>Uruguay</t>
        </is>
      </c>
      <c r="C1768" s="5" t="n">
        <v>2024</v>
      </c>
      <c r="D1768" s="5" t="inlineStr">
        <is>
          <t>Gobierno Autoritario</t>
        </is>
      </c>
      <c r="E1768" s="6" t="n">
        <v>0.1</v>
      </c>
      <c r="F1768" s="7" t="n">
        <v>1200</v>
      </c>
    </row>
    <row r="1769">
      <c r="A1769" s="5" t="inlineStr">
        <is>
          <t>Apoyo democracia</t>
        </is>
      </c>
      <c r="B1769" s="5" t="inlineStr">
        <is>
          <t>Uruguay</t>
        </is>
      </c>
      <c r="C1769" s="5" t="n">
        <v>2024</v>
      </c>
      <c r="D1769" s="5" t="inlineStr">
        <is>
          <t>Da lo mismo</t>
        </is>
      </c>
      <c r="E1769" s="6" t="n">
        <v>0.147</v>
      </c>
      <c r="F1769" s="7" t="n">
        <v>1200</v>
      </c>
    </row>
    <row r="1770">
      <c r="A1770" s="5" t="inlineStr">
        <is>
          <t>Apoyo democracia</t>
        </is>
      </c>
      <c r="B1770" s="5" t="inlineStr">
        <is>
          <t>Uruguay</t>
        </is>
      </c>
      <c r="C1770" s="5" t="n">
        <v>2024</v>
      </c>
      <c r="D1770" s="5" t="inlineStr">
        <is>
          <t>No sabe</t>
        </is>
      </c>
      <c r="E1770" s="6" t="n">
        <v>0.045</v>
      </c>
      <c r="F1770" s="7" t="n">
        <v>1200</v>
      </c>
    </row>
    <row r="1771">
      <c r="A1771" s="5" t="inlineStr">
        <is>
          <t>Apoyo democracia</t>
        </is>
      </c>
      <c r="B1771" s="5" t="inlineStr">
        <is>
          <t>Uruguay</t>
        </is>
      </c>
      <c r="C1771" s="5" t="n">
        <v>2024</v>
      </c>
      <c r="D1771" s="5" t="inlineStr">
        <is>
          <t>No contesta</t>
        </is>
      </c>
      <c r="E1771" s="6" t="n">
        <v>0.008</v>
      </c>
      <c r="F1771" s="7" t="n">
        <v>1200</v>
      </c>
    </row>
    <row r="1772">
      <c r="A1772" s="5" t="inlineStr">
        <is>
          <t>Apoyo democracia</t>
        </is>
      </c>
      <c r="B1772" s="5" t="inlineStr">
        <is>
          <t>Venezuela</t>
        </is>
      </c>
      <c r="C1772" s="5" t="n">
        <v>1995</v>
      </c>
      <c r="D1772" s="5" t="inlineStr">
        <is>
          <t>Democracia</t>
        </is>
      </c>
      <c r="E1772" s="6" t="n">
        <v>0.598</v>
      </c>
      <c r="F1772" s="7" t="n">
        <v>1200</v>
      </c>
    </row>
    <row r="1773">
      <c r="A1773" s="5" t="inlineStr">
        <is>
          <t>Apoyo democracia</t>
        </is>
      </c>
      <c r="B1773" s="5" t="inlineStr">
        <is>
          <t>Venezuela</t>
        </is>
      </c>
      <c r="C1773" s="5" t="n">
        <v>1995</v>
      </c>
      <c r="D1773" s="5" t="inlineStr">
        <is>
          <t>Gobierno Autoritario</t>
        </is>
      </c>
      <c r="E1773" s="6" t="n">
        <v>0.213</v>
      </c>
      <c r="F1773" s="7" t="n">
        <v>1200</v>
      </c>
    </row>
    <row r="1774">
      <c r="A1774" s="5" t="inlineStr">
        <is>
          <t>Apoyo democracia</t>
        </is>
      </c>
      <c r="B1774" s="5" t="inlineStr">
        <is>
          <t>Venezuela</t>
        </is>
      </c>
      <c r="C1774" s="5" t="n">
        <v>1995</v>
      </c>
      <c r="D1774" s="5" t="inlineStr">
        <is>
          <t>Da lo mismo</t>
        </is>
      </c>
      <c r="E1774" s="6" t="n">
        <v>0.131</v>
      </c>
      <c r="F1774" s="7" t="n">
        <v>1200</v>
      </c>
    </row>
    <row r="1775">
      <c r="A1775" s="5" t="inlineStr">
        <is>
          <t>Apoyo democracia</t>
        </is>
      </c>
      <c r="B1775" s="5" t="inlineStr">
        <is>
          <t>Venezuela</t>
        </is>
      </c>
      <c r="C1775" s="5" t="n">
        <v>1995</v>
      </c>
      <c r="D1775" s="5" t="inlineStr">
        <is>
          <t>No sabe</t>
        </is>
      </c>
      <c r="E1775" s="6" t="n">
        <v>0.049</v>
      </c>
      <c r="F1775" s="7" t="n">
        <v>1200</v>
      </c>
    </row>
    <row r="1776">
      <c r="A1776" s="5" t="inlineStr">
        <is>
          <t>Apoyo democracia</t>
        </is>
      </c>
      <c r="B1776" s="5" t="inlineStr">
        <is>
          <t>Venezuela</t>
        </is>
      </c>
      <c r="C1776" s="5" t="n">
        <v>1995</v>
      </c>
      <c r="D1776" s="5" t="inlineStr">
        <is>
          <t>No contesta</t>
        </is>
      </c>
      <c r="E1776" s="6" t="n">
        <v>0.01</v>
      </c>
      <c r="F1776" s="7" t="n">
        <v>1200</v>
      </c>
    </row>
    <row r="1777">
      <c r="A1777" s="5" t="inlineStr">
        <is>
          <t>Apoyo democracia</t>
        </is>
      </c>
      <c r="B1777" s="5" t="inlineStr">
        <is>
          <t>Venezuela</t>
        </is>
      </c>
      <c r="C1777" s="5" t="n">
        <v>1996</v>
      </c>
      <c r="D1777" s="5" t="inlineStr">
        <is>
          <t>Democracia</t>
        </is>
      </c>
      <c r="E1777" s="6" t="n">
        <v>0.622</v>
      </c>
      <c r="F1777" s="7" t="n">
        <v>1500</v>
      </c>
    </row>
    <row r="1778">
      <c r="A1778" s="5" t="inlineStr">
        <is>
          <t>Apoyo democracia</t>
        </is>
      </c>
      <c r="B1778" s="5" t="inlineStr">
        <is>
          <t>Venezuela</t>
        </is>
      </c>
      <c r="C1778" s="5" t="n">
        <v>1996</v>
      </c>
      <c r="D1778" s="5" t="inlineStr">
        <is>
          <t>Gobierno Autoritario</t>
        </is>
      </c>
      <c r="E1778" s="6" t="n">
        <v>0.191</v>
      </c>
      <c r="F1778" s="7" t="n">
        <v>1500</v>
      </c>
    </row>
    <row r="1779">
      <c r="A1779" s="5" t="inlineStr">
        <is>
          <t>Apoyo democracia</t>
        </is>
      </c>
      <c r="B1779" s="5" t="inlineStr">
        <is>
          <t>Venezuela</t>
        </is>
      </c>
      <c r="C1779" s="5" t="n">
        <v>1996</v>
      </c>
      <c r="D1779" s="5" t="inlineStr">
        <is>
          <t>Da lo mismo</t>
        </is>
      </c>
      <c r="E1779" s="6" t="n">
        <v>0.132</v>
      </c>
      <c r="F1779" s="7" t="n">
        <v>1500</v>
      </c>
    </row>
    <row r="1780">
      <c r="A1780" s="5" t="inlineStr">
        <is>
          <t>Apoyo democracia</t>
        </is>
      </c>
      <c r="B1780" s="5" t="inlineStr">
        <is>
          <t>Venezuela</t>
        </is>
      </c>
      <c r="C1780" s="5" t="n">
        <v>1996</v>
      </c>
      <c r="D1780" s="5" t="inlineStr">
        <is>
          <t>No sabe</t>
        </is>
      </c>
      <c r="E1780" s="6" t="n">
        <v>0.042</v>
      </c>
      <c r="F1780" s="7" t="n">
        <v>1500</v>
      </c>
    </row>
    <row r="1781">
      <c r="A1781" s="5" t="inlineStr">
        <is>
          <t>Apoyo democracia</t>
        </is>
      </c>
      <c r="B1781" s="5" t="inlineStr">
        <is>
          <t>Venezuela</t>
        </is>
      </c>
      <c r="C1781" s="5" t="n">
        <v>1996</v>
      </c>
      <c r="D1781" s="5" t="inlineStr">
        <is>
          <t>No contesta</t>
        </is>
      </c>
      <c r="E1781" s="6" t="n">
        <v>0.013</v>
      </c>
      <c r="F1781" s="7" t="n">
        <v>1500</v>
      </c>
    </row>
    <row r="1782">
      <c r="A1782" s="5" t="inlineStr">
        <is>
          <t>Apoyo democracia</t>
        </is>
      </c>
      <c r="B1782" s="5" t="inlineStr">
        <is>
          <t>Venezuela</t>
        </is>
      </c>
      <c r="C1782" s="5" t="n">
        <v>1997</v>
      </c>
      <c r="D1782" s="5" t="inlineStr">
        <is>
          <t>Democracia</t>
        </is>
      </c>
      <c r="E1782" s="6" t="n">
        <v>0.6409999999999999</v>
      </c>
      <c r="F1782" s="7" t="n">
        <v>1200</v>
      </c>
    </row>
    <row r="1783">
      <c r="A1783" s="5" t="inlineStr">
        <is>
          <t>Apoyo democracia</t>
        </is>
      </c>
      <c r="B1783" s="5" t="inlineStr">
        <is>
          <t>Venezuela</t>
        </is>
      </c>
      <c r="C1783" s="5" t="n">
        <v>1997</v>
      </c>
      <c r="D1783" s="5" t="inlineStr">
        <is>
          <t>Gobierno Autoritario</t>
        </is>
      </c>
      <c r="E1783" s="6" t="n">
        <v>0.174</v>
      </c>
      <c r="F1783" s="7" t="n">
        <v>1200</v>
      </c>
    </row>
    <row r="1784">
      <c r="A1784" s="5" t="inlineStr">
        <is>
          <t>Apoyo democracia</t>
        </is>
      </c>
      <c r="B1784" s="5" t="inlineStr">
        <is>
          <t>Venezuela</t>
        </is>
      </c>
      <c r="C1784" s="5" t="n">
        <v>1997</v>
      </c>
      <c r="D1784" s="5" t="inlineStr">
        <is>
          <t>Da lo mismo</t>
        </is>
      </c>
      <c r="E1784" s="6" t="n">
        <v>0.15</v>
      </c>
      <c r="F1784" s="7" t="n">
        <v>1200</v>
      </c>
    </row>
    <row r="1785">
      <c r="A1785" s="5" t="inlineStr">
        <is>
          <t>Apoyo democracia</t>
        </is>
      </c>
      <c r="B1785" s="5" t="inlineStr">
        <is>
          <t>Venezuela</t>
        </is>
      </c>
      <c r="C1785" s="5" t="n">
        <v>1997</v>
      </c>
      <c r="D1785" s="5" t="inlineStr">
        <is>
          <t>No sabe</t>
        </is>
      </c>
      <c r="E1785" s="6" t="n">
        <v>0.015</v>
      </c>
      <c r="F1785" s="7" t="n">
        <v>1200</v>
      </c>
    </row>
    <row r="1786">
      <c r="A1786" s="5" t="inlineStr">
        <is>
          <t>Apoyo democracia</t>
        </is>
      </c>
      <c r="B1786" s="5" t="inlineStr">
        <is>
          <t>Venezuela</t>
        </is>
      </c>
      <c r="C1786" s="5" t="n">
        <v>1997</v>
      </c>
      <c r="D1786" s="5" t="inlineStr">
        <is>
          <t>No contesta</t>
        </is>
      </c>
      <c r="E1786" s="6" t="n">
        <v>0.02</v>
      </c>
      <c r="F1786" s="7" t="n">
        <v>1200</v>
      </c>
    </row>
    <row r="1787">
      <c r="A1787" s="5" t="inlineStr">
        <is>
          <t>Apoyo democracia</t>
        </is>
      </c>
      <c r="B1787" s="5" t="inlineStr">
        <is>
          <t>Venezuela</t>
        </is>
      </c>
      <c r="C1787" s="5" t="n">
        <v>1998</v>
      </c>
      <c r="D1787" s="5" t="inlineStr">
        <is>
          <t>Democracia</t>
        </is>
      </c>
      <c r="E1787" s="6" t="n">
        <v>0.603</v>
      </c>
      <c r="F1787" s="7" t="n">
        <v>1200</v>
      </c>
    </row>
    <row r="1788">
      <c r="A1788" s="5" t="inlineStr">
        <is>
          <t>Apoyo democracia</t>
        </is>
      </c>
      <c r="B1788" s="5" t="inlineStr">
        <is>
          <t>Venezuela</t>
        </is>
      </c>
      <c r="C1788" s="5" t="n">
        <v>1998</v>
      </c>
      <c r="D1788" s="5" t="inlineStr">
        <is>
          <t>Gobierno Autoritario</t>
        </is>
      </c>
      <c r="E1788" s="6" t="n">
        <v>0.246</v>
      </c>
      <c r="F1788" s="7" t="n">
        <v>1200</v>
      </c>
    </row>
    <row r="1789">
      <c r="A1789" s="5" t="inlineStr">
        <is>
          <t>Apoyo democracia</t>
        </is>
      </c>
      <c r="B1789" s="5" t="inlineStr">
        <is>
          <t>Venezuela</t>
        </is>
      </c>
      <c r="C1789" s="5" t="n">
        <v>1998</v>
      </c>
      <c r="D1789" s="5" t="inlineStr">
        <is>
          <t>Da lo mismo</t>
        </is>
      </c>
      <c r="E1789" s="6" t="n">
        <v>0.133</v>
      </c>
      <c r="F1789" s="7" t="n">
        <v>1200</v>
      </c>
    </row>
    <row r="1790">
      <c r="A1790" s="5" t="inlineStr">
        <is>
          <t>Apoyo democracia</t>
        </is>
      </c>
      <c r="B1790" s="5" t="inlineStr">
        <is>
          <t>Venezuela</t>
        </is>
      </c>
      <c r="C1790" s="5" t="n">
        <v>1998</v>
      </c>
      <c r="D1790" s="5" t="inlineStr">
        <is>
          <t>No sabe</t>
        </is>
      </c>
      <c r="E1790" s="6" t="n">
        <v>0.017</v>
      </c>
      <c r="F1790" s="7" t="n">
        <v>1200</v>
      </c>
    </row>
    <row r="1791">
      <c r="A1791" s="5" t="inlineStr">
        <is>
          <t>Apoyo democracia</t>
        </is>
      </c>
      <c r="B1791" s="5" t="inlineStr">
        <is>
          <t>Venezuela</t>
        </is>
      </c>
      <c r="C1791" s="5" t="n">
        <v>1998</v>
      </c>
      <c r="D1791" s="5" t="inlineStr">
        <is>
          <t>No contesta</t>
        </is>
      </c>
      <c r="E1791" s="6" t="n">
        <v>0.002</v>
      </c>
      <c r="F1791" s="7" t="n">
        <v>1200</v>
      </c>
    </row>
    <row r="1792">
      <c r="A1792" s="5" t="inlineStr">
        <is>
          <t>Apoyo democracia</t>
        </is>
      </c>
      <c r="B1792" s="5" t="inlineStr">
        <is>
          <t>Venezuela</t>
        </is>
      </c>
      <c r="C1792" s="5" t="n">
        <v>2000</v>
      </c>
      <c r="D1792" s="5" t="inlineStr">
        <is>
          <t>Democracia</t>
        </is>
      </c>
      <c r="E1792" s="6" t="n">
        <v>0.613</v>
      </c>
      <c r="F1792" s="7" t="n">
        <v>1200</v>
      </c>
    </row>
    <row r="1793">
      <c r="A1793" s="5" t="inlineStr">
        <is>
          <t>Apoyo democracia</t>
        </is>
      </c>
      <c r="B1793" s="5" t="inlineStr">
        <is>
          <t>Venezuela</t>
        </is>
      </c>
      <c r="C1793" s="5" t="n">
        <v>2000</v>
      </c>
      <c r="D1793" s="5" t="inlineStr">
        <is>
          <t>Gobierno Autoritario</t>
        </is>
      </c>
      <c r="E1793" s="6" t="n">
        <v>0.239</v>
      </c>
      <c r="F1793" s="7" t="n">
        <v>1200</v>
      </c>
    </row>
    <row r="1794">
      <c r="A1794" s="5" t="inlineStr">
        <is>
          <t>Apoyo democracia</t>
        </is>
      </c>
      <c r="B1794" s="5" t="inlineStr">
        <is>
          <t>Venezuela</t>
        </is>
      </c>
      <c r="C1794" s="5" t="n">
        <v>2000</v>
      </c>
      <c r="D1794" s="5" t="inlineStr">
        <is>
          <t>Da lo mismo</t>
        </is>
      </c>
      <c r="E1794" s="6" t="n">
        <v>0.101</v>
      </c>
      <c r="F1794" s="7" t="n">
        <v>1200</v>
      </c>
    </row>
    <row r="1795">
      <c r="A1795" s="5" t="inlineStr">
        <is>
          <t>Apoyo democracia</t>
        </is>
      </c>
      <c r="B1795" s="5" t="inlineStr">
        <is>
          <t>Venezuela</t>
        </is>
      </c>
      <c r="C1795" s="5" t="n">
        <v>2000</v>
      </c>
      <c r="D1795" s="5" t="inlineStr">
        <is>
          <t>No sabe</t>
        </is>
      </c>
      <c r="E1795" s="6" t="n">
        <v>0.026</v>
      </c>
      <c r="F1795" s="7" t="n">
        <v>1200</v>
      </c>
    </row>
    <row r="1796">
      <c r="A1796" s="5" t="inlineStr">
        <is>
          <t>Apoyo democracia</t>
        </is>
      </c>
      <c r="B1796" s="5" t="inlineStr">
        <is>
          <t>Venezuela</t>
        </is>
      </c>
      <c r="C1796" s="5" t="n">
        <v>2000</v>
      </c>
      <c r="D1796" s="5" t="inlineStr">
        <is>
          <t>No contesta</t>
        </is>
      </c>
      <c r="E1796" s="6" t="n">
        <v>0.022</v>
      </c>
      <c r="F1796" s="7" t="n">
        <v>1200</v>
      </c>
    </row>
    <row r="1797">
      <c r="A1797" s="5" t="inlineStr">
        <is>
          <t>Apoyo democracia</t>
        </is>
      </c>
      <c r="B1797" s="5" t="inlineStr">
        <is>
          <t>Venezuela</t>
        </is>
      </c>
      <c r="C1797" s="5" t="n">
        <v>2001</v>
      </c>
      <c r="D1797" s="5" t="inlineStr">
        <is>
          <t>Democracia</t>
        </is>
      </c>
      <c r="E1797" s="6" t="n">
        <v>0.5679999999999999</v>
      </c>
      <c r="F1797" s="7" t="n">
        <v>1200</v>
      </c>
    </row>
    <row r="1798">
      <c r="A1798" s="5" t="inlineStr">
        <is>
          <t>Apoyo democracia</t>
        </is>
      </c>
      <c r="B1798" s="5" t="inlineStr">
        <is>
          <t>Venezuela</t>
        </is>
      </c>
      <c r="C1798" s="5" t="n">
        <v>2001</v>
      </c>
      <c r="D1798" s="5" t="inlineStr">
        <is>
          <t>Gobierno Autoritario</t>
        </is>
      </c>
      <c r="E1798" s="6" t="n">
        <v>0.204</v>
      </c>
      <c r="F1798" s="7" t="n">
        <v>1200</v>
      </c>
    </row>
    <row r="1799">
      <c r="A1799" s="5" t="inlineStr">
        <is>
          <t>Apoyo democracia</t>
        </is>
      </c>
      <c r="B1799" s="5" t="inlineStr">
        <is>
          <t>Venezuela</t>
        </is>
      </c>
      <c r="C1799" s="5" t="n">
        <v>2001</v>
      </c>
      <c r="D1799" s="5" t="inlineStr">
        <is>
          <t>Da lo mismo</t>
        </is>
      </c>
      <c r="E1799" s="6" t="n">
        <v>0.173</v>
      </c>
      <c r="F1799" s="7" t="n">
        <v>1200</v>
      </c>
    </row>
    <row r="1800">
      <c r="A1800" s="5" t="inlineStr">
        <is>
          <t>Apoyo democracia</t>
        </is>
      </c>
      <c r="B1800" s="5" t="inlineStr">
        <is>
          <t>Venezuela</t>
        </is>
      </c>
      <c r="C1800" s="5" t="n">
        <v>2001</v>
      </c>
      <c r="D1800" s="5" t="inlineStr">
        <is>
          <t>No sabe</t>
        </is>
      </c>
      <c r="E1800" s="6" t="n">
        <v>0.043</v>
      </c>
      <c r="F1800" s="7" t="n">
        <v>1200</v>
      </c>
    </row>
    <row r="1801">
      <c r="A1801" s="5" t="inlineStr">
        <is>
          <t>Apoyo democracia</t>
        </is>
      </c>
      <c r="B1801" s="5" t="inlineStr">
        <is>
          <t>Venezuela</t>
        </is>
      </c>
      <c r="C1801" s="5" t="n">
        <v>2001</v>
      </c>
      <c r="D1801" s="5" t="inlineStr">
        <is>
          <t>No contesta</t>
        </is>
      </c>
      <c r="E1801" s="6" t="n">
        <v>0.012</v>
      </c>
      <c r="F1801" s="7" t="n">
        <v>1200</v>
      </c>
    </row>
    <row r="1802">
      <c r="A1802" s="5" t="inlineStr">
        <is>
          <t>Apoyo democracia</t>
        </is>
      </c>
      <c r="B1802" s="5" t="inlineStr">
        <is>
          <t>Venezuela</t>
        </is>
      </c>
      <c r="C1802" s="5" t="n">
        <v>2002</v>
      </c>
      <c r="D1802" s="5" t="inlineStr">
        <is>
          <t>Democracia</t>
        </is>
      </c>
      <c r="E1802" s="6" t="n">
        <v>0.728</v>
      </c>
      <c r="F1802" s="7" t="n">
        <v>1200</v>
      </c>
    </row>
    <row r="1803">
      <c r="A1803" s="5" t="inlineStr">
        <is>
          <t>Apoyo democracia</t>
        </is>
      </c>
      <c r="B1803" s="5" t="inlineStr">
        <is>
          <t>Venezuela</t>
        </is>
      </c>
      <c r="C1803" s="5" t="n">
        <v>2002</v>
      </c>
      <c r="D1803" s="5" t="inlineStr">
        <is>
          <t>Gobierno Autoritario</t>
        </is>
      </c>
      <c r="E1803" s="6" t="n">
        <v>0.122</v>
      </c>
      <c r="F1803" s="7" t="n">
        <v>1200</v>
      </c>
    </row>
    <row r="1804">
      <c r="A1804" s="5" t="inlineStr">
        <is>
          <t>Apoyo democracia</t>
        </is>
      </c>
      <c r="B1804" s="5" t="inlineStr">
        <is>
          <t>Venezuela</t>
        </is>
      </c>
      <c r="C1804" s="5" t="n">
        <v>2002</v>
      </c>
      <c r="D1804" s="5" t="inlineStr">
        <is>
          <t>Da lo mismo</t>
        </is>
      </c>
      <c r="E1804" s="6" t="n">
        <v>0.08800000000000001</v>
      </c>
      <c r="F1804" s="7" t="n">
        <v>1200</v>
      </c>
    </row>
    <row r="1805">
      <c r="A1805" s="5" t="inlineStr">
        <is>
          <t>Apoyo democracia</t>
        </is>
      </c>
      <c r="B1805" s="5" t="inlineStr">
        <is>
          <t>Venezuela</t>
        </is>
      </c>
      <c r="C1805" s="5" t="n">
        <v>2002</v>
      </c>
      <c r="D1805" s="5" t="inlineStr">
        <is>
          <t>No sabe</t>
        </is>
      </c>
      <c r="E1805" s="6" t="n">
        <v>0.02</v>
      </c>
      <c r="F1805" s="7" t="n">
        <v>1200</v>
      </c>
    </row>
    <row r="1806">
      <c r="A1806" s="5" t="inlineStr">
        <is>
          <t>Apoyo democracia</t>
        </is>
      </c>
      <c r="B1806" s="5" t="inlineStr">
        <is>
          <t>Venezuela</t>
        </is>
      </c>
      <c r="C1806" s="5" t="n">
        <v>2002</v>
      </c>
      <c r="D1806" s="5" t="inlineStr">
        <is>
          <t>No contesta</t>
        </is>
      </c>
      <c r="E1806" s="6" t="n">
        <v>0.043</v>
      </c>
      <c r="F1806" s="7" t="n">
        <v>1200</v>
      </c>
    </row>
    <row r="1807">
      <c r="A1807" s="5" t="inlineStr">
        <is>
          <t>Apoyo democracia</t>
        </is>
      </c>
      <c r="B1807" s="5" t="inlineStr">
        <is>
          <t>Venezuela</t>
        </is>
      </c>
      <c r="C1807" s="5" t="n">
        <v>2003</v>
      </c>
      <c r="D1807" s="5" t="inlineStr">
        <is>
          <t>Democracia</t>
        </is>
      </c>
      <c r="E1807" s="6" t="n">
        <v>0.677</v>
      </c>
      <c r="F1807" s="7" t="n">
        <v>1200</v>
      </c>
    </row>
    <row r="1808">
      <c r="A1808" s="5" t="inlineStr">
        <is>
          <t>Apoyo democracia</t>
        </is>
      </c>
      <c r="B1808" s="5" t="inlineStr">
        <is>
          <t>Venezuela</t>
        </is>
      </c>
      <c r="C1808" s="5" t="n">
        <v>2003</v>
      </c>
      <c r="D1808" s="5" t="inlineStr">
        <is>
          <t>Gobierno Autoritario</t>
        </is>
      </c>
      <c r="E1808" s="6" t="n">
        <v>0.159</v>
      </c>
      <c r="F1808" s="7" t="n">
        <v>1200</v>
      </c>
    </row>
    <row r="1809">
      <c r="A1809" s="5" t="inlineStr">
        <is>
          <t>Apoyo democracia</t>
        </is>
      </c>
      <c r="B1809" s="5" t="inlineStr">
        <is>
          <t>Venezuela</t>
        </is>
      </c>
      <c r="C1809" s="5" t="n">
        <v>2003</v>
      </c>
      <c r="D1809" s="5" t="inlineStr">
        <is>
          <t>Da lo mismo</t>
        </is>
      </c>
      <c r="E1809" s="6" t="n">
        <v>0.128</v>
      </c>
      <c r="F1809" s="7" t="n">
        <v>1200</v>
      </c>
    </row>
    <row r="1810">
      <c r="A1810" s="5" t="inlineStr">
        <is>
          <t>Apoyo democracia</t>
        </is>
      </c>
      <c r="B1810" s="5" t="inlineStr">
        <is>
          <t>Venezuela</t>
        </is>
      </c>
      <c r="C1810" s="5" t="n">
        <v>2003</v>
      </c>
      <c r="D1810" s="5" t="inlineStr">
        <is>
          <t>No sabe</t>
        </is>
      </c>
      <c r="E1810" s="6" t="n">
        <v>0.027</v>
      </c>
      <c r="F1810" s="7" t="n">
        <v>1200</v>
      </c>
    </row>
    <row r="1811">
      <c r="A1811" s="5" t="inlineStr">
        <is>
          <t>Apoyo democracia</t>
        </is>
      </c>
      <c r="B1811" s="5" t="inlineStr">
        <is>
          <t>Venezuela</t>
        </is>
      </c>
      <c r="C1811" s="5" t="n">
        <v>2003</v>
      </c>
      <c r="D1811" s="5" t="inlineStr">
        <is>
          <t>No contesta</t>
        </is>
      </c>
      <c r="E1811" s="6" t="n">
        <v>0.01</v>
      </c>
      <c r="F1811" s="7" t="n">
        <v>1200</v>
      </c>
    </row>
    <row r="1812">
      <c r="A1812" s="5" t="inlineStr">
        <is>
          <t>Apoyo democracia</t>
        </is>
      </c>
      <c r="B1812" s="5" t="inlineStr">
        <is>
          <t>Venezuela</t>
        </is>
      </c>
      <c r="C1812" s="5" t="n">
        <v>2004</v>
      </c>
      <c r="D1812" s="5" t="inlineStr">
        <is>
          <t>Democracia</t>
        </is>
      </c>
      <c r="E1812" s="6" t="n">
        <v>0.742</v>
      </c>
      <c r="F1812" s="7" t="n">
        <v>1200</v>
      </c>
    </row>
    <row r="1813">
      <c r="A1813" s="5" t="inlineStr">
        <is>
          <t>Apoyo democracia</t>
        </is>
      </c>
      <c r="B1813" s="5" t="inlineStr">
        <is>
          <t>Venezuela</t>
        </is>
      </c>
      <c r="C1813" s="5" t="n">
        <v>2004</v>
      </c>
      <c r="D1813" s="5" t="inlineStr">
        <is>
          <t>Gobierno Autoritario</t>
        </is>
      </c>
      <c r="E1813" s="6" t="n">
        <v>0.109</v>
      </c>
      <c r="F1813" s="7" t="n">
        <v>1200</v>
      </c>
    </row>
    <row r="1814">
      <c r="A1814" s="5" t="inlineStr">
        <is>
          <t>Apoyo democracia</t>
        </is>
      </c>
      <c r="B1814" s="5" t="inlineStr">
        <is>
          <t>Venezuela</t>
        </is>
      </c>
      <c r="C1814" s="5" t="n">
        <v>2004</v>
      </c>
      <c r="D1814" s="5" t="inlineStr">
        <is>
          <t>Da lo mismo</t>
        </is>
      </c>
      <c r="E1814" s="6" t="n">
        <v>0.117</v>
      </c>
      <c r="F1814" s="7" t="n">
        <v>1200</v>
      </c>
    </row>
    <row r="1815">
      <c r="A1815" s="5" t="inlineStr">
        <is>
          <t>Apoyo democracia</t>
        </is>
      </c>
      <c r="B1815" s="5" t="inlineStr">
        <is>
          <t>Venezuela</t>
        </is>
      </c>
      <c r="C1815" s="5" t="n">
        <v>2004</v>
      </c>
      <c r="D1815" s="5" t="inlineStr">
        <is>
          <t>No sabe</t>
        </is>
      </c>
      <c r="E1815" s="6" t="n">
        <v>0.028</v>
      </c>
      <c r="F1815" s="7" t="n">
        <v>1200</v>
      </c>
    </row>
    <row r="1816">
      <c r="A1816" s="5" t="inlineStr">
        <is>
          <t>Apoyo democracia</t>
        </is>
      </c>
      <c r="B1816" s="5" t="inlineStr">
        <is>
          <t>Venezuela</t>
        </is>
      </c>
      <c r="C1816" s="5" t="n">
        <v>2004</v>
      </c>
      <c r="D1816" s="5" t="inlineStr">
        <is>
          <t>No contesta</t>
        </is>
      </c>
      <c r="E1816" s="6" t="n">
        <v>0.004</v>
      </c>
      <c r="F1816" s="7" t="n">
        <v>1200</v>
      </c>
    </row>
    <row r="1817">
      <c r="A1817" s="5" t="inlineStr">
        <is>
          <t>Apoyo democracia</t>
        </is>
      </c>
      <c r="B1817" s="5" t="inlineStr">
        <is>
          <t>Venezuela</t>
        </is>
      </c>
      <c r="C1817" s="5" t="n">
        <v>2005</v>
      </c>
      <c r="D1817" s="5" t="inlineStr">
        <is>
          <t>Democracia</t>
        </is>
      </c>
      <c r="E1817" s="6" t="n">
        <v>0.758</v>
      </c>
      <c r="F1817" s="7" t="n">
        <v>1200</v>
      </c>
    </row>
    <row r="1818">
      <c r="A1818" s="5" t="inlineStr">
        <is>
          <t>Apoyo democracia</t>
        </is>
      </c>
      <c r="B1818" s="5" t="inlineStr">
        <is>
          <t>Venezuela</t>
        </is>
      </c>
      <c r="C1818" s="5" t="n">
        <v>2005</v>
      </c>
      <c r="D1818" s="5" t="inlineStr">
        <is>
          <t>Gobierno Autoritario</t>
        </is>
      </c>
      <c r="E1818" s="6" t="n">
        <v>0.107</v>
      </c>
      <c r="F1818" s="7" t="n">
        <v>1200</v>
      </c>
    </row>
    <row r="1819">
      <c r="A1819" s="5" t="inlineStr">
        <is>
          <t>Apoyo democracia</t>
        </is>
      </c>
      <c r="B1819" s="5" t="inlineStr">
        <is>
          <t>Venezuela</t>
        </is>
      </c>
      <c r="C1819" s="5" t="n">
        <v>2005</v>
      </c>
      <c r="D1819" s="5" t="inlineStr">
        <is>
          <t>Da lo mismo</t>
        </is>
      </c>
      <c r="E1819" s="6" t="n">
        <v>0.083</v>
      </c>
      <c r="F1819" s="7" t="n">
        <v>1200</v>
      </c>
    </row>
    <row r="1820">
      <c r="A1820" s="5" t="inlineStr">
        <is>
          <t>Apoyo democracia</t>
        </is>
      </c>
      <c r="B1820" s="5" t="inlineStr">
        <is>
          <t>Venezuela</t>
        </is>
      </c>
      <c r="C1820" s="5" t="n">
        <v>2005</v>
      </c>
      <c r="D1820" s="5" t="inlineStr">
        <is>
          <t>No sabe</t>
        </is>
      </c>
      <c r="E1820" s="6" t="n">
        <v>0.03</v>
      </c>
      <c r="F1820" s="7" t="n">
        <v>1200</v>
      </c>
    </row>
    <row r="1821">
      <c r="A1821" s="5" t="inlineStr">
        <is>
          <t>Apoyo democracia</t>
        </is>
      </c>
      <c r="B1821" s="5" t="inlineStr">
        <is>
          <t>Venezuela</t>
        </is>
      </c>
      <c r="C1821" s="5" t="n">
        <v>2005</v>
      </c>
      <c r="D1821" s="5" t="inlineStr">
        <is>
          <t>No contesta</t>
        </is>
      </c>
      <c r="E1821" s="6" t="n">
        <v>0.022</v>
      </c>
      <c r="F1821" s="7" t="n">
        <v>1200</v>
      </c>
    </row>
    <row r="1822">
      <c r="A1822" s="5" t="inlineStr">
        <is>
          <t>Apoyo democracia</t>
        </is>
      </c>
      <c r="B1822" s="5" t="inlineStr">
        <is>
          <t>Venezuela</t>
        </is>
      </c>
      <c r="C1822" s="5" t="n">
        <v>2006</v>
      </c>
      <c r="D1822" s="5" t="inlineStr">
        <is>
          <t>Democracia</t>
        </is>
      </c>
      <c r="E1822" s="6" t="n">
        <v>0.698</v>
      </c>
      <c r="F1822" s="7" t="n">
        <v>1200</v>
      </c>
    </row>
    <row r="1823">
      <c r="A1823" s="5" t="inlineStr">
        <is>
          <t>Apoyo democracia</t>
        </is>
      </c>
      <c r="B1823" s="5" t="inlineStr">
        <is>
          <t>Venezuela</t>
        </is>
      </c>
      <c r="C1823" s="5" t="n">
        <v>2006</v>
      </c>
      <c r="D1823" s="5" t="inlineStr">
        <is>
          <t>Gobierno Autoritario</t>
        </is>
      </c>
      <c r="E1823" s="6" t="n">
        <v>0.114</v>
      </c>
      <c r="F1823" s="7" t="n">
        <v>1200</v>
      </c>
    </row>
    <row r="1824">
      <c r="A1824" s="5" t="inlineStr">
        <is>
          <t>Apoyo democracia</t>
        </is>
      </c>
      <c r="B1824" s="5" t="inlineStr">
        <is>
          <t>Venezuela</t>
        </is>
      </c>
      <c r="C1824" s="5" t="n">
        <v>2006</v>
      </c>
      <c r="D1824" s="5" t="inlineStr">
        <is>
          <t>Da lo mismo</t>
        </is>
      </c>
      <c r="E1824" s="6" t="n">
        <v>0.108</v>
      </c>
      <c r="F1824" s="7" t="n">
        <v>1200</v>
      </c>
    </row>
    <row r="1825">
      <c r="A1825" s="5" t="inlineStr">
        <is>
          <t>Apoyo democracia</t>
        </is>
      </c>
      <c r="B1825" s="5" t="inlineStr">
        <is>
          <t>Venezuela</t>
        </is>
      </c>
      <c r="C1825" s="5" t="n">
        <v>2006</v>
      </c>
      <c r="D1825" s="5" t="inlineStr">
        <is>
          <t>No sabe</t>
        </is>
      </c>
      <c r="E1825" s="6" t="n">
        <v>0.03</v>
      </c>
      <c r="F1825" s="7" t="n">
        <v>1200</v>
      </c>
    </row>
    <row r="1826">
      <c r="A1826" s="5" t="inlineStr">
        <is>
          <t>Apoyo democracia</t>
        </is>
      </c>
      <c r="B1826" s="5" t="inlineStr">
        <is>
          <t>Venezuela</t>
        </is>
      </c>
      <c r="C1826" s="5" t="n">
        <v>2006</v>
      </c>
      <c r="D1826" s="5" t="inlineStr">
        <is>
          <t>No contesta</t>
        </is>
      </c>
      <c r="E1826" s="6" t="n">
        <v>0.049</v>
      </c>
      <c r="F1826" s="7" t="n">
        <v>1200</v>
      </c>
    </row>
    <row r="1827">
      <c r="A1827" s="5" t="inlineStr">
        <is>
          <t>Apoyo democracia</t>
        </is>
      </c>
      <c r="B1827" s="5" t="inlineStr">
        <is>
          <t>Venezuela</t>
        </is>
      </c>
      <c r="C1827" s="5" t="n">
        <v>2007</v>
      </c>
      <c r="D1827" s="5" t="inlineStr">
        <is>
          <t>Democracia</t>
        </is>
      </c>
      <c r="E1827" s="6" t="n">
        <v>0.667</v>
      </c>
      <c r="F1827" s="7" t="n">
        <v>1200</v>
      </c>
    </row>
    <row r="1828">
      <c r="A1828" s="5" t="inlineStr">
        <is>
          <t>Apoyo democracia</t>
        </is>
      </c>
      <c r="B1828" s="5" t="inlineStr">
        <is>
          <t>Venezuela</t>
        </is>
      </c>
      <c r="C1828" s="5" t="n">
        <v>2007</v>
      </c>
      <c r="D1828" s="5" t="inlineStr">
        <is>
          <t>Gobierno Autoritario</t>
        </is>
      </c>
      <c r="E1828" s="6" t="n">
        <v>0.139</v>
      </c>
      <c r="F1828" s="7" t="n">
        <v>1200</v>
      </c>
    </row>
    <row r="1829">
      <c r="A1829" s="5" t="inlineStr">
        <is>
          <t>Apoyo democracia</t>
        </is>
      </c>
      <c r="B1829" s="5" t="inlineStr">
        <is>
          <t>Venezuela</t>
        </is>
      </c>
      <c r="C1829" s="5" t="n">
        <v>2007</v>
      </c>
      <c r="D1829" s="5" t="inlineStr">
        <is>
          <t>Da lo mismo</t>
        </is>
      </c>
      <c r="E1829" s="6" t="n">
        <v>0.129</v>
      </c>
      <c r="F1829" s="7" t="n">
        <v>1200</v>
      </c>
    </row>
    <row r="1830">
      <c r="A1830" s="5" t="inlineStr">
        <is>
          <t>Apoyo democracia</t>
        </is>
      </c>
      <c r="B1830" s="5" t="inlineStr">
        <is>
          <t>Venezuela</t>
        </is>
      </c>
      <c r="C1830" s="5" t="n">
        <v>2007</v>
      </c>
      <c r="D1830" s="5" t="inlineStr">
        <is>
          <t>No sabe</t>
        </is>
      </c>
      <c r="E1830" s="6" t="n">
        <v>0.039</v>
      </c>
      <c r="F1830" s="7" t="n">
        <v>1200</v>
      </c>
    </row>
    <row r="1831">
      <c r="A1831" s="5" t="inlineStr">
        <is>
          <t>Apoyo democracia</t>
        </is>
      </c>
      <c r="B1831" s="5" t="inlineStr">
        <is>
          <t>Venezuela</t>
        </is>
      </c>
      <c r="C1831" s="5" t="n">
        <v>2007</v>
      </c>
      <c r="D1831" s="5" t="inlineStr">
        <is>
          <t>No contesta</t>
        </is>
      </c>
      <c r="E1831" s="6" t="n">
        <v>0.026</v>
      </c>
      <c r="F1831" s="7" t="n">
        <v>1200</v>
      </c>
    </row>
    <row r="1832">
      <c r="A1832" s="5" t="inlineStr">
        <is>
          <t>Apoyo democracia</t>
        </is>
      </c>
      <c r="B1832" s="5" t="inlineStr">
        <is>
          <t>Venezuela</t>
        </is>
      </c>
      <c r="C1832" s="5" t="n">
        <v>2008</v>
      </c>
      <c r="D1832" s="5" t="inlineStr">
        <is>
          <t>Democracia</t>
        </is>
      </c>
      <c r="E1832" s="6" t="n">
        <v>0.8159999999999999</v>
      </c>
      <c r="F1832" s="7" t="n">
        <v>1200</v>
      </c>
    </row>
    <row r="1833">
      <c r="A1833" s="5" t="inlineStr">
        <is>
          <t>Apoyo democracia</t>
        </is>
      </c>
      <c r="B1833" s="5" t="inlineStr">
        <is>
          <t>Venezuela</t>
        </is>
      </c>
      <c r="C1833" s="5" t="n">
        <v>2008</v>
      </c>
      <c r="D1833" s="5" t="inlineStr">
        <is>
          <t>Gobierno Autoritario</t>
        </is>
      </c>
      <c r="E1833" s="6" t="n">
        <v>0.09300000000000001</v>
      </c>
      <c r="F1833" s="7" t="n">
        <v>1200</v>
      </c>
    </row>
    <row r="1834">
      <c r="A1834" s="5" t="inlineStr">
        <is>
          <t>Apoyo democracia</t>
        </is>
      </c>
      <c r="B1834" s="5" t="inlineStr">
        <is>
          <t>Venezuela</t>
        </is>
      </c>
      <c r="C1834" s="5" t="n">
        <v>2008</v>
      </c>
      <c r="D1834" s="5" t="inlineStr">
        <is>
          <t>Da lo mismo</t>
        </is>
      </c>
      <c r="E1834" s="6" t="n">
        <v>0.068</v>
      </c>
      <c r="F1834" s="7" t="n">
        <v>1200</v>
      </c>
    </row>
    <row r="1835">
      <c r="A1835" s="5" t="inlineStr">
        <is>
          <t>Apoyo democracia</t>
        </is>
      </c>
      <c r="B1835" s="5" t="inlineStr">
        <is>
          <t>Venezuela</t>
        </is>
      </c>
      <c r="C1835" s="5" t="n">
        <v>2008</v>
      </c>
      <c r="D1835" s="5" t="inlineStr">
        <is>
          <t>No sabe</t>
        </is>
      </c>
      <c r="E1835" s="6" t="n">
        <v>0.015</v>
      </c>
      <c r="F1835" s="7" t="n">
        <v>1200</v>
      </c>
    </row>
    <row r="1836">
      <c r="A1836" s="5" t="inlineStr">
        <is>
          <t>Apoyo democracia</t>
        </is>
      </c>
      <c r="B1836" s="5" t="inlineStr">
        <is>
          <t>Venezuela</t>
        </is>
      </c>
      <c r="C1836" s="5" t="n">
        <v>2008</v>
      </c>
      <c r="D1836" s="5" t="inlineStr">
        <is>
          <t>No contesta</t>
        </is>
      </c>
      <c r="E1836" s="6" t="n">
        <v>0.008</v>
      </c>
      <c r="F1836" s="7" t="n">
        <v>1200</v>
      </c>
    </row>
    <row r="1837">
      <c r="A1837" s="5" t="inlineStr">
        <is>
          <t>Apoyo democracia</t>
        </is>
      </c>
      <c r="B1837" s="5" t="inlineStr">
        <is>
          <t>Venezuela</t>
        </is>
      </c>
      <c r="C1837" s="5" t="n">
        <v>2009</v>
      </c>
      <c r="D1837" s="5" t="inlineStr">
        <is>
          <t>Democracia</t>
        </is>
      </c>
      <c r="E1837" s="6" t="n">
        <v>0.847</v>
      </c>
      <c r="F1837" s="7" t="n">
        <v>1200</v>
      </c>
    </row>
    <row r="1838">
      <c r="A1838" s="5" t="inlineStr">
        <is>
          <t>Apoyo democracia</t>
        </is>
      </c>
      <c r="B1838" s="5" t="inlineStr">
        <is>
          <t>Venezuela</t>
        </is>
      </c>
      <c r="C1838" s="5" t="n">
        <v>2009</v>
      </c>
      <c r="D1838" s="5" t="inlineStr">
        <is>
          <t>Gobierno Autoritario</t>
        </is>
      </c>
      <c r="E1838" s="6" t="n">
        <v>0.059</v>
      </c>
      <c r="F1838" s="7" t="n">
        <v>1200</v>
      </c>
    </row>
    <row r="1839">
      <c r="A1839" s="5" t="inlineStr">
        <is>
          <t>Apoyo democracia</t>
        </is>
      </c>
      <c r="B1839" s="5" t="inlineStr">
        <is>
          <t>Venezuela</t>
        </is>
      </c>
      <c r="C1839" s="5" t="n">
        <v>2009</v>
      </c>
      <c r="D1839" s="5" t="inlineStr">
        <is>
          <t>Da lo mismo</t>
        </is>
      </c>
      <c r="E1839" s="6" t="n">
        <v>0.075</v>
      </c>
      <c r="F1839" s="7" t="n">
        <v>1200</v>
      </c>
    </row>
    <row r="1840">
      <c r="A1840" s="5" t="inlineStr">
        <is>
          <t>Apoyo democracia</t>
        </is>
      </c>
      <c r="B1840" s="5" t="inlineStr">
        <is>
          <t>Venezuela</t>
        </is>
      </c>
      <c r="C1840" s="5" t="n">
        <v>2009</v>
      </c>
      <c r="D1840" s="5" t="inlineStr">
        <is>
          <t>No sabe</t>
        </is>
      </c>
      <c r="E1840" s="6" t="n">
        <v>0.016</v>
      </c>
      <c r="F1840" s="7" t="n">
        <v>1200</v>
      </c>
    </row>
    <row r="1841">
      <c r="A1841" s="5" t="inlineStr">
        <is>
          <t>Apoyo democracia</t>
        </is>
      </c>
      <c r="B1841" s="5" t="inlineStr">
        <is>
          <t>Venezuela</t>
        </is>
      </c>
      <c r="C1841" s="5" t="n">
        <v>2009</v>
      </c>
      <c r="D1841" s="5" t="inlineStr">
        <is>
          <t>No contesta</t>
        </is>
      </c>
      <c r="E1841" s="6" t="n">
        <v>0.002</v>
      </c>
      <c r="F1841" s="7" t="n">
        <v>1200</v>
      </c>
    </row>
    <row r="1842">
      <c r="A1842" s="5" t="inlineStr">
        <is>
          <t>Apoyo democracia</t>
        </is>
      </c>
      <c r="B1842" s="5" t="inlineStr">
        <is>
          <t>Venezuela</t>
        </is>
      </c>
      <c r="C1842" s="5" t="n">
        <v>2010</v>
      </c>
      <c r="D1842" s="5" t="inlineStr">
        <is>
          <t>Democracia</t>
        </is>
      </c>
      <c r="E1842" s="6" t="n">
        <v>0.841</v>
      </c>
      <c r="F1842" s="7" t="n">
        <v>1200</v>
      </c>
    </row>
    <row r="1843">
      <c r="A1843" s="5" t="inlineStr">
        <is>
          <t>Apoyo democracia</t>
        </is>
      </c>
      <c r="B1843" s="5" t="inlineStr">
        <is>
          <t>Venezuela</t>
        </is>
      </c>
      <c r="C1843" s="5" t="n">
        <v>2010</v>
      </c>
      <c r="D1843" s="5" t="inlineStr">
        <is>
          <t>Gobierno Autoritario</t>
        </is>
      </c>
      <c r="E1843" s="6" t="n">
        <v>0.08599999999999999</v>
      </c>
      <c r="F1843" s="7" t="n">
        <v>1200</v>
      </c>
    </row>
    <row r="1844">
      <c r="A1844" s="5" t="inlineStr">
        <is>
          <t>Apoyo democracia</t>
        </is>
      </c>
      <c r="B1844" s="5" t="inlineStr">
        <is>
          <t>Venezuela</t>
        </is>
      </c>
      <c r="C1844" s="5" t="n">
        <v>2010</v>
      </c>
      <c r="D1844" s="5" t="inlineStr">
        <is>
          <t>Da lo mismo</t>
        </is>
      </c>
      <c r="E1844" s="6" t="n">
        <v>0.046</v>
      </c>
      <c r="F1844" s="7" t="n">
        <v>1200</v>
      </c>
    </row>
    <row r="1845">
      <c r="A1845" s="5" t="inlineStr">
        <is>
          <t>Apoyo democracia</t>
        </is>
      </c>
      <c r="B1845" s="5" t="inlineStr">
        <is>
          <t>Venezuela</t>
        </is>
      </c>
      <c r="C1845" s="5" t="n">
        <v>2010</v>
      </c>
      <c r="D1845" s="5" t="inlineStr">
        <is>
          <t>No sabe</t>
        </is>
      </c>
      <c r="E1845" s="6" t="n">
        <v>0.015</v>
      </c>
      <c r="F1845" s="7" t="n">
        <v>1200</v>
      </c>
    </row>
    <row r="1846">
      <c r="A1846" s="5" t="inlineStr">
        <is>
          <t>Apoyo democracia</t>
        </is>
      </c>
      <c r="B1846" s="5" t="inlineStr">
        <is>
          <t>Venezuela</t>
        </is>
      </c>
      <c r="C1846" s="5" t="n">
        <v>2010</v>
      </c>
      <c r="D1846" s="5" t="inlineStr">
        <is>
          <t>No contesta</t>
        </is>
      </c>
      <c r="E1846" s="6" t="n">
        <v>0.013</v>
      </c>
      <c r="F1846" s="7" t="n">
        <v>1200</v>
      </c>
    </row>
    <row r="1847">
      <c r="A1847" s="5" t="inlineStr">
        <is>
          <t>Apoyo democracia</t>
        </is>
      </c>
      <c r="B1847" s="5" t="inlineStr">
        <is>
          <t>Venezuela</t>
        </is>
      </c>
      <c r="C1847" s="5" t="n">
        <v>2011</v>
      </c>
      <c r="D1847" s="5" t="inlineStr">
        <is>
          <t>Democracia</t>
        </is>
      </c>
      <c r="E1847" s="6" t="n">
        <v>0.773</v>
      </c>
      <c r="F1847" s="7" t="n">
        <v>1200</v>
      </c>
    </row>
    <row r="1848">
      <c r="A1848" s="5" t="inlineStr">
        <is>
          <t>Apoyo democracia</t>
        </is>
      </c>
      <c r="B1848" s="5" t="inlineStr">
        <is>
          <t>Venezuela</t>
        </is>
      </c>
      <c r="C1848" s="5" t="n">
        <v>2011</v>
      </c>
      <c r="D1848" s="5" t="inlineStr">
        <is>
          <t>Gobierno Autoritario</t>
        </is>
      </c>
      <c r="E1848" s="6" t="n">
        <v>0.138</v>
      </c>
      <c r="F1848" s="7" t="n">
        <v>1200</v>
      </c>
    </row>
    <row r="1849">
      <c r="A1849" s="5" t="inlineStr">
        <is>
          <t>Apoyo democracia</t>
        </is>
      </c>
      <c r="B1849" s="5" t="inlineStr">
        <is>
          <t>Venezuela</t>
        </is>
      </c>
      <c r="C1849" s="5" t="n">
        <v>2011</v>
      </c>
      <c r="D1849" s="5" t="inlineStr">
        <is>
          <t>Da lo mismo</t>
        </is>
      </c>
      <c r="E1849" s="6" t="n">
        <v>0.065</v>
      </c>
      <c r="F1849" s="7" t="n">
        <v>1200</v>
      </c>
    </row>
    <row r="1850">
      <c r="A1850" s="5" t="inlineStr">
        <is>
          <t>Apoyo democracia</t>
        </is>
      </c>
      <c r="B1850" s="5" t="inlineStr">
        <is>
          <t>Venezuela</t>
        </is>
      </c>
      <c r="C1850" s="5" t="n">
        <v>2011</v>
      </c>
      <c r="D1850" s="5" t="inlineStr">
        <is>
          <t>No sabe</t>
        </is>
      </c>
      <c r="E1850" s="6" t="n">
        <v>0.012</v>
      </c>
      <c r="F1850" s="7" t="n">
        <v>1200</v>
      </c>
    </row>
    <row r="1851">
      <c r="A1851" s="5" t="inlineStr">
        <is>
          <t>Apoyo democracia</t>
        </is>
      </c>
      <c r="B1851" s="5" t="inlineStr">
        <is>
          <t>Venezuela</t>
        </is>
      </c>
      <c r="C1851" s="5" t="n">
        <v>2011</v>
      </c>
      <c r="D1851" s="5" t="inlineStr">
        <is>
          <t>No contesta</t>
        </is>
      </c>
      <c r="E1851" s="6" t="n">
        <v>0.012</v>
      </c>
      <c r="F1851" s="7" t="n">
        <v>1200</v>
      </c>
    </row>
    <row r="1852">
      <c r="A1852" s="5" t="inlineStr">
        <is>
          <t>Apoyo democracia</t>
        </is>
      </c>
      <c r="B1852" s="5" t="inlineStr">
        <is>
          <t>Venezuela</t>
        </is>
      </c>
      <c r="C1852" s="5" t="n">
        <v>2016</v>
      </c>
      <c r="D1852" s="5" t="inlineStr">
        <is>
          <t>Democracia</t>
        </is>
      </c>
      <c r="E1852" s="6" t="n">
        <v>0.768</v>
      </c>
      <c r="F1852" s="7" t="n">
        <v>1200</v>
      </c>
    </row>
    <row r="1853">
      <c r="A1853" s="5" t="inlineStr">
        <is>
          <t>Apoyo democracia</t>
        </is>
      </c>
      <c r="B1853" s="5" t="inlineStr">
        <is>
          <t>Venezuela</t>
        </is>
      </c>
      <c r="C1853" s="5" t="n">
        <v>2016</v>
      </c>
      <c r="D1853" s="5" t="inlineStr">
        <is>
          <t>Gobierno Autoritario</t>
        </is>
      </c>
      <c r="E1853" s="6" t="n">
        <v>0.126</v>
      </c>
      <c r="F1853" s="7" t="n">
        <v>1200</v>
      </c>
    </row>
    <row r="1854">
      <c r="A1854" s="5" t="inlineStr">
        <is>
          <t>Apoyo democracia</t>
        </is>
      </c>
      <c r="B1854" s="5" t="inlineStr">
        <is>
          <t>Venezuela</t>
        </is>
      </c>
      <c r="C1854" s="5" t="n">
        <v>2016</v>
      </c>
      <c r="D1854" s="5" t="inlineStr">
        <is>
          <t>Da lo mismo</t>
        </is>
      </c>
      <c r="E1854" s="6" t="n">
        <v>0.096</v>
      </c>
      <c r="F1854" s="7" t="n">
        <v>1200</v>
      </c>
    </row>
    <row r="1855">
      <c r="A1855" s="5" t="inlineStr">
        <is>
          <t>Apoyo democracia</t>
        </is>
      </c>
      <c r="B1855" s="5" t="inlineStr">
        <is>
          <t>Venezuela</t>
        </is>
      </c>
      <c r="C1855" s="5" t="n">
        <v>2016</v>
      </c>
      <c r="D1855" s="5" t="inlineStr">
        <is>
          <t>No sabe</t>
        </is>
      </c>
      <c r="E1855" s="6" t="n">
        <v>0.01</v>
      </c>
      <c r="F1855" s="7" t="n">
        <v>1200</v>
      </c>
    </row>
    <row r="1856">
      <c r="A1856" s="5" t="inlineStr">
        <is>
          <t>Apoyo democracia</t>
        </is>
      </c>
      <c r="B1856" s="5" t="inlineStr">
        <is>
          <t>Venezuela</t>
        </is>
      </c>
      <c r="C1856" s="5" t="n">
        <v>2016</v>
      </c>
      <c r="D1856" s="5" t="inlineStr">
        <is>
          <t>No contesta</t>
        </is>
      </c>
      <c r="E1856" s="6" t="n">
        <v>0.001</v>
      </c>
      <c r="F1856" s="7" t="n">
        <v>1200</v>
      </c>
    </row>
    <row r="1857">
      <c r="A1857" s="5" t="inlineStr">
        <is>
          <t>Apoyo democracia</t>
        </is>
      </c>
      <c r="B1857" s="5" t="inlineStr">
        <is>
          <t>Venezuela</t>
        </is>
      </c>
      <c r="C1857" s="5" t="n">
        <v>2017</v>
      </c>
      <c r="D1857" s="5" t="inlineStr">
        <is>
          <t>Democracia</t>
        </is>
      </c>
      <c r="E1857" s="6" t="n">
        <v>0.782</v>
      </c>
      <c r="F1857" s="7" t="n">
        <v>1200</v>
      </c>
    </row>
    <row r="1858">
      <c r="A1858" s="5" t="inlineStr">
        <is>
          <t>Apoyo democracia</t>
        </is>
      </c>
      <c r="B1858" s="5" t="inlineStr">
        <is>
          <t>Venezuela</t>
        </is>
      </c>
      <c r="C1858" s="5" t="n">
        <v>2017</v>
      </c>
      <c r="D1858" s="5" t="inlineStr">
        <is>
          <t>Gobierno Autoritario</t>
        </is>
      </c>
      <c r="E1858" s="6" t="n">
        <v>0.062</v>
      </c>
      <c r="F1858" s="7" t="n">
        <v>1200</v>
      </c>
    </row>
    <row r="1859">
      <c r="A1859" s="5" t="inlineStr">
        <is>
          <t>Apoyo democracia</t>
        </is>
      </c>
      <c r="B1859" s="5" t="inlineStr">
        <is>
          <t>Venezuela</t>
        </is>
      </c>
      <c r="C1859" s="5" t="n">
        <v>2017</v>
      </c>
      <c r="D1859" s="5" t="inlineStr">
        <is>
          <t>Da lo mismo</t>
        </is>
      </c>
      <c r="E1859" s="6" t="n">
        <v>0.109</v>
      </c>
      <c r="F1859" s="7" t="n">
        <v>1200</v>
      </c>
    </row>
    <row r="1860">
      <c r="A1860" s="5" t="inlineStr">
        <is>
          <t>Apoyo democracia</t>
        </is>
      </c>
      <c r="B1860" s="5" t="inlineStr">
        <is>
          <t>Venezuela</t>
        </is>
      </c>
      <c r="C1860" s="5" t="n">
        <v>2017</v>
      </c>
      <c r="D1860" s="5" t="inlineStr">
        <is>
          <t>No sabe</t>
        </is>
      </c>
      <c r="E1860" s="6" t="n">
        <v>0.043</v>
      </c>
      <c r="F1860" s="7" t="n">
        <v>1200</v>
      </c>
    </row>
    <row r="1861">
      <c r="A1861" s="5" t="inlineStr">
        <is>
          <t>Apoyo democracia</t>
        </is>
      </c>
      <c r="B1861" s="5" t="inlineStr">
        <is>
          <t>Venezuela</t>
        </is>
      </c>
      <c r="C1861" s="5" t="n">
        <v>2017</v>
      </c>
      <c r="D1861" s="5" t="inlineStr">
        <is>
          <t>No contesta</t>
        </is>
      </c>
      <c r="E1861" s="6" t="n">
        <v>0.004</v>
      </c>
      <c r="F1861" s="7" t="n">
        <v>1200</v>
      </c>
    </row>
    <row r="1862">
      <c r="A1862" s="5" t="inlineStr">
        <is>
          <t>Apoyo democracia</t>
        </is>
      </c>
      <c r="B1862" s="5" t="inlineStr">
        <is>
          <t>Venezuela</t>
        </is>
      </c>
      <c r="C1862" s="5" t="n">
        <v>2018</v>
      </c>
      <c r="D1862" s="5" t="inlineStr">
        <is>
          <t>Democracia</t>
        </is>
      </c>
      <c r="E1862" s="6" t="n">
        <v>0.745</v>
      </c>
      <c r="F1862" s="7" t="n">
        <v>1200</v>
      </c>
    </row>
    <row r="1863">
      <c r="A1863" s="5" t="inlineStr">
        <is>
          <t>Apoyo democracia</t>
        </is>
      </c>
      <c r="B1863" s="5" t="inlineStr">
        <is>
          <t>Venezuela</t>
        </is>
      </c>
      <c r="C1863" s="5" t="n">
        <v>2018</v>
      </c>
      <c r="D1863" s="5" t="inlineStr">
        <is>
          <t>Gobierno Autoritario</t>
        </is>
      </c>
      <c r="E1863" s="6" t="n">
        <v>0.065</v>
      </c>
      <c r="F1863" s="7" t="n">
        <v>1200</v>
      </c>
    </row>
    <row r="1864">
      <c r="A1864" s="5" t="inlineStr">
        <is>
          <t>Apoyo democracia</t>
        </is>
      </c>
      <c r="B1864" s="5" t="inlineStr">
        <is>
          <t>Venezuela</t>
        </is>
      </c>
      <c r="C1864" s="5" t="n">
        <v>2018</v>
      </c>
      <c r="D1864" s="5" t="inlineStr">
        <is>
          <t>Da lo mismo</t>
        </is>
      </c>
      <c r="E1864" s="6" t="n">
        <v>0.139</v>
      </c>
      <c r="F1864" s="7" t="n">
        <v>1200</v>
      </c>
    </row>
    <row r="1865">
      <c r="A1865" s="5" t="inlineStr">
        <is>
          <t>Apoyo democracia</t>
        </is>
      </c>
      <c r="B1865" s="5" t="inlineStr">
        <is>
          <t>Venezuela</t>
        </is>
      </c>
      <c r="C1865" s="5" t="n">
        <v>2018</v>
      </c>
      <c r="D1865" s="5" t="inlineStr">
        <is>
          <t>No sabe</t>
        </is>
      </c>
      <c r="E1865" s="6" t="n">
        <v>0.04</v>
      </c>
      <c r="F1865" s="7" t="n">
        <v>1200</v>
      </c>
    </row>
    <row r="1866">
      <c r="A1866" s="5" t="inlineStr">
        <is>
          <t>Apoyo democracia</t>
        </is>
      </c>
      <c r="B1866" s="5" t="inlineStr">
        <is>
          <t>Venezuela</t>
        </is>
      </c>
      <c r="C1866" s="5" t="n">
        <v>2018</v>
      </c>
      <c r="D1866" s="5" t="inlineStr">
        <is>
          <t>No contesta</t>
        </is>
      </c>
      <c r="E1866" s="6" t="n">
        <v>0.011</v>
      </c>
      <c r="F1866" s="7" t="n">
        <v>1200</v>
      </c>
    </row>
    <row r="1867">
      <c r="A1867" s="5" t="inlineStr">
        <is>
          <t>Apoyo democracia</t>
        </is>
      </c>
      <c r="B1867" s="5" t="inlineStr">
        <is>
          <t>Venezuela</t>
        </is>
      </c>
      <c r="C1867" s="5" t="n">
        <v>2020</v>
      </c>
      <c r="D1867" s="5" t="inlineStr">
        <is>
          <t>Democracia</t>
        </is>
      </c>
      <c r="E1867" s="6" t="n">
        <v>0.6859999999999999</v>
      </c>
      <c r="F1867" s="7" t="n">
        <v>1198</v>
      </c>
    </row>
    <row r="1868">
      <c r="A1868" s="5" t="inlineStr">
        <is>
          <t>Apoyo democracia</t>
        </is>
      </c>
      <c r="B1868" s="5" t="inlineStr">
        <is>
          <t>Venezuela</t>
        </is>
      </c>
      <c r="C1868" s="5" t="n">
        <v>2020</v>
      </c>
      <c r="D1868" s="5" t="inlineStr">
        <is>
          <t>Gobierno Autoritario</t>
        </is>
      </c>
      <c r="E1868" s="6" t="n">
        <v>0.07000000000000001</v>
      </c>
      <c r="F1868" s="7" t="n">
        <v>1198</v>
      </c>
    </row>
    <row r="1869">
      <c r="A1869" s="5" t="inlineStr">
        <is>
          <t>Apoyo democracia</t>
        </is>
      </c>
      <c r="B1869" s="5" t="inlineStr">
        <is>
          <t>Venezuela</t>
        </is>
      </c>
      <c r="C1869" s="5" t="n">
        <v>2020</v>
      </c>
      <c r="D1869" s="5" t="inlineStr">
        <is>
          <t>Da lo mismo</t>
        </is>
      </c>
      <c r="E1869" s="6" t="n">
        <v>0.177</v>
      </c>
      <c r="F1869" s="7" t="n">
        <v>1198</v>
      </c>
    </row>
    <row r="1870">
      <c r="A1870" s="5" t="inlineStr">
        <is>
          <t>Apoyo democracia</t>
        </is>
      </c>
      <c r="B1870" s="5" t="inlineStr">
        <is>
          <t>Venezuela</t>
        </is>
      </c>
      <c r="C1870" s="5" t="n">
        <v>2020</v>
      </c>
      <c r="D1870" s="5" t="inlineStr">
        <is>
          <t>No sabe</t>
        </is>
      </c>
      <c r="E1870" s="6" t="n">
        <v>0.059</v>
      </c>
      <c r="F1870" s="7" t="n">
        <v>1198</v>
      </c>
    </row>
    <row r="1871">
      <c r="A1871" s="5" t="inlineStr">
        <is>
          <t>Apoyo democracia</t>
        </is>
      </c>
      <c r="B1871" s="5" t="inlineStr">
        <is>
          <t>Venezuela</t>
        </is>
      </c>
      <c r="C1871" s="5" t="n">
        <v>2020</v>
      </c>
      <c r="D1871" s="5" t="inlineStr">
        <is>
          <t>No contesta</t>
        </is>
      </c>
      <c r="E1871" s="6" t="n">
        <v>0.008</v>
      </c>
      <c r="F1871" s="7" t="n">
        <v>1198</v>
      </c>
    </row>
    <row r="1872">
      <c r="A1872" s="5" t="inlineStr">
        <is>
          <t>Apoyo democracia</t>
        </is>
      </c>
      <c r="B1872" s="5" t="inlineStr">
        <is>
          <t>Venezuela</t>
        </is>
      </c>
      <c r="C1872" s="5" t="n">
        <v>2024</v>
      </c>
      <c r="D1872" s="5" t="inlineStr">
        <is>
          <t>Democracia</t>
        </is>
      </c>
      <c r="E1872" s="6" t="n">
        <v>0.6</v>
      </c>
      <c r="F1872" s="7" t="n">
        <v>1200</v>
      </c>
    </row>
    <row r="1873">
      <c r="A1873" s="5" t="inlineStr">
        <is>
          <t>Apoyo democracia</t>
        </is>
      </c>
      <c r="B1873" s="5" t="inlineStr">
        <is>
          <t>Venezuela</t>
        </is>
      </c>
      <c r="C1873" s="5" t="n">
        <v>2024</v>
      </c>
      <c r="D1873" s="5" t="inlineStr">
        <is>
          <t>Gobierno Autoritario</t>
        </is>
      </c>
      <c r="E1873" s="6" t="n">
        <v>0.167</v>
      </c>
      <c r="F1873" s="7" t="n">
        <v>1200</v>
      </c>
    </row>
    <row r="1874">
      <c r="A1874" s="5" t="inlineStr">
        <is>
          <t>Apoyo democracia</t>
        </is>
      </c>
      <c r="B1874" s="5" t="inlineStr">
        <is>
          <t>Venezuela</t>
        </is>
      </c>
      <c r="C1874" s="5" t="n">
        <v>2024</v>
      </c>
      <c r="D1874" s="5" t="inlineStr">
        <is>
          <t>Da lo mismo</t>
        </is>
      </c>
      <c r="E1874" s="6" t="n">
        <v>0.187</v>
      </c>
      <c r="F1874" s="7" t="n">
        <v>1200</v>
      </c>
    </row>
    <row r="1875">
      <c r="A1875" s="5" t="inlineStr">
        <is>
          <t>Apoyo democracia</t>
        </is>
      </c>
      <c r="B1875" s="5" t="inlineStr">
        <is>
          <t>Venezuela</t>
        </is>
      </c>
      <c r="C1875" s="5" t="n">
        <v>2024</v>
      </c>
      <c r="D1875" s="5" t="inlineStr">
        <is>
          <t>No sabe</t>
        </is>
      </c>
      <c r="E1875" s="6" t="n">
        <v>0.039</v>
      </c>
      <c r="F1875" s="7" t="n">
        <v>1200</v>
      </c>
    </row>
    <row r="1876">
      <c r="A1876" s="5" t="inlineStr">
        <is>
          <t>Apoyo democracia</t>
        </is>
      </c>
      <c r="B1876" s="5" t="inlineStr">
        <is>
          <t>Venezuela</t>
        </is>
      </c>
      <c r="C1876" s="5" t="n">
        <v>2024</v>
      </c>
      <c r="D1876" s="5" t="inlineStr">
        <is>
          <t>No contesta</t>
        </is>
      </c>
      <c r="E1876" s="6" t="n">
        <v>0.008</v>
      </c>
      <c r="F1876" s="7" t="n">
        <v>1200</v>
      </c>
    </row>
    <row r="1877">
      <c r="A1877" s="5" t="inlineStr">
        <is>
          <t>Grupos poderosos</t>
        </is>
      </c>
      <c r="B1877" s="5" t="inlineStr">
        <is>
          <t>Argentina</t>
        </is>
      </c>
      <c r="C1877" s="5" t="n">
        <v>2004</v>
      </c>
      <c r="D1877" s="5" t="inlineStr">
        <is>
          <t>Grupos poderosos en su propio beneficio</t>
        </is>
      </c>
      <c r="E1877" s="6" t="n">
        <v>0.713</v>
      </c>
      <c r="F1877" s="7" t="n">
        <v>1200</v>
      </c>
    </row>
    <row r="1878">
      <c r="A1878" s="5" t="inlineStr">
        <is>
          <t>Grupos poderosos</t>
        </is>
      </c>
      <c r="B1878" s="5" t="inlineStr">
        <is>
          <t>Argentina</t>
        </is>
      </c>
      <c r="C1878" s="5" t="n">
        <v>2004</v>
      </c>
      <c r="D1878" s="5" t="inlineStr">
        <is>
          <t>Para el bien de todo el pueblo</t>
        </is>
      </c>
      <c r="E1878" s="6" t="n">
        <v>0.235</v>
      </c>
      <c r="F1878" s="7" t="n">
        <v>1200</v>
      </c>
    </row>
    <row r="1879">
      <c r="A1879" s="5" t="inlineStr">
        <is>
          <t>Grupos poderosos</t>
        </is>
      </c>
      <c r="B1879" s="5" t="inlineStr">
        <is>
          <t>Argentina</t>
        </is>
      </c>
      <c r="C1879" s="5" t="n">
        <v>2004</v>
      </c>
      <c r="D1879" s="5" t="inlineStr">
        <is>
          <t>No sabe; no responde</t>
        </is>
      </c>
      <c r="E1879" s="6" t="n">
        <v>0.052</v>
      </c>
      <c r="F1879" s="7" t="n">
        <v>1200</v>
      </c>
    </row>
    <row r="1880">
      <c r="A1880" s="5" t="inlineStr">
        <is>
          <t>Grupos poderosos</t>
        </is>
      </c>
      <c r="B1880" s="5" t="inlineStr">
        <is>
          <t>Argentina</t>
        </is>
      </c>
      <c r="C1880" s="5" t="n">
        <v>2005</v>
      </c>
      <c r="D1880" s="5" t="inlineStr">
        <is>
          <t>Grupos poderosos en su propio beneficio</t>
        </is>
      </c>
      <c r="E1880" s="6" t="n">
        <v>0.764</v>
      </c>
      <c r="F1880" s="7" t="n">
        <v>1200</v>
      </c>
    </row>
    <row r="1881">
      <c r="A1881" s="5" t="inlineStr">
        <is>
          <t>Grupos poderosos</t>
        </is>
      </c>
      <c r="B1881" s="5" t="inlineStr">
        <is>
          <t>Argentina</t>
        </is>
      </c>
      <c r="C1881" s="5" t="n">
        <v>2005</v>
      </c>
      <c r="D1881" s="5" t="inlineStr">
        <is>
          <t>Para el bien de todo el pueblo</t>
        </is>
      </c>
      <c r="E1881" s="6" t="n">
        <v>0.188</v>
      </c>
      <c r="F1881" s="7" t="n">
        <v>1200</v>
      </c>
    </row>
    <row r="1882">
      <c r="A1882" s="5" t="inlineStr">
        <is>
          <t>Grupos poderosos</t>
        </is>
      </c>
      <c r="B1882" s="5" t="inlineStr">
        <is>
          <t>Argentina</t>
        </is>
      </c>
      <c r="C1882" s="5" t="n">
        <v>2005</v>
      </c>
      <c r="D1882" s="5" t="inlineStr">
        <is>
          <t>No sabe; no responde</t>
        </is>
      </c>
      <c r="E1882" s="6" t="n">
        <v>0.048</v>
      </c>
      <c r="F1882" s="7" t="n">
        <v>1200</v>
      </c>
    </row>
    <row r="1883">
      <c r="A1883" s="5" t="inlineStr">
        <is>
          <t>Grupos poderosos</t>
        </is>
      </c>
      <c r="B1883" s="5" t="inlineStr">
        <is>
          <t>Argentina</t>
        </is>
      </c>
      <c r="C1883" s="5" t="n">
        <v>2006</v>
      </c>
      <c r="D1883" s="5" t="inlineStr">
        <is>
          <t>Grupos poderosos en su propio beneficio</t>
        </is>
      </c>
      <c r="E1883" s="6" t="n">
        <v>0.7070000000000001</v>
      </c>
      <c r="F1883" s="7" t="n">
        <v>1200</v>
      </c>
    </row>
    <row r="1884">
      <c r="A1884" s="5" t="inlineStr">
        <is>
          <t>Grupos poderosos</t>
        </is>
      </c>
      <c r="B1884" s="5" t="inlineStr">
        <is>
          <t>Argentina</t>
        </is>
      </c>
      <c r="C1884" s="5" t="n">
        <v>2006</v>
      </c>
      <c r="D1884" s="5" t="inlineStr">
        <is>
          <t>Para el bien de todo el pueblo</t>
        </is>
      </c>
      <c r="E1884" s="6" t="n">
        <v>0.22</v>
      </c>
      <c r="F1884" s="7" t="n">
        <v>1200</v>
      </c>
    </row>
    <row r="1885">
      <c r="A1885" s="5" t="inlineStr">
        <is>
          <t>Grupos poderosos</t>
        </is>
      </c>
      <c r="B1885" s="5" t="inlineStr">
        <is>
          <t>Argentina</t>
        </is>
      </c>
      <c r="C1885" s="5" t="n">
        <v>2006</v>
      </c>
      <c r="D1885" s="5" t="inlineStr">
        <is>
          <t>No sabe; no responde</t>
        </is>
      </c>
      <c r="E1885" s="6" t="n">
        <v>0.073</v>
      </c>
      <c r="F1885" s="7" t="n">
        <v>1200</v>
      </c>
    </row>
    <row r="1886">
      <c r="A1886" s="5" t="inlineStr">
        <is>
          <t>Grupos poderosos</t>
        </is>
      </c>
      <c r="B1886" s="5" t="inlineStr">
        <is>
          <t>Argentina</t>
        </is>
      </c>
      <c r="C1886" s="5" t="n">
        <v>2007</v>
      </c>
      <c r="D1886" s="5" t="inlineStr">
        <is>
          <t>Grupos poderosos en su propio beneficio</t>
        </is>
      </c>
      <c r="E1886" s="6" t="n">
        <v>0.7759999999999999</v>
      </c>
      <c r="F1886" s="7" t="n">
        <v>1200</v>
      </c>
    </row>
    <row r="1887">
      <c r="A1887" s="5" t="inlineStr">
        <is>
          <t>Grupos poderosos</t>
        </is>
      </c>
      <c r="B1887" s="5" t="inlineStr">
        <is>
          <t>Argentina</t>
        </is>
      </c>
      <c r="C1887" s="5" t="n">
        <v>2007</v>
      </c>
      <c r="D1887" s="5" t="inlineStr">
        <is>
          <t>Para el bien de todo el pueblo</t>
        </is>
      </c>
      <c r="E1887" s="6" t="n">
        <v>0.175</v>
      </c>
      <c r="F1887" s="7" t="n">
        <v>1200</v>
      </c>
    </row>
    <row r="1888">
      <c r="A1888" s="5" t="inlineStr">
        <is>
          <t>Grupos poderosos</t>
        </is>
      </c>
      <c r="B1888" s="5" t="inlineStr">
        <is>
          <t>Argentina</t>
        </is>
      </c>
      <c r="C1888" s="5" t="n">
        <v>2007</v>
      </c>
      <c r="D1888" s="5" t="inlineStr">
        <is>
          <t>No sabe; no responde</t>
        </is>
      </c>
      <c r="E1888" s="6" t="n">
        <v>0.049</v>
      </c>
      <c r="F1888" s="7" t="n">
        <v>1200</v>
      </c>
    </row>
    <row r="1889">
      <c r="A1889" s="5" t="inlineStr">
        <is>
          <t>Grupos poderosos</t>
        </is>
      </c>
      <c r="B1889" s="5" t="inlineStr">
        <is>
          <t>Argentina</t>
        </is>
      </c>
      <c r="C1889" s="5" t="n">
        <v>2008</v>
      </c>
      <c r="D1889" s="5" t="inlineStr">
        <is>
          <t>Grupos poderosos en su propio beneficio</t>
        </is>
      </c>
      <c r="E1889" s="6" t="n">
        <v>0.868</v>
      </c>
      <c r="F1889" s="7" t="n">
        <v>1200</v>
      </c>
    </row>
    <row r="1890">
      <c r="A1890" s="5" t="inlineStr">
        <is>
          <t>Grupos poderosos</t>
        </is>
      </c>
      <c r="B1890" s="5" t="inlineStr">
        <is>
          <t>Argentina</t>
        </is>
      </c>
      <c r="C1890" s="5" t="n">
        <v>2008</v>
      </c>
      <c r="D1890" s="5" t="inlineStr">
        <is>
          <t>Para el bien de todo el pueblo</t>
        </is>
      </c>
      <c r="E1890" s="6" t="n">
        <v>0.101</v>
      </c>
      <c r="F1890" s="7" t="n">
        <v>1200</v>
      </c>
    </row>
    <row r="1891">
      <c r="A1891" s="5" t="inlineStr">
        <is>
          <t>Grupos poderosos</t>
        </is>
      </c>
      <c r="B1891" s="5" t="inlineStr">
        <is>
          <t>Argentina</t>
        </is>
      </c>
      <c r="C1891" s="5" t="n">
        <v>2008</v>
      </c>
      <c r="D1891" s="5" t="inlineStr">
        <is>
          <t>No sabe; no responde</t>
        </is>
      </c>
      <c r="E1891" s="6" t="n">
        <v>0.031</v>
      </c>
      <c r="F1891" s="7" t="n">
        <v>1200</v>
      </c>
    </row>
    <row r="1892">
      <c r="A1892" s="5" t="inlineStr">
        <is>
          <t>Grupos poderosos</t>
        </is>
      </c>
      <c r="B1892" s="5" t="inlineStr">
        <is>
          <t>Argentina</t>
        </is>
      </c>
      <c r="C1892" s="5" t="n">
        <v>2009</v>
      </c>
      <c r="D1892" s="5" t="inlineStr">
        <is>
          <t>Grupos poderosos en su propio beneficio</t>
        </is>
      </c>
      <c r="E1892" s="6" t="n">
        <v>0.888</v>
      </c>
      <c r="F1892" s="7" t="n">
        <v>1200</v>
      </c>
    </row>
    <row r="1893">
      <c r="A1893" s="5" t="inlineStr">
        <is>
          <t>Grupos poderosos</t>
        </is>
      </c>
      <c r="B1893" s="5" t="inlineStr">
        <is>
          <t>Argentina</t>
        </is>
      </c>
      <c r="C1893" s="5" t="n">
        <v>2009</v>
      </c>
      <c r="D1893" s="5" t="inlineStr">
        <is>
          <t>Para el bien de todo el pueblo</t>
        </is>
      </c>
      <c r="E1893" s="6" t="n">
        <v>0.06900000000000001</v>
      </c>
      <c r="F1893" s="7" t="n">
        <v>1200</v>
      </c>
    </row>
    <row r="1894">
      <c r="A1894" s="5" t="inlineStr">
        <is>
          <t>Grupos poderosos</t>
        </is>
      </c>
      <c r="B1894" s="5" t="inlineStr">
        <is>
          <t>Argentina</t>
        </is>
      </c>
      <c r="C1894" s="5" t="n">
        <v>2009</v>
      </c>
      <c r="D1894" s="5" t="inlineStr">
        <is>
          <t>No sabe; no responde</t>
        </is>
      </c>
      <c r="E1894" s="6" t="n">
        <v>0.043</v>
      </c>
      <c r="F1894" s="7" t="n">
        <v>1200</v>
      </c>
    </row>
    <row r="1895">
      <c r="A1895" s="5" t="inlineStr">
        <is>
          <t>Grupos poderosos</t>
        </is>
      </c>
      <c r="B1895" s="5" t="inlineStr">
        <is>
          <t>Argentina</t>
        </is>
      </c>
      <c r="C1895" s="5" t="n">
        <v>2010</v>
      </c>
      <c r="D1895" s="5" t="inlineStr">
        <is>
          <t>Grupos poderosos en su propio beneficio</t>
        </is>
      </c>
      <c r="E1895" s="6" t="n">
        <v>0.805</v>
      </c>
      <c r="F1895" s="7" t="n">
        <v>1200</v>
      </c>
    </row>
    <row r="1896">
      <c r="A1896" s="5" t="inlineStr">
        <is>
          <t>Grupos poderosos</t>
        </is>
      </c>
      <c r="B1896" s="5" t="inlineStr">
        <is>
          <t>Argentina</t>
        </is>
      </c>
      <c r="C1896" s="5" t="n">
        <v>2010</v>
      </c>
      <c r="D1896" s="5" t="inlineStr">
        <is>
          <t>Para el bien de todo el pueblo</t>
        </is>
      </c>
      <c r="E1896" s="6" t="n">
        <v>0.156</v>
      </c>
      <c r="F1896" s="7" t="n">
        <v>1200</v>
      </c>
    </row>
    <row r="1897">
      <c r="A1897" s="5" t="inlineStr">
        <is>
          <t>Grupos poderosos</t>
        </is>
      </c>
      <c r="B1897" s="5" t="inlineStr">
        <is>
          <t>Argentina</t>
        </is>
      </c>
      <c r="C1897" s="5" t="n">
        <v>2010</v>
      </c>
      <c r="D1897" s="5" t="inlineStr">
        <is>
          <t>No sabe; no responde</t>
        </is>
      </c>
      <c r="E1897" s="6" t="n">
        <v>0.04</v>
      </c>
      <c r="F1897" s="7" t="n">
        <v>1200</v>
      </c>
    </row>
    <row r="1898">
      <c r="A1898" s="5" t="inlineStr">
        <is>
          <t>Grupos poderosos</t>
        </is>
      </c>
      <c r="B1898" s="5" t="inlineStr">
        <is>
          <t>Argentina</t>
        </is>
      </c>
      <c r="C1898" s="5" t="n">
        <v>2011</v>
      </c>
      <c r="D1898" s="5" t="inlineStr">
        <is>
          <t>Grupos poderosos en su propio beneficio</t>
        </is>
      </c>
      <c r="E1898" s="6" t="n">
        <v>0.648</v>
      </c>
      <c r="F1898" s="7" t="n">
        <v>1200</v>
      </c>
    </row>
    <row r="1899">
      <c r="A1899" s="5" t="inlineStr">
        <is>
          <t>Grupos poderosos</t>
        </is>
      </c>
      <c r="B1899" s="5" t="inlineStr">
        <is>
          <t>Argentina</t>
        </is>
      </c>
      <c r="C1899" s="5" t="n">
        <v>2011</v>
      </c>
      <c r="D1899" s="5" t="inlineStr">
        <is>
          <t>Para el bien de todo el pueblo</t>
        </is>
      </c>
      <c r="E1899" s="6" t="n">
        <v>0.303</v>
      </c>
      <c r="F1899" s="7" t="n">
        <v>1200</v>
      </c>
    </row>
    <row r="1900">
      <c r="A1900" s="5" t="inlineStr">
        <is>
          <t>Grupos poderosos</t>
        </is>
      </c>
      <c r="B1900" s="5" t="inlineStr">
        <is>
          <t>Argentina</t>
        </is>
      </c>
      <c r="C1900" s="5" t="n">
        <v>2011</v>
      </c>
      <c r="D1900" s="5" t="inlineStr">
        <is>
          <t>No sabe; no responde</t>
        </is>
      </c>
      <c r="E1900" s="6" t="n">
        <v>0.049</v>
      </c>
      <c r="F1900" s="7" t="n">
        <v>1200</v>
      </c>
    </row>
    <row r="1901">
      <c r="A1901" s="5" t="inlineStr">
        <is>
          <t>Grupos poderosos</t>
        </is>
      </c>
      <c r="B1901" s="5" t="inlineStr">
        <is>
          <t>Argentina</t>
        </is>
      </c>
      <c r="C1901" s="5" t="n">
        <v>2015</v>
      </c>
      <c r="D1901" s="5" t="inlineStr">
        <is>
          <t>Grupos poderosos en su propio beneficio</t>
        </is>
      </c>
      <c r="E1901" s="6" t="n">
        <v>0.7140000000000001</v>
      </c>
      <c r="F1901" s="7" t="n">
        <v>1200</v>
      </c>
    </row>
    <row r="1902">
      <c r="A1902" s="5" t="inlineStr">
        <is>
          <t>Grupos poderosos</t>
        </is>
      </c>
      <c r="B1902" s="5" t="inlineStr">
        <is>
          <t>Argentina</t>
        </is>
      </c>
      <c r="C1902" s="5" t="n">
        <v>2015</v>
      </c>
      <c r="D1902" s="5" t="inlineStr">
        <is>
          <t>Para el bien de todo el pueblo</t>
        </is>
      </c>
      <c r="E1902" s="6" t="n">
        <v>0.242</v>
      </c>
      <c r="F1902" s="7" t="n">
        <v>1200</v>
      </c>
    </row>
    <row r="1903">
      <c r="A1903" s="5" t="inlineStr">
        <is>
          <t>Grupos poderosos</t>
        </is>
      </c>
      <c r="B1903" s="5" t="inlineStr">
        <is>
          <t>Argentina</t>
        </is>
      </c>
      <c r="C1903" s="5" t="n">
        <v>2015</v>
      </c>
      <c r="D1903" s="5" t="inlineStr">
        <is>
          <t>No sabe; no responde</t>
        </is>
      </c>
      <c r="E1903" s="6" t="n">
        <v>0.044</v>
      </c>
      <c r="F1903" s="7" t="n">
        <v>1200</v>
      </c>
    </row>
    <row r="1904">
      <c r="A1904" s="5" t="inlineStr">
        <is>
          <t>Grupos poderosos</t>
        </is>
      </c>
      <c r="B1904" s="5" t="inlineStr">
        <is>
          <t>Argentina</t>
        </is>
      </c>
      <c r="C1904" s="5" t="n">
        <v>2016</v>
      </c>
      <c r="D1904" s="5" t="inlineStr">
        <is>
          <t>Grupos poderosos en su propio beneficio</t>
        </is>
      </c>
      <c r="E1904" s="6" t="n">
        <v>0.679</v>
      </c>
      <c r="F1904" s="7" t="n">
        <v>1200</v>
      </c>
    </row>
    <row r="1905">
      <c r="A1905" s="5" t="inlineStr">
        <is>
          <t>Grupos poderosos</t>
        </is>
      </c>
      <c r="B1905" s="5" t="inlineStr">
        <is>
          <t>Argentina</t>
        </is>
      </c>
      <c r="C1905" s="5" t="n">
        <v>2016</v>
      </c>
      <c r="D1905" s="5" t="inlineStr">
        <is>
          <t>Para el bien de todo el pueblo</t>
        </is>
      </c>
      <c r="E1905" s="6" t="n">
        <v>0.263</v>
      </c>
      <c r="F1905" s="7" t="n">
        <v>1200</v>
      </c>
    </row>
    <row r="1906">
      <c r="A1906" s="5" t="inlineStr">
        <is>
          <t>Grupos poderosos</t>
        </is>
      </c>
      <c r="B1906" s="5" t="inlineStr">
        <is>
          <t>Argentina</t>
        </is>
      </c>
      <c r="C1906" s="5" t="n">
        <v>2016</v>
      </c>
      <c r="D1906" s="5" t="inlineStr">
        <is>
          <t>No sabe; no responde</t>
        </is>
      </c>
      <c r="E1906" s="6" t="n">
        <v>0.059</v>
      </c>
      <c r="F1906" s="7" t="n">
        <v>1200</v>
      </c>
    </row>
    <row r="1907">
      <c r="A1907" s="5" t="inlineStr">
        <is>
          <t>Grupos poderosos</t>
        </is>
      </c>
      <c r="B1907" s="5" t="inlineStr">
        <is>
          <t>Argentina</t>
        </is>
      </c>
      <c r="C1907" s="5" t="n">
        <v>2017</v>
      </c>
      <c r="D1907" s="5" t="inlineStr">
        <is>
          <t>Grupos poderosos en su propio beneficio</t>
        </is>
      </c>
      <c r="E1907" s="6" t="n">
        <v>0.731</v>
      </c>
      <c r="F1907" s="7" t="n">
        <v>1200</v>
      </c>
    </row>
    <row r="1908">
      <c r="A1908" s="5" t="inlineStr">
        <is>
          <t>Grupos poderosos</t>
        </is>
      </c>
      <c r="B1908" s="5" t="inlineStr">
        <is>
          <t>Argentina</t>
        </is>
      </c>
      <c r="C1908" s="5" t="n">
        <v>2017</v>
      </c>
      <c r="D1908" s="5" t="inlineStr">
        <is>
          <t>Para el bien de todo el pueblo</t>
        </is>
      </c>
      <c r="E1908" s="6" t="n">
        <v>0.226</v>
      </c>
      <c r="F1908" s="7" t="n">
        <v>1200</v>
      </c>
    </row>
    <row r="1909">
      <c r="A1909" s="5" t="inlineStr">
        <is>
          <t>Grupos poderosos</t>
        </is>
      </c>
      <c r="B1909" s="5" t="inlineStr">
        <is>
          <t>Argentina</t>
        </is>
      </c>
      <c r="C1909" s="5" t="n">
        <v>2017</v>
      </c>
      <c r="D1909" s="5" t="inlineStr">
        <is>
          <t>No sabe; no responde</t>
        </is>
      </c>
      <c r="E1909" s="6" t="n">
        <v>0.044</v>
      </c>
      <c r="F1909" s="7" t="n">
        <v>1200</v>
      </c>
    </row>
    <row r="1910">
      <c r="A1910" s="5" t="inlineStr">
        <is>
          <t>Grupos poderosos</t>
        </is>
      </c>
      <c r="B1910" s="5" t="inlineStr">
        <is>
          <t>Argentina</t>
        </is>
      </c>
      <c r="C1910" s="5" t="n">
        <v>2018</v>
      </c>
      <c r="D1910" s="5" t="inlineStr">
        <is>
          <t>Grupos poderosos en su propio beneficio</t>
        </is>
      </c>
      <c r="E1910" s="6" t="n">
        <v>0.8240000000000001</v>
      </c>
      <c r="F1910" s="7" t="n">
        <v>1200</v>
      </c>
    </row>
    <row r="1911">
      <c r="A1911" s="5" t="inlineStr">
        <is>
          <t>Grupos poderosos</t>
        </is>
      </c>
      <c r="B1911" s="5" t="inlineStr">
        <is>
          <t>Argentina</t>
        </is>
      </c>
      <c r="C1911" s="5" t="n">
        <v>2018</v>
      </c>
      <c r="D1911" s="5" t="inlineStr">
        <is>
          <t>Para el bien de todo el pueblo</t>
        </is>
      </c>
      <c r="E1911" s="6" t="n">
        <v>0.147</v>
      </c>
      <c r="F1911" s="7" t="n">
        <v>1200</v>
      </c>
    </row>
    <row r="1912">
      <c r="A1912" s="5" t="inlineStr">
        <is>
          <t>Grupos poderosos</t>
        </is>
      </c>
      <c r="B1912" s="5" t="inlineStr">
        <is>
          <t>Argentina</t>
        </is>
      </c>
      <c r="C1912" s="5" t="n">
        <v>2018</v>
      </c>
      <c r="D1912" s="5" t="inlineStr">
        <is>
          <t>No sabe; no responde</t>
        </is>
      </c>
      <c r="E1912" s="6" t="n">
        <v>0.029</v>
      </c>
      <c r="F1912" s="7" t="n">
        <v>1200</v>
      </c>
    </row>
    <row r="1913">
      <c r="A1913" s="5" t="inlineStr">
        <is>
          <t>Grupos poderosos</t>
        </is>
      </c>
      <c r="B1913" s="5" t="inlineStr">
        <is>
          <t>Argentina</t>
        </is>
      </c>
      <c r="C1913" s="5" t="n">
        <v>2020</v>
      </c>
      <c r="D1913" s="5" t="inlineStr">
        <is>
          <t>Grupos poderosos en su propio beneficio</t>
        </is>
      </c>
      <c r="E1913" s="6" t="n">
        <v>0.746</v>
      </c>
      <c r="F1913" s="7" t="n">
        <v>1200</v>
      </c>
    </row>
    <row r="1914">
      <c r="A1914" s="5" t="inlineStr">
        <is>
          <t>Grupos poderosos</t>
        </is>
      </c>
      <c r="B1914" s="5" t="inlineStr">
        <is>
          <t>Argentina</t>
        </is>
      </c>
      <c r="C1914" s="5" t="n">
        <v>2020</v>
      </c>
      <c r="D1914" s="5" t="inlineStr">
        <is>
          <t>Para el bien de todo el pueblo</t>
        </is>
      </c>
      <c r="E1914" s="6" t="n">
        <v>0.131</v>
      </c>
      <c r="F1914" s="7" t="n">
        <v>1200</v>
      </c>
    </row>
    <row r="1915">
      <c r="A1915" s="5" t="inlineStr">
        <is>
          <t>Grupos poderosos</t>
        </is>
      </c>
      <c r="B1915" s="5" t="inlineStr">
        <is>
          <t>Argentina</t>
        </is>
      </c>
      <c r="C1915" s="5" t="n">
        <v>2020</v>
      </c>
      <c r="D1915" s="5" t="inlineStr">
        <is>
          <t>No sabe; no responde</t>
        </is>
      </c>
      <c r="E1915" s="6" t="n">
        <v>0.123</v>
      </c>
      <c r="F1915" s="7" t="n">
        <v>1200</v>
      </c>
    </row>
    <row r="1916">
      <c r="A1916" s="5" t="inlineStr">
        <is>
          <t>Grupos poderosos</t>
        </is>
      </c>
      <c r="B1916" s="5" t="inlineStr">
        <is>
          <t>Argentina</t>
        </is>
      </c>
      <c r="C1916" s="5" t="n">
        <v>2024</v>
      </c>
      <c r="D1916" s="5" t="inlineStr">
        <is>
          <t>Grupos poderosos en su propio beneficio</t>
        </is>
      </c>
      <c r="E1916" s="6" t="n">
        <v>0.789</v>
      </c>
      <c r="F1916" s="7" t="n">
        <v>1210</v>
      </c>
    </row>
    <row r="1917">
      <c r="A1917" s="5" t="inlineStr">
        <is>
          <t>Grupos poderosos</t>
        </is>
      </c>
      <c r="B1917" s="5" t="inlineStr">
        <is>
          <t>Argentina</t>
        </is>
      </c>
      <c r="C1917" s="5" t="n">
        <v>2024</v>
      </c>
      <c r="D1917" s="5" t="inlineStr">
        <is>
          <t>Para el bien de todo el pueblo</t>
        </is>
      </c>
      <c r="E1917" s="6" t="n">
        <v>0.167</v>
      </c>
      <c r="F1917" s="7" t="n">
        <v>1210</v>
      </c>
    </row>
    <row r="1918">
      <c r="A1918" s="5" t="inlineStr">
        <is>
          <t>Grupos poderosos</t>
        </is>
      </c>
      <c r="B1918" s="5" t="inlineStr">
        <is>
          <t>Argentina</t>
        </is>
      </c>
      <c r="C1918" s="5" t="n">
        <v>2024</v>
      </c>
      <c r="D1918" s="5" t="inlineStr">
        <is>
          <t>No sabe; no responde</t>
        </is>
      </c>
      <c r="E1918" s="6" t="n">
        <v>0.044</v>
      </c>
      <c r="F1918" s="7" t="n">
        <v>1210</v>
      </c>
    </row>
    <row r="1919">
      <c r="A1919" s="5" t="inlineStr">
        <is>
          <t>Grupos poderosos</t>
        </is>
      </c>
      <c r="B1919" s="5" t="inlineStr">
        <is>
          <t>Bolivia</t>
        </is>
      </c>
      <c r="C1919" s="5" t="n">
        <v>2004</v>
      </c>
      <c r="D1919" s="5" t="inlineStr">
        <is>
          <t>Grupos poderosos en su propio beneficio</t>
        </is>
      </c>
      <c r="E1919" s="6" t="n">
        <v>0.764</v>
      </c>
      <c r="F1919" s="7" t="n">
        <v>1201</v>
      </c>
    </row>
    <row r="1920">
      <c r="A1920" s="5" t="inlineStr">
        <is>
          <t>Grupos poderosos</t>
        </is>
      </c>
      <c r="B1920" s="5" t="inlineStr">
        <is>
          <t>Bolivia</t>
        </is>
      </c>
      <c r="C1920" s="5" t="n">
        <v>2004</v>
      </c>
      <c r="D1920" s="5" t="inlineStr">
        <is>
          <t>Para el bien de todo el pueblo</t>
        </is>
      </c>
      <c r="E1920" s="6" t="n">
        <v>0.174</v>
      </c>
      <c r="F1920" s="7" t="n">
        <v>1201</v>
      </c>
    </row>
    <row r="1921">
      <c r="A1921" s="5" t="inlineStr">
        <is>
          <t>Grupos poderosos</t>
        </is>
      </c>
      <c r="B1921" s="5" t="inlineStr">
        <is>
          <t>Bolivia</t>
        </is>
      </c>
      <c r="C1921" s="5" t="n">
        <v>2004</v>
      </c>
      <c r="D1921" s="5" t="inlineStr">
        <is>
          <t>No sabe; no responde</t>
        </is>
      </c>
      <c r="E1921" s="6" t="n">
        <v>0.062</v>
      </c>
      <c r="F1921" s="7" t="n">
        <v>1201</v>
      </c>
    </row>
    <row r="1922">
      <c r="A1922" s="5" t="inlineStr">
        <is>
          <t>Grupos poderosos</t>
        </is>
      </c>
      <c r="B1922" s="5" t="inlineStr">
        <is>
          <t>Bolivia</t>
        </is>
      </c>
      <c r="C1922" s="5" t="n">
        <v>2005</v>
      </c>
      <c r="D1922" s="5" t="inlineStr">
        <is>
          <t>Grupos poderosos en su propio beneficio</t>
        </is>
      </c>
      <c r="E1922" s="6" t="n">
        <v>0.8070000000000001</v>
      </c>
      <c r="F1922" s="7" t="n">
        <v>1200</v>
      </c>
    </row>
    <row r="1923">
      <c r="A1923" s="5" t="inlineStr">
        <is>
          <t>Grupos poderosos</t>
        </is>
      </c>
      <c r="B1923" s="5" t="inlineStr">
        <is>
          <t>Bolivia</t>
        </is>
      </c>
      <c r="C1923" s="5" t="n">
        <v>2005</v>
      </c>
      <c r="D1923" s="5" t="inlineStr">
        <is>
          <t>Para el bien de todo el pueblo</t>
        </is>
      </c>
      <c r="E1923" s="6" t="n">
        <v>0.166</v>
      </c>
      <c r="F1923" s="7" t="n">
        <v>1200</v>
      </c>
    </row>
    <row r="1924">
      <c r="A1924" s="5" t="inlineStr">
        <is>
          <t>Grupos poderosos</t>
        </is>
      </c>
      <c r="B1924" s="5" t="inlineStr">
        <is>
          <t>Bolivia</t>
        </is>
      </c>
      <c r="C1924" s="5" t="n">
        <v>2005</v>
      </c>
      <c r="D1924" s="5" t="inlineStr">
        <is>
          <t>No sabe; no responde</t>
        </is>
      </c>
      <c r="E1924" s="6" t="n">
        <v>0.027</v>
      </c>
      <c r="F1924" s="7" t="n">
        <v>1200</v>
      </c>
    </row>
    <row r="1925">
      <c r="A1925" s="5" t="inlineStr">
        <is>
          <t>Grupos poderosos</t>
        </is>
      </c>
      <c r="B1925" s="5" t="inlineStr">
        <is>
          <t>Bolivia</t>
        </is>
      </c>
      <c r="C1925" s="5" t="n">
        <v>2006</v>
      </c>
      <c r="D1925" s="5" t="inlineStr">
        <is>
          <t>Grupos poderosos en su propio beneficio</t>
        </is>
      </c>
      <c r="E1925" s="6" t="n">
        <v>0.5679999999999999</v>
      </c>
      <c r="F1925" s="7" t="n">
        <v>1200</v>
      </c>
    </row>
    <row r="1926">
      <c r="A1926" s="5" t="inlineStr">
        <is>
          <t>Grupos poderosos</t>
        </is>
      </c>
      <c r="B1926" s="5" t="inlineStr">
        <is>
          <t>Bolivia</t>
        </is>
      </c>
      <c r="C1926" s="5" t="n">
        <v>2006</v>
      </c>
      <c r="D1926" s="5" t="inlineStr">
        <is>
          <t>Para el bien de todo el pueblo</t>
        </is>
      </c>
      <c r="E1926" s="6" t="n">
        <v>0.381</v>
      </c>
      <c r="F1926" s="7" t="n">
        <v>1200</v>
      </c>
    </row>
    <row r="1927">
      <c r="A1927" s="5" t="inlineStr">
        <is>
          <t>Grupos poderosos</t>
        </is>
      </c>
      <c r="B1927" s="5" t="inlineStr">
        <is>
          <t>Bolivia</t>
        </is>
      </c>
      <c r="C1927" s="5" t="n">
        <v>2006</v>
      </c>
      <c r="D1927" s="5" t="inlineStr">
        <is>
          <t>No sabe; no responde</t>
        </is>
      </c>
      <c r="E1927" s="6" t="n">
        <v>0.051</v>
      </c>
      <c r="F1927" s="7" t="n">
        <v>1200</v>
      </c>
    </row>
    <row r="1928">
      <c r="A1928" s="5" t="inlineStr">
        <is>
          <t>Grupos poderosos</t>
        </is>
      </c>
      <c r="B1928" s="5" t="inlineStr">
        <is>
          <t>Bolivia</t>
        </is>
      </c>
      <c r="C1928" s="5" t="n">
        <v>2007</v>
      </c>
      <c r="D1928" s="5" t="inlineStr">
        <is>
          <t>Grupos poderosos en su propio beneficio</t>
        </is>
      </c>
      <c r="E1928" s="6" t="n">
        <v>0.541</v>
      </c>
      <c r="F1928" s="7" t="n">
        <v>1200</v>
      </c>
    </row>
    <row r="1929">
      <c r="A1929" s="5" t="inlineStr">
        <is>
          <t>Grupos poderosos</t>
        </is>
      </c>
      <c r="B1929" s="5" t="inlineStr">
        <is>
          <t>Bolivia</t>
        </is>
      </c>
      <c r="C1929" s="5" t="n">
        <v>2007</v>
      </c>
      <c r="D1929" s="5" t="inlineStr">
        <is>
          <t>Para el bien de todo el pueblo</t>
        </is>
      </c>
      <c r="E1929" s="6" t="n">
        <v>0.426</v>
      </c>
      <c r="F1929" s="7" t="n">
        <v>1200</v>
      </c>
    </row>
    <row r="1930">
      <c r="A1930" s="5" t="inlineStr">
        <is>
          <t>Grupos poderosos</t>
        </is>
      </c>
      <c r="B1930" s="5" t="inlineStr">
        <is>
          <t>Bolivia</t>
        </is>
      </c>
      <c r="C1930" s="5" t="n">
        <v>2007</v>
      </c>
      <c r="D1930" s="5" t="inlineStr">
        <is>
          <t>No sabe; no responde</t>
        </is>
      </c>
      <c r="E1930" s="6" t="n">
        <v>0.033</v>
      </c>
      <c r="F1930" s="7" t="n">
        <v>1200</v>
      </c>
    </row>
    <row r="1931">
      <c r="A1931" s="5" t="inlineStr">
        <is>
          <t>Grupos poderosos</t>
        </is>
      </c>
      <c r="B1931" s="5" t="inlineStr">
        <is>
          <t>Bolivia</t>
        </is>
      </c>
      <c r="C1931" s="5" t="n">
        <v>2008</v>
      </c>
      <c r="D1931" s="5" t="inlineStr">
        <is>
          <t>Grupos poderosos en su propio beneficio</t>
        </is>
      </c>
      <c r="E1931" s="6" t="n">
        <v>0.596</v>
      </c>
      <c r="F1931" s="7" t="n">
        <v>1200</v>
      </c>
    </row>
    <row r="1932">
      <c r="A1932" s="5" t="inlineStr">
        <is>
          <t>Grupos poderosos</t>
        </is>
      </c>
      <c r="B1932" s="5" t="inlineStr">
        <is>
          <t>Bolivia</t>
        </is>
      </c>
      <c r="C1932" s="5" t="n">
        <v>2008</v>
      </c>
      <c r="D1932" s="5" t="inlineStr">
        <is>
          <t>Para el bien de todo el pueblo</t>
        </is>
      </c>
      <c r="E1932" s="6" t="n">
        <v>0.353</v>
      </c>
      <c r="F1932" s="7" t="n">
        <v>1200</v>
      </c>
    </row>
    <row r="1933">
      <c r="A1933" s="5" t="inlineStr">
        <is>
          <t>Grupos poderosos</t>
        </is>
      </c>
      <c r="B1933" s="5" t="inlineStr">
        <is>
          <t>Bolivia</t>
        </is>
      </c>
      <c r="C1933" s="5" t="n">
        <v>2008</v>
      </c>
      <c r="D1933" s="5" t="inlineStr">
        <is>
          <t>No sabe; no responde</t>
        </is>
      </c>
      <c r="E1933" s="6" t="n">
        <v>0.051</v>
      </c>
      <c r="F1933" s="7" t="n">
        <v>1200</v>
      </c>
    </row>
    <row r="1934">
      <c r="A1934" s="5" t="inlineStr">
        <is>
          <t>Grupos poderosos</t>
        </is>
      </c>
      <c r="B1934" s="5" t="inlineStr">
        <is>
          <t>Bolivia</t>
        </is>
      </c>
      <c r="C1934" s="5" t="n">
        <v>2009</v>
      </c>
      <c r="D1934" s="5" t="inlineStr">
        <is>
          <t>Grupos poderosos en su propio beneficio</t>
        </is>
      </c>
      <c r="E1934" s="6" t="n">
        <v>0.521</v>
      </c>
      <c r="F1934" s="7" t="n">
        <v>1200</v>
      </c>
    </row>
    <row r="1935">
      <c r="A1935" s="5" t="inlineStr">
        <is>
          <t>Grupos poderosos</t>
        </is>
      </c>
      <c r="B1935" s="5" t="inlineStr">
        <is>
          <t>Bolivia</t>
        </is>
      </c>
      <c r="C1935" s="5" t="n">
        <v>2009</v>
      </c>
      <c r="D1935" s="5" t="inlineStr">
        <is>
          <t>Para el bien de todo el pueblo</t>
        </is>
      </c>
      <c r="E1935" s="6" t="n">
        <v>0.449</v>
      </c>
      <c r="F1935" s="7" t="n">
        <v>1200</v>
      </c>
    </row>
    <row r="1936">
      <c r="A1936" s="5" t="inlineStr">
        <is>
          <t>Grupos poderosos</t>
        </is>
      </c>
      <c r="B1936" s="5" t="inlineStr">
        <is>
          <t>Bolivia</t>
        </is>
      </c>
      <c r="C1936" s="5" t="n">
        <v>2009</v>
      </c>
      <c r="D1936" s="5" t="inlineStr">
        <is>
          <t>No sabe; no responde</t>
        </is>
      </c>
      <c r="E1936" s="6" t="n">
        <v>0.03</v>
      </c>
      <c r="F1936" s="7" t="n">
        <v>1200</v>
      </c>
    </row>
    <row r="1937">
      <c r="A1937" s="5" t="inlineStr">
        <is>
          <t>Grupos poderosos</t>
        </is>
      </c>
      <c r="B1937" s="5" t="inlineStr">
        <is>
          <t>Bolivia</t>
        </is>
      </c>
      <c r="C1937" s="5" t="n">
        <v>2010</v>
      </c>
      <c r="D1937" s="5" t="inlineStr">
        <is>
          <t>Grupos poderosos en su propio beneficio</t>
        </is>
      </c>
      <c r="E1937" s="6" t="n">
        <v>0.601</v>
      </c>
      <c r="F1937" s="7" t="n">
        <v>1200</v>
      </c>
    </row>
    <row r="1938">
      <c r="A1938" s="5" t="inlineStr">
        <is>
          <t>Grupos poderosos</t>
        </is>
      </c>
      <c r="B1938" s="5" t="inlineStr">
        <is>
          <t>Bolivia</t>
        </is>
      </c>
      <c r="C1938" s="5" t="n">
        <v>2010</v>
      </c>
      <c r="D1938" s="5" t="inlineStr">
        <is>
          <t>Para el bien de todo el pueblo</t>
        </is>
      </c>
      <c r="E1938" s="6" t="n">
        <v>0.326</v>
      </c>
      <c r="F1938" s="7" t="n">
        <v>1200</v>
      </c>
    </row>
    <row r="1939">
      <c r="A1939" s="5" t="inlineStr">
        <is>
          <t>Grupos poderosos</t>
        </is>
      </c>
      <c r="B1939" s="5" t="inlineStr">
        <is>
          <t>Bolivia</t>
        </is>
      </c>
      <c r="C1939" s="5" t="n">
        <v>2010</v>
      </c>
      <c r="D1939" s="5" t="inlineStr">
        <is>
          <t>No sabe; no responde</t>
        </is>
      </c>
      <c r="E1939" s="6" t="n">
        <v>0.073</v>
      </c>
      <c r="F1939" s="7" t="n">
        <v>1200</v>
      </c>
    </row>
    <row r="1940">
      <c r="A1940" s="5" t="inlineStr">
        <is>
          <t>Grupos poderosos</t>
        </is>
      </c>
      <c r="B1940" s="5" t="inlineStr">
        <is>
          <t>Bolivia</t>
        </is>
      </c>
      <c r="C1940" s="5" t="n">
        <v>2011</v>
      </c>
      <c r="D1940" s="5" t="inlineStr">
        <is>
          <t>Grupos poderosos en su propio beneficio</t>
        </is>
      </c>
      <c r="E1940" s="6" t="n">
        <v>0.609</v>
      </c>
      <c r="F1940" s="7" t="n">
        <v>1200</v>
      </c>
    </row>
    <row r="1941">
      <c r="A1941" s="5" t="inlineStr">
        <is>
          <t>Grupos poderosos</t>
        </is>
      </c>
      <c r="B1941" s="5" t="inlineStr">
        <is>
          <t>Bolivia</t>
        </is>
      </c>
      <c r="C1941" s="5" t="n">
        <v>2011</v>
      </c>
      <c r="D1941" s="5" t="inlineStr">
        <is>
          <t>Para el bien de todo el pueblo</t>
        </is>
      </c>
      <c r="E1941" s="6" t="n">
        <v>0.3</v>
      </c>
      <c r="F1941" s="7" t="n">
        <v>1200</v>
      </c>
    </row>
    <row r="1942">
      <c r="A1942" s="5" t="inlineStr">
        <is>
          <t>Grupos poderosos</t>
        </is>
      </c>
      <c r="B1942" s="5" t="inlineStr">
        <is>
          <t>Bolivia</t>
        </is>
      </c>
      <c r="C1942" s="5" t="n">
        <v>2011</v>
      </c>
      <c r="D1942" s="5" t="inlineStr">
        <is>
          <t>No sabe; no responde</t>
        </is>
      </c>
      <c r="E1942" s="6" t="n">
        <v>0.091</v>
      </c>
      <c r="F1942" s="7" t="n">
        <v>1200</v>
      </c>
    </row>
    <row r="1943">
      <c r="A1943" s="5" t="inlineStr">
        <is>
          <t>Grupos poderosos</t>
        </is>
      </c>
      <c r="B1943" s="5" t="inlineStr">
        <is>
          <t>Bolivia</t>
        </is>
      </c>
      <c r="C1943" s="5" t="n">
        <v>2016</v>
      </c>
      <c r="D1943" s="5" t="inlineStr">
        <is>
          <t>Grupos poderosos en su propio beneficio</t>
        </is>
      </c>
      <c r="E1943" s="6" t="n">
        <v>0.542</v>
      </c>
      <c r="F1943" s="7" t="n">
        <v>1200</v>
      </c>
    </row>
    <row r="1944">
      <c r="A1944" s="5" t="inlineStr">
        <is>
          <t>Grupos poderosos</t>
        </is>
      </c>
      <c r="B1944" s="5" t="inlineStr">
        <is>
          <t>Bolivia</t>
        </is>
      </c>
      <c r="C1944" s="5" t="n">
        <v>2016</v>
      </c>
      <c r="D1944" s="5" t="inlineStr">
        <is>
          <t>Para el bien de todo el pueblo</t>
        </is>
      </c>
      <c r="E1944" s="6" t="n">
        <v>0.402</v>
      </c>
      <c r="F1944" s="7" t="n">
        <v>1200</v>
      </c>
    </row>
    <row r="1945">
      <c r="A1945" s="5" t="inlineStr">
        <is>
          <t>Grupos poderosos</t>
        </is>
      </c>
      <c r="B1945" s="5" t="inlineStr">
        <is>
          <t>Bolivia</t>
        </is>
      </c>
      <c r="C1945" s="5" t="n">
        <v>2016</v>
      </c>
      <c r="D1945" s="5" t="inlineStr">
        <is>
          <t>No sabe; no responde</t>
        </is>
      </c>
      <c r="E1945" s="6" t="n">
        <v>0.057</v>
      </c>
      <c r="F1945" s="7" t="n">
        <v>1200</v>
      </c>
    </row>
    <row r="1946">
      <c r="A1946" s="5" t="inlineStr">
        <is>
          <t>Grupos poderosos</t>
        </is>
      </c>
      <c r="B1946" s="5" t="inlineStr">
        <is>
          <t>Bolivia</t>
        </is>
      </c>
      <c r="C1946" s="5" t="n">
        <v>2017</v>
      </c>
      <c r="D1946" s="5" t="inlineStr">
        <is>
          <t>Grupos poderosos en su propio beneficio</t>
        </is>
      </c>
      <c r="E1946" s="6" t="n">
        <v>0.5570000000000001</v>
      </c>
      <c r="F1946" s="7" t="n">
        <v>1200</v>
      </c>
    </row>
    <row r="1947">
      <c r="A1947" s="5" t="inlineStr">
        <is>
          <t>Grupos poderosos</t>
        </is>
      </c>
      <c r="B1947" s="5" t="inlineStr">
        <is>
          <t>Bolivia</t>
        </is>
      </c>
      <c r="C1947" s="5" t="n">
        <v>2017</v>
      </c>
      <c r="D1947" s="5" t="inlineStr">
        <is>
          <t>Para el bien de todo el pueblo</t>
        </is>
      </c>
      <c r="E1947" s="6" t="n">
        <v>0.416</v>
      </c>
      <c r="F1947" s="7" t="n">
        <v>1200</v>
      </c>
    </row>
    <row r="1948">
      <c r="A1948" s="5" t="inlineStr">
        <is>
          <t>Grupos poderosos</t>
        </is>
      </c>
      <c r="B1948" s="5" t="inlineStr">
        <is>
          <t>Bolivia</t>
        </is>
      </c>
      <c r="C1948" s="5" t="n">
        <v>2017</v>
      </c>
      <c r="D1948" s="5" t="inlineStr">
        <is>
          <t>No sabe; no responde</t>
        </is>
      </c>
      <c r="E1948" s="6" t="n">
        <v>0.028</v>
      </c>
      <c r="F1948" s="7" t="n">
        <v>1200</v>
      </c>
    </row>
    <row r="1949">
      <c r="A1949" s="5" t="inlineStr">
        <is>
          <t>Grupos poderosos</t>
        </is>
      </c>
      <c r="B1949" s="5" t="inlineStr">
        <is>
          <t>Bolivia</t>
        </is>
      </c>
      <c r="C1949" s="5" t="n">
        <v>2018</v>
      </c>
      <c r="D1949" s="5" t="inlineStr">
        <is>
          <t>Grupos poderosos en su propio beneficio</t>
        </is>
      </c>
      <c r="E1949" s="6" t="n">
        <v>0.604</v>
      </c>
      <c r="F1949" s="7" t="n">
        <v>1200</v>
      </c>
    </row>
    <row r="1950">
      <c r="A1950" s="5" t="inlineStr">
        <is>
          <t>Grupos poderosos</t>
        </is>
      </c>
      <c r="B1950" s="5" t="inlineStr">
        <is>
          <t>Bolivia</t>
        </is>
      </c>
      <c r="C1950" s="5" t="n">
        <v>2018</v>
      </c>
      <c r="D1950" s="5" t="inlineStr">
        <is>
          <t>Para el bien de todo el pueblo</t>
        </is>
      </c>
      <c r="E1950" s="6" t="n">
        <v>0.333</v>
      </c>
      <c r="F1950" s="7" t="n">
        <v>1200</v>
      </c>
    </row>
    <row r="1951">
      <c r="A1951" s="5" t="inlineStr">
        <is>
          <t>Grupos poderosos</t>
        </is>
      </c>
      <c r="B1951" s="5" t="inlineStr">
        <is>
          <t>Bolivia</t>
        </is>
      </c>
      <c r="C1951" s="5" t="n">
        <v>2018</v>
      </c>
      <c r="D1951" s="5" t="inlineStr">
        <is>
          <t>No sabe; no responde</t>
        </is>
      </c>
      <c r="E1951" s="6" t="n">
        <v>0.063</v>
      </c>
      <c r="F1951" s="7" t="n">
        <v>1200</v>
      </c>
    </row>
    <row r="1952">
      <c r="A1952" s="5" t="inlineStr">
        <is>
          <t>Grupos poderosos</t>
        </is>
      </c>
      <c r="B1952" s="5" t="inlineStr">
        <is>
          <t>Bolivia</t>
        </is>
      </c>
      <c r="C1952" s="5" t="n">
        <v>2020</v>
      </c>
      <c r="D1952" s="5" t="inlineStr">
        <is>
          <t>Grupos poderosos en su propio beneficio</t>
        </is>
      </c>
      <c r="E1952" s="6" t="n">
        <v>0.703</v>
      </c>
      <c r="F1952" s="7" t="n">
        <v>1200</v>
      </c>
    </row>
    <row r="1953">
      <c r="A1953" s="5" t="inlineStr">
        <is>
          <t>Grupos poderosos</t>
        </is>
      </c>
      <c r="B1953" s="5" t="inlineStr">
        <is>
          <t>Bolivia</t>
        </is>
      </c>
      <c r="C1953" s="5" t="n">
        <v>2020</v>
      </c>
      <c r="D1953" s="5" t="inlineStr">
        <is>
          <t>Para el bien de todo el pueblo</t>
        </is>
      </c>
      <c r="E1953" s="6" t="n">
        <v>0.248</v>
      </c>
      <c r="F1953" s="7" t="n">
        <v>1200</v>
      </c>
    </row>
    <row r="1954">
      <c r="A1954" s="5" t="inlineStr">
        <is>
          <t>Grupos poderosos</t>
        </is>
      </c>
      <c r="B1954" s="5" t="inlineStr">
        <is>
          <t>Bolivia</t>
        </is>
      </c>
      <c r="C1954" s="5" t="n">
        <v>2020</v>
      </c>
      <c r="D1954" s="5" t="inlineStr">
        <is>
          <t>No sabe; no responde</t>
        </is>
      </c>
      <c r="E1954" s="6" t="n">
        <v>0.048</v>
      </c>
      <c r="F1954" s="7" t="n">
        <v>1200</v>
      </c>
    </row>
    <row r="1955">
      <c r="A1955" s="5" t="inlineStr">
        <is>
          <t>Grupos poderosos</t>
        </is>
      </c>
      <c r="B1955" s="5" t="inlineStr">
        <is>
          <t>Bolivia</t>
        </is>
      </c>
      <c r="C1955" s="5" t="n">
        <v>2024</v>
      </c>
      <c r="D1955" s="5" t="inlineStr">
        <is>
          <t>Grupos poderosos en su propio beneficio</t>
        </is>
      </c>
      <c r="E1955" s="6" t="n">
        <v>0.825</v>
      </c>
      <c r="F1955" s="7" t="n">
        <v>1200</v>
      </c>
    </row>
    <row r="1956">
      <c r="A1956" s="5" t="inlineStr">
        <is>
          <t>Grupos poderosos</t>
        </is>
      </c>
      <c r="B1956" s="5" t="inlineStr">
        <is>
          <t>Bolivia</t>
        </is>
      </c>
      <c r="C1956" s="5" t="n">
        <v>2024</v>
      </c>
      <c r="D1956" s="5" t="inlineStr">
        <is>
          <t>Para el bien de todo el pueblo</t>
        </is>
      </c>
      <c r="E1956" s="6" t="n">
        <v>0.121</v>
      </c>
      <c r="F1956" s="7" t="n">
        <v>1200</v>
      </c>
    </row>
    <row r="1957">
      <c r="A1957" s="5" t="inlineStr">
        <is>
          <t>Grupos poderosos</t>
        </is>
      </c>
      <c r="B1957" s="5" t="inlineStr">
        <is>
          <t>Bolivia</t>
        </is>
      </c>
      <c r="C1957" s="5" t="n">
        <v>2024</v>
      </c>
      <c r="D1957" s="5" t="inlineStr">
        <is>
          <t>No sabe; no responde</t>
        </is>
      </c>
      <c r="E1957" s="6" t="n">
        <v>0.05400000000000001</v>
      </c>
      <c r="F1957" s="7" t="n">
        <v>1200</v>
      </c>
    </row>
    <row r="1958">
      <c r="A1958" s="5" t="inlineStr">
        <is>
          <t>Grupos poderosos</t>
        </is>
      </c>
      <c r="B1958" s="5" t="inlineStr">
        <is>
          <t>Brasil</t>
        </is>
      </c>
      <c r="C1958" s="5" t="n">
        <v>2004</v>
      </c>
      <c r="D1958" s="5" t="inlineStr">
        <is>
          <t>Grupos poderosos en su propio beneficio</t>
        </is>
      </c>
      <c r="E1958" s="6" t="n">
        <v>0.649</v>
      </c>
      <c r="F1958" s="7" t="n">
        <v>1204</v>
      </c>
    </row>
    <row r="1959">
      <c r="A1959" s="5" t="inlineStr">
        <is>
          <t>Grupos poderosos</t>
        </is>
      </c>
      <c r="B1959" s="5" t="inlineStr">
        <is>
          <t>Brasil</t>
        </is>
      </c>
      <c r="C1959" s="5" t="n">
        <v>2004</v>
      </c>
      <c r="D1959" s="5" t="inlineStr">
        <is>
          <t>Para el bien de todo el pueblo</t>
        </is>
      </c>
      <c r="E1959" s="6" t="n">
        <v>0.288</v>
      </c>
      <c r="F1959" s="7" t="n">
        <v>1204</v>
      </c>
    </row>
    <row r="1960">
      <c r="A1960" s="5" t="inlineStr">
        <is>
          <t>Grupos poderosos</t>
        </is>
      </c>
      <c r="B1960" s="5" t="inlineStr">
        <is>
          <t>Brasil</t>
        </is>
      </c>
      <c r="C1960" s="5" t="n">
        <v>2004</v>
      </c>
      <c r="D1960" s="5" t="inlineStr">
        <is>
          <t>No sabe; no responde</t>
        </is>
      </c>
      <c r="E1960" s="6" t="n">
        <v>0.063</v>
      </c>
      <c r="F1960" s="7" t="n">
        <v>1204</v>
      </c>
    </row>
    <row r="1961">
      <c r="A1961" s="5" t="inlineStr">
        <is>
          <t>Grupos poderosos</t>
        </is>
      </c>
      <c r="B1961" s="5" t="inlineStr">
        <is>
          <t>Brasil</t>
        </is>
      </c>
      <c r="C1961" s="5" t="n">
        <v>2005</v>
      </c>
      <c r="D1961" s="5" t="inlineStr">
        <is>
          <t>Grupos poderosos en su propio beneficio</t>
        </is>
      </c>
      <c r="E1961" s="6" t="n">
        <v>0.777</v>
      </c>
      <c r="F1961" s="7" t="n">
        <v>1204</v>
      </c>
    </row>
    <row r="1962">
      <c r="A1962" s="5" t="inlineStr">
        <is>
          <t>Grupos poderosos</t>
        </is>
      </c>
      <c r="B1962" s="5" t="inlineStr">
        <is>
          <t>Brasil</t>
        </is>
      </c>
      <c r="C1962" s="5" t="n">
        <v>2005</v>
      </c>
      <c r="D1962" s="5" t="inlineStr">
        <is>
          <t>Para el bien de todo el pueblo</t>
        </is>
      </c>
      <c r="E1962" s="6" t="n">
        <v>0.179</v>
      </c>
      <c r="F1962" s="7" t="n">
        <v>1204</v>
      </c>
    </row>
    <row r="1963">
      <c r="A1963" s="5" t="inlineStr">
        <is>
          <t>Grupos poderosos</t>
        </is>
      </c>
      <c r="B1963" s="5" t="inlineStr">
        <is>
          <t>Brasil</t>
        </is>
      </c>
      <c r="C1963" s="5" t="n">
        <v>2005</v>
      </c>
      <c r="D1963" s="5" t="inlineStr">
        <is>
          <t>No sabe; no responde</t>
        </is>
      </c>
      <c r="E1963" s="6" t="n">
        <v>0.043</v>
      </c>
      <c r="F1963" s="7" t="n">
        <v>1204</v>
      </c>
    </row>
    <row r="1964">
      <c r="A1964" s="5" t="inlineStr">
        <is>
          <t>Grupos poderosos</t>
        </is>
      </c>
      <c r="B1964" s="5" t="inlineStr">
        <is>
          <t>Brasil</t>
        </is>
      </c>
      <c r="C1964" s="5" t="n">
        <v>2006</v>
      </c>
      <c r="D1964" s="5" t="inlineStr">
        <is>
          <t>Grupos poderosos en su propio beneficio</t>
        </is>
      </c>
      <c r="E1964" s="6" t="n">
        <v>0.581</v>
      </c>
      <c r="F1964" s="7" t="n">
        <v>1204</v>
      </c>
    </row>
    <row r="1965">
      <c r="A1965" s="5" t="inlineStr">
        <is>
          <t>Grupos poderosos</t>
        </is>
      </c>
      <c r="B1965" s="5" t="inlineStr">
        <is>
          <t>Brasil</t>
        </is>
      </c>
      <c r="C1965" s="5" t="n">
        <v>2006</v>
      </c>
      <c r="D1965" s="5" t="inlineStr">
        <is>
          <t>Para el bien de todo el pueblo</t>
        </is>
      </c>
      <c r="E1965" s="6" t="n">
        <v>0.356</v>
      </c>
      <c r="F1965" s="7" t="n">
        <v>1204</v>
      </c>
    </row>
    <row r="1966">
      <c r="A1966" s="5" t="inlineStr">
        <is>
          <t>Grupos poderosos</t>
        </is>
      </c>
      <c r="B1966" s="5" t="inlineStr">
        <is>
          <t>Brasil</t>
        </is>
      </c>
      <c r="C1966" s="5" t="n">
        <v>2006</v>
      </c>
      <c r="D1966" s="5" t="inlineStr">
        <is>
          <t>No sabe; no responde</t>
        </is>
      </c>
      <c r="E1966" s="6" t="n">
        <v>0.062</v>
      </c>
      <c r="F1966" s="7" t="n">
        <v>1204</v>
      </c>
    </row>
    <row r="1967">
      <c r="A1967" s="5" t="inlineStr">
        <is>
          <t>Grupos poderosos</t>
        </is>
      </c>
      <c r="B1967" s="5" t="inlineStr">
        <is>
          <t>Brasil</t>
        </is>
      </c>
      <c r="C1967" s="5" t="n">
        <v>2007</v>
      </c>
      <c r="D1967" s="5" t="inlineStr">
        <is>
          <t>Grupos poderosos en su propio beneficio</t>
        </is>
      </c>
      <c r="E1967" s="6" t="n">
        <v>0.675</v>
      </c>
      <c r="F1967" s="7" t="n">
        <v>1204</v>
      </c>
    </row>
    <row r="1968">
      <c r="A1968" s="5" t="inlineStr">
        <is>
          <t>Grupos poderosos</t>
        </is>
      </c>
      <c r="B1968" s="5" t="inlineStr">
        <is>
          <t>Brasil</t>
        </is>
      </c>
      <c r="C1968" s="5" t="n">
        <v>2007</v>
      </c>
      <c r="D1968" s="5" t="inlineStr">
        <is>
          <t>Para el bien de todo el pueblo</t>
        </is>
      </c>
      <c r="E1968" s="6" t="n">
        <v>0.285</v>
      </c>
      <c r="F1968" s="7" t="n">
        <v>1204</v>
      </c>
    </row>
    <row r="1969">
      <c r="A1969" s="5" t="inlineStr">
        <is>
          <t>Grupos poderosos</t>
        </is>
      </c>
      <c r="B1969" s="5" t="inlineStr">
        <is>
          <t>Brasil</t>
        </is>
      </c>
      <c r="C1969" s="5" t="n">
        <v>2007</v>
      </c>
      <c r="D1969" s="5" t="inlineStr">
        <is>
          <t>No sabe; no responde</t>
        </is>
      </c>
      <c r="E1969" s="6" t="n">
        <v>0.04</v>
      </c>
      <c r="F1969" s="7" t="n">
        <v>1204</v>
      </c>
    </row>
    <row r="1970">
      <c r="A1970" s="5" t="inlineStr">
        <is>
          <t>Grupos poderosos</t>
        </is>
      </c>
      <c r="B1970" s="5" t="inlineStr">
        <is>
          <t>Brasil</t>
        </is>
      </c>
      <c r="C1970" s="5" t="n">
        <v>2008</v>
      </c>
      <c r="D1970" s="5" t="inlineStr">
        <is>
          <t>Grupos poderosos en su propio beneficio</t>
        </is>
      </c>
      <c r="E1970" s="6" t="n">
        <v>0.604</v>
      </c>
      <c r="F1970" s="7" t="n">
        <v>1204</v>
      </c>
    </row>
    <row r="1971">
      <c r="A1971" s="5" t="inlineStr">
        <is>
          <t>Grupos poderosos</t>
        </is>
      </c>
      <c r="B1971" s="5" t="inlineStr">
        <is>
          <t>Brasil</t>
        </is>
      </c>
      <c r="C1971" s="5" t="n">
        <v>2008</v>
      </c>
      <c r="D1971" s="5" t="inlineStr">
        <is>
          <t>Para el bien de todo el pueblo</t>
        </is>
      </c>
      <c r="E1971" s="6" t="n">
        <v>0.365</v>
      </c>
      <c r="F1971" s="7" t="n">
        <v>1204</v>
      </c>
    </row>
    <row r="1972">
      <c r="A1972" s="5" t="inlineStr">
        <is>
          <t>Grupos poderosos</t>
        </is>
      </c>
      <c r="B1972" s="5" t="inlineStr">
        <is>
          <t>Brasil</t>
        </is>
      </c>
      <c r="C1972" s="5" t="n">
        <v>2008</v>
      </c>
      <c r="D1972" s="5" t="inlineStr">
        <is>
          <t>No sabe; no responde</t>
        </is>
      </c>
      <c r="E1972" s="6" t="n">
        <v>0.031</v>
      </c>
      <c r="F1972" s="7" t="n">
        <v>1204</v>
      </c>
    </row>
    <row r="1973">
      <c r="A1973" s="5" t="inlineStr">
        <is>
          <t>Grupos poderosos</t>
        </is>
      </c>
      <c r="B1973" s="5" t="inlineStr">
        <is>
          <t>Brasil</t>
        </is>
      </c>
      <c r="C1973" s="5" t="n">
        <v>2009</v>
      </c>
      <c r="D1973" s="5" t="inlineStr">
        <is>
          <t>Grupos poderosos en su propio beneficio</t>
        </is>
      </c>
      <c r="E1973" s="6" t="n">
        <v>0.516</v>
      </c>
      <c r="F1973" s="7" t="n">
        <v>1204</v>
      </c>
    </row>
    <row r="1974">
      <c r="A1974" s="5" t="inlineStr">
        <is>
          <t>Grupos poderosos</t>
        </is>
      </c>
      <c r="B1974" s="5" t="inlineStr">
        <is>
          <t>Brasil</t>
        </is>
      </c>
      <c r="C1974" s="5" t="n">
        <v>2009</v>
      </c>
      <c r="D1974" s="5" t="inlineStr">
        <is>
          <t>Para el bien de todo el pueblo</t>
        </is>
      </c>
      <c r="E1974" s="6" t="n">
        <v>0.418</v>
      </c>
      <c r="F1974" s="7" t="n">
        <v>1204</v>
      </c>
    </row>
    <row r="1975">
      <c r="A1975" s="5" t="inlineStr">
        <is>
          <t>Grupos poderosos</t>
        </is>
      </c>
      <c r="B1975" s="5" t="inlineStr">
        <is>
          <t>Brasil</t>
        </is>
      </c>
      <c r="C1975" s="5" t="n">
        <v>2009</v>
      </c>
      <c r="D1975" s="5" t="inlineStr">
        <is>
          <t>No sabe; no responde</t>
        </is>
      </c>
      <c r="E1975" s="6" t="n">
        <v>0.066</v>
      </c>
      <c r="F1975" s="7" t="n">
        <v>1204</v>
      </c>
    </row>
    <row r="1976">
      <c r="A1976" s="5" t="inlineStr">
        <is>
          <t>Grupos poderosos</t>
        </is>
      </c>
      <c r="B1976" s="5" t="inlineStr">
        <is>
          <t>Brasil</t>
        </is>
      </c>
      <c r="C1976" s="5" t="n">
        <v>2010</v>
      </c>
      <c r="D1976" s="5" t="inlineStr">
        <is>
          <t>Grupos poderosos en su propio beneficio</t>
        </is>
      </c>
      <c r="E1976" s="6" t="n">
        <v>0.477</v>
      </c>
      <c r="F1976" s="7" t="n">
        <v>1204</v>
      </c>
    </row>
    <row r="1977">
      <c r="A1977" s="5" t="inlineStr">
        <is>
          <t>Grupos poderosos</t>
        </is>
      </c>
      <c r="B1977" s="5" t="inlineStr">
        <is>
          <t>Brasil</t>
        </is>
      </c>
      <c r="C1977" s="5" t="n">
        <v>2010</v>
      </c>
      <c r="D1977" s="5" t="inlineStr">
        <is>
          <t>Para el bien de todo el pueblo</t>
        </is>
      </c>
      <c r="E1977" s="6" t="n">
        <v>0.452</v>
      </c>
      <c r="F1977" s="7" t="n">
        <v>1204</v>
      </c>
    </row>
    <row r="1978">
      <c r="A1978" s="5" t="inlineStr">
        <is>
          <t>Grupos poderosos</t>
        </is>
      </c>
      <c r="B1978" s="5" t="inlineStr">
        <is>
          <t>Brasil</t>
        </is>
      </c>
      <c r="C1978" s="5" t="n">
        <v>2010</v>
      </c>
      <c r="D1978" s="5" t="inlineStr">
        <is>
          <t>No sabe; no responde</t>
        </is>
      </c>
      <c r="E1978" s="6" t="n">
        <v>0.07099999999999999</v>
      </c>
      <c r="F1978" s="7" t="n">
        <v>1204</v>
      </c>
    </row>
    <row r="1979">
      <c r="A1979" s="5" t="inlineStr">
        <is>
          <t>Grupos poderosos</t>
        </is>
      </c>
      <c r="B1979" s="5" t="inlineStr">
        <is>
          <t>Brasil</t>
        </is>
      </c>
      <c r="C1979" s="5" t="n">
        <v>2011</v>
      </c>
      <c r="D1979" s="5" t="inlineStr">
        <is>
          <t>Grupos poderosos en su propio beneficio</t>
        </is>
      </c>
      <c r="E1979" s="6" t="n">
        <v>0.6609999999999999</v>
      </c>
      <c r="F1979" s="7" t="n">
        <v>1204</v>
      </c>
    </row>
    <row r="1980">
      <c r="A1980" s="5" t="inlineStr">
        <is>
          <t>Grupos poderosos</t>
        </is>
      </c>
      <c r="B1980" s="5" t="inlineStr">
        <is>
          <t>Brasil</t>
        </is>
      </c>
      <c r="C1980" s="5" t="n">
        <v>2011</v>
      </c>
      <c r="D1980" s="5" t="inlineStr">
        <is>
          <t>Para el bien de todo el pueblo</t>
        </is>
      </c>
      <c r="E1980" s="6" t="n">
        <v>0.267</v>
      </c>
      <c r="F1980" s="7" t="n">
        <v>1204</v>
      </c>
    </row>
    <row r="1981">
      <c r="A1981" s="5" t="inlineStr">
        <is>
          <t>Grupos poderosos</t>
        </is>
      </c>
      <c r="B1981" s="5" t="inlineStr">
        <is>
          <t>Brasil</t>
        </is>
      </c>
      <c r="C1981" s="5" t="n">
        <v>2011</v>
      </c>
      <c r="D1981" s="5" t="inlineStr">
        <is>
          <t>No sabe; no responde</t>
        </is>
      </c>
      <c r="E1981" s="6" t="n">
        <v>0.07200000000000001</v>
      </c>
      <c r="F1981" s="7" t="n">
        <v>1204</v>
      </c>
    </row>
    <row r="1982">
      <c r="A1982" s="5" t="inlineStr">
        <is>
          <t>Grupos poderosos</t>
        </is>
      </c>
      <c r="B1982" s="5" t="inlineStr">
        <is>
          <t>Brasil</t>
        </is>
      </c>
      <c r="C1982" s="5" t="n">
        <v>2015</v>
      </c>
      <c r="D1982" s="5" t="inlineStr">
        <is>
          <t>Grupos poderosos en su propio beneficio</t>
        </is>
      </c>
      <c r="E1982" s="6" t="n">
        <v>0.861</v>
      </c>
      <c r="F1982" s="7" t="n">
        <v>1250</v>
      </c>
    </row>
    <row r="1983">
      <c r="A1983" s="5" t="inlineStr">
        <is>
          <t>Grupos poderosos</t>
        </is>
      </c>
      <c r="B1983" s="5" t="inlineStr">
        <is>
          <t>Brasil</t>
        </is>
      </c>
      <c r="C1983" s="5" t="n">
        <v>2015</v>
      </c>
      <c r="D1983" s="5" t="inlineStr">
        <is>
          <t>Para el bien de todo el pueblo</t>
        </is>
      </c>
      <c r="E1983" s="6" t="n">
        <v>0.117</v>
      </c>
      <c r="F1983" s="7" t="n">
        <v>1250</v>
      </c>
    </row>
    <row r="1984">
      <c r="A1984" s="5" t="inlineStr">
        <is>
          <t>Grupos poderosos</t>
        </is>
      </c>
      <c r="B1984" s="5" t="inlineStr">
        <is>
          <t>Brasil</t>
        </is>
      </c>
      <c r="C1984" s="5" t="n">
        <v>2015</v>
      </c>
      <c r="D1984" s="5" t="inlineStr">
        <is>
          <t>No sabe; no responde</t>
        </is>
      </c>
      <c r="E1984" s="6" t="n">
        <v>0.022</v>
      </c>
      <c r="F1984" s="7" t="n">
        <v>1250</v>
      </c>
    </row>
    <row r="1985">
      <c r="A1985" s="5" t="inlineStr">
        <is>
          <t>Grupos poderosos</t>
        </is>
      </c>
      <c r="B1985" s="5" t="inlineStr">
        <is>
          <t>Brasil</t>
        </is>
      </c>
      <c r="C1985" s="5" t="n">
        <v>2016</v>
      </c>
      <c r="D1985" s="5" t="inlineStr">
        <is>
          <t>Grupos poderosos en su propio beneficio</t>
        </is>
      </c>
      <c r="E1985" s="6" t="n">
        <v>0.8690000000000001</v>
      </c>
      <c r="F1985" s="7" t="n">
        <v>1204</v>
      </c>
    </row>
    <row r="1986">
      <c r="A1986" s="5" t="inlineStr">
        <is>
          <t>Grupos poderosos</t>
        </is>
      </c>
      <c r="B1986" s="5" t="inlineStr">
        <is>
          <t>Brasil</t>
        </is>
      </c>
      <c r="C1986" s="5" t="n">
        <v>2016</v>
      </c>
      <c r="D1986" s="5" t="inlineStr">
        <is>
          <t>Para el bien de todo el pueblo</t>
        </is>
      </c>
      <c r="E1986" s="6" t="n">
        <v>0.08599999999999999</v>
      </c>
      <c r="F1986" s="7" t="n">
        <v>1204</v>
      </c>
    </row>
    <row r="1987">
      <c r="A1987" s="5" t="inlineStr">
        <is>
          <t>Grupos poderosos</t>
        </is>
      </c>
      <c r="B1987" s="5" t="inlineStr">
        <is>
          <t>Brasil</t>
        </is>
      </c>
      <c r="C1987" s="5" t="n">
        <v>2016</v>
      </c>
      <c r="D1987" s="5" t="inlineStr">
        <is>
          <t>No sabe; no responde</t>
        </is>
      </c>
      <c r="E1987" s="6" t="n">
        <v>0.046</v>
      </c>
      <c r="F1987" s="7" t="n">
        <v>1204</v>
      </c>
    </row>
    <row r="1988">
      <c r="A1988" s="5" t="inlineStr">
        <is>
          <t>Grupos poderosos</t>
        </is>
      </c>
      <c r="B1988" s="5" t="inlineStr">
        <is>
          <t>Brasil</t>
        </is>
      </c>
      <c r="C1988" s="5" t="n">
        <v>2017</v>
      </c>
      <c r="D1988" s="5" t="inlineStr">
        <is>
          <t>Grupos poderosos en su propio beneficio</t>
        </is>
      </c>
      <c r="E1988" s="6" t="n">
        <v>0.966</v>
      </c>
      <c r="F1988" s="7" t="n">
        <v>1200</v>
      </c>
    </row>
    <row r="1989">
      <c r="A1989" s="5" t="inlineStr">
        <is>
          <t>Grupos poderosos</t>
        </is>
      </c>
      <c r="B1989" s="5" t="inlineStr">
        <is>
          <t>Brasil</t>
        </is>
      </c>
      <c r="C1989" s="5" t="n">
        <v>2017</v>
      </c>
      <c r="D1989" s="5" t="inlineStr">
        <is>
          <t>Para el bien de todo el pueblo</t>
        </is>
      </c>
      <c r="E1989" s="6" t="n">
        <v>0.025</v>
      </c>
      <c r="F1989" s="7" t="n">
        <v>1200</v>
      </c>
    </row>
    <row r="1990">
      <c r="A1990" s="5" t="inlineStr">
        <is>
          <t>Grupos poderosos</t>
        </is>
      </c>
      <c r="B1990" s="5" t="inlineStr">
        <is>
          <t>Brasil</t>
        </is>
      </c>
      <c r="C1990" s="5" t="n">
        <v>2017</v>
      </c>
      <c r="D1990" s="5" t="inlineStr">
        <is>
          <t>No sabe; no responde</t>
        </is>
      </c>
      <c r="E1990" s="6" t="n">
        <v>0.009000000000000001</v>
      </c>
      <c r="F1990" s="7" t="n">
        <v>1200</v>
      </c>
    </row>
    <row r="1991">
      <c r="A1991" s="5" t="inlineStr">
        <is>
          <t>Grupos poderosos</t>
        </is>
      </c>
      <c r="B1991" s="5" t="inlineStr">
        <is>
          <t>Brasil</t>
        </is>
      </c>
      <c r="C1991" s="5" t="n">
        <v>2018</v>
      </c>
      <c r="D1991" s="5" t="inlineStr">
        <is>
          <t>Grupos poderosos en su propio beneficio</t>
        </is>
      </c>
      <c r="E1991" s="6" t="n">
        <v>0.9</v>
      </c>
      <c r="F1991" s="7" t="n">
        <v>1204</v>
      </c>
    </row>
    <row r="1992">
      <c r="A1992" s="5" t="inlineStr">
        <is>
          <t>Grupos poderosos</t>
        </is>
      </c>
      <c r="B1992" s="5" t="inlineStr">
        <is>
          <t>Brasil</t>
        </is>
      </c>
      <c r="C1992" s="5" t="n">
        <v>2018</v>
      </c>
      <c r="D1992" s="5" t="inlineStr">
        <is>
          <t>Para el bien de todo el pueblo</t>
        </is>
      </c>
      <c r="E1992" s="6" t="n">
        <v>0.075</v>
      </c>
      <c r="F1992" s="7" t="n">
        <v>1204</v>
      </c>
    </row>
    <row r="1993">
      <c r="A1993" s="5" t="inlineStr">
        <is>
          <t>Grupos poderosos</t>
        </is>
      </c>
      <c r="B1993" s="5" t="inlineStr">
        <is>
          <t>Brasil</t>
        </is>
      </c>
      <c r="C1993" s="5" t="n">
        <v>2018</v>
      </c>
      <c r="D1993" s="5" t="inlineStr">
        <is>
          <t>No sabe; no responde</t>
        </is>
      </c>
      <c r="E1993" s="6" t="n">
        <v>0.025</v>
      </c>
      <c r="F1993" s="7" t="n">
        <v>1204</v>
      </c>
    </row>
    <row r="1994">
      <c r="A1994" s="5" t="inlineStr">
        <is>
          <t>Grupos poderosos</t>
        </is>
      </c>
      <c r="B1994" s="5" t="inlineStr">
        <is>
          <t>Brasil</t>
        </is>
      </c>
      <c r="C1994" s="5" t="n">
        <v>2020</v>
      </c>
      <c r="D1994" s="5" t="inlineStr">
        <is>
          <t>Grupos poderosos en su propio beneficio</t>
        </is>
      </c>
      <c r="E1994" s="6" t="n">
        <v>0.7140000000000001</v>
      </c>
      <c r="F1994" s="7" t="n">
        <v>1204</v>
      </c>
    </row>
    <row r="1995">
      <c r="A1995" s="5" t="inlineStr">
        <is>
          <t>Grupos poderosos</t>
        </is>
      </c>
      <c r="B1995" s="5" t="inlineStr">
        <is>
          <t>Brasil</t>
        </is>
      </c>
      <c r="C1995" s="5" t="n">
        <v>2020</v>
      </c>
      <c r="D1995" s="5" t="inlineStr">
        <is>
          <t>Para el bien de todo el pueblo</t>
        </is>
      </c>
      <c r="E1995" s="6" t="n">
        <v>0.248</v>
      </c>
      <c r="F1995" s="7" t="n">
        <v>1204</v>
      </c>
    </row>
    <row r="1996">
      <c r="A1996" s="5" t="inlineStr">
        <is>
          <t>Grupos poderosos</t>
        </is>
      </c>
      <c r="B1996" s="5" t="inlineStr">
        <is>
          <t>Brasil</t>
        </is>
      </c>
      <c r="C1996" s="5" t="n">
        <v>2020</v>
      </c>
      <c r="D1996" s="5" t="inlineStr">
        <is>
          <t>No sabe; no responde</t>
        </is>
      </c>
      <c r="E1996" s="6" t="n">
        <v>0.038</v>
      </c>
      <c r="F1996" s="7" t="n">
        <v>1204</v>
      </c>
    </row>
    <row r="1997">
      <c r="A1997" s="5" t="inlineStr">
        <is>
          <t>Grupos poderosos</t>
        </is>
      </c>
      <c r="B1997" s="5" t="inlineStr">
        <is>
          <t>Brasil</t>
        </is>
      </c>
      <c r="C1997" s="5" t="n">
        <v>2024</v>
      </c>
      <c r="D1997" s="5" t="inlineStr">
        <is>
          <t>Grupos poderosos en su propio beneficio</t>
        </is>
      </c>
      <c r="E1997" s="6" t="n">
        <v>0.644</v>
      </c>
      <c r="F1997" s="7" t="n">
        <v>1204</v>
      </c>
    </row>
    <row r="1998">
      <c r="A1998" s="5" t="inlineStr">
        <is>
          <t>Grupos poderosos</t>
        </is>
      </c>
      <c r="B1998" s="5" t="inlineStr">
        <is>
          <t>Brasil</t>
        </is>
      </c>
      <c r="C1998" s="5" t="n">
        <v>2024</v>
      </c>
      <c r="D1998" s="5" t="inlineStr">
        <is>
          <t>Para el bien de todo el pueblo</t>
        </is>
      </c>
      <c r="E1998" s="6" t="n">
        <v>0.312</v>
      </c>
      <c r="F1998" s="7" t="n">
        <v>1204</v>
      </c>
    </row>
    <row r="1999">
      <c r="A1999" s="5" t="inlineStr">
        <is>
          <t>Grupos poderosos</t>
        </is>
      </c>
      <c r="B1999" s="5" t="inlineStr">
        <is>
          <t>Brasil</t>
        </is>
      </c>
      <c r="C1999" s="5" t="n">
        <v>2024</v>
      </c>
      <c r="D1999" s="5" t="inlineStr">
        <is>
          <t>No sabe; no responde</t>
        </is>
      </c>
      <c r="E1999" s="6" t="n">
        <v>0.044</v>
      </c>
      <c r="F1999" s="7" t="n">
        <v>1204</v>
      </c>
    </row>
    <row r="2000">
      <c r="A2000" s="5" t="inlineStr">
        <is>
          <t>Grupos poderosos</t>
        </is>
      </c>
      <c r="B2000" s="5" t="inlineStr">
        <is>
          <t>Chile</t>
        </is>
      </c>
      <c r="C2000" s="5" t="n">
        <v>2004</v>
      </c>
      <c r="D2000" s="5" t="inlineStr">
        <is>
          <t>Grupos poderosos en su propio beneficio</t>
        </is>
      </c>
      <c r="E2000" s="6" t="n">
        <v>0.7020000000000001</v>
      </c>
      <c r="F2000" s="7" t="n">
        <v>1200</v>
      </c>
    </row>
    <row r="2001">
      <c r="A2001" s="5" t="inlineStr">
        <is>
          <t>Grupos poderosos</t>
        </is>
      </c>
      <c r="B2001" s="5" t="inlineStr">
        <is>
          <t>Chile</t>
        </is>
      </c>
      <c r="C2001" s="5" t="n">
        <v>2004</v>
      </c>
      <c r="D2001" s="5" t="inlineStr">
        <is>
          <t>Para el bien de todo el pueblo</t>
        </is>
      </c>
      <c r="E2001" s="6" t="n">
        <v>0.25</v>
      </c>
      <c r="F2001" s="7" t="n">
        <v>1200</v>
      </c>
    </row>
    <row r="2002">
      <c r="A2002" s="5" t="inlineStr">
        <is>
          <t>Grupos poderosos</t>
        </is>
      </c>
      <c r="B2002" s="5" t="inlineStr">
        <is>
          <t>Chile</t>
        </is>
      </c>
      <c r="C2002" s="5" t="n">
        <v>2004</v>
      </c>
      <c r="D2002" s="5" t="inlineStr">
        <is>
          <t>No sabe; no responde</t>
        </is>
      </c>
      <c r="E2002" s="6" t="n">
        <v>0.048</v>
      </c>
      <c r="F2002" s="7" t="n">
        <v>1200</v>
      </c>
    </row>
    <row r="2003">
      <c r="A2003" s="5" t="inlineStr">
        <is>
          <t>Grupos poderosos</t>
        </is>
      </c>
      <c r="B2003" s="5" t="inlineStr">
        <is>
          <t>Chile</t>
        </is>
      </c>
      <c r="C2003" s="5" t="n">
        <v>2005</v>
      </c>
      <c r="D2003" s="5" t="inlineStr">
        <is>
          <t>Grupos poderosos en su propio beneficio</t>
        </is>
      </c>
      <c r="E2003" s="6" t="n">
        <v>0.6509999999999999</v>
      </c>
      <c r="F2003" s="7" t="n">
        <v>1200</v>
      </c>
    </row>
    <row r="2004">
      <c r="A2004" s="5" t="inlineStr">
        <is>
          <t>Grupos poderosos</t>
        </is>
      </c>
      <c r="B2004" s="5" t="inlineStr">
        <is>
          <t>Chile</t>
        </is>
      </c>
      <c r="C2004" s="5" t="n">
        <v>2005</v>
      </c>
      <c r="D2004" s="5" t="inlineStr">
        <is>
          <t>Para el bien de todo el pueblo</t>
        </is>
      </c>
      <c r="E2004" s="6" t="n">
        <v>0.306</v>
      </c>
      <c r="F2004" s="7" t="n">
        <v>1200</v>
      </c>
    </row>
    <row r="2005">
      <c r="A2005" s="5" t="inlineStr">
        <is>
          <t>Grupos poderosos</t>
        </is>
      </c>
      <c r="B2005" s="5" t="inlineStr">
        <is>
          <t>Chile</t>
        </is>
      </c>
      <c r="C2005" s="5" t="n">
        <v>2005</v>
      </c>
      <c r="D2005" s="5" t="inlineStr">
        <is>
          <t>No sabe; no responde</t>
        </is>
      </c>
      <c r="E2005" s="6" t="n">
        <v>0.043</v>
      </c>
      <c r="F2005" s="7" t="n">
        <v>1200</v>
      </c>
    </row>
    <row r="2006">
      <c r="A2006" s="5" t="inlineStr">
        <is>
          <t>Grupos poderosos</t>
        </is>
      </c>
      <c r="B2006" s="5" t="inlineStr">
        <is>
          <t>Chile</t>
        </is>
      </c>
      <c r="C2006" s="5" t="n">
        <v>2006</v>
      </c>
      <c r="D2006" s="5" t="inlineStr">
        <is>
          <t>Grupos poderosos en su propio beneficio</t>
        </is>
      </c>
      <c r="E2006" s="6" t="n">
        <v>0.6809999999999999</v>
      </c>
      <c r="F2006" s="7" t="n">
        <v>1200</v>
      </c>
    </row>
    <row r="2007">
      <c r="A2007" s="5" t="inlineStr">
        <is>
          <t>Grupos poderosos</t>
        </is>
      </c>
      <c r="B2007" s="5" t="inlineStr">
        <is>
          <t>Chile</t>
        </is>
      </c>
      <c r="C2007" s="5" t="n">
        <v>2006</v>
      </c>
      <c r="D2007" s="5" t="inlineStr">
        <is>
          <t>Para el bien de todo el pueblo</t>
        </is>
      </c>
      <c r="E2007" s="6" t="n">
        <v>0.267</v>
      </c>
      <c r="F2007" s="7" t="n">
        <v>1200</v>
      </c>
    </row>
    <row r="2008">
      <c r="A2008" s="5" t="inlineStr">
        <is>
          <t>Grupos poderosos</t>
        </is>
      </c>
      <c r="B2008" s="5" t="inlineStr">
        <is>
          <t>Chile</t>
        </is>
      </c>
      <c r="C2008" s="5" t="n">
        <v>2006</v>
      </c>
      <c r="D2008" s="5" t="inlineStr">
        <is>
          <t>No sabe; no responde</t>
        </is>
      </c>
      <c r="E2008" s="6" t="n">
        <v>0.052</v>
      </c>
      <c r="F2008" s="7" t="n">
        <v>1200</v>
      </c>
    </row>
    <row r="2009">
      <c r="A2009" s="5" t="inlineStr">
        <is>
          <t>Grupos poderosos</t>
        </is>
      </c>
      <c r="B2009" s="5" t="inlineStr">
        <is>
          <t>Chile</t>
        </is>
      </c>
      <c r="C2009" s="5" t="n">
        <v>2007</v>
      </c>
      <c r="D2009" s="5" t="inlineStr">
        <is>
          <t>Grupos poderosos en su propio beneficio</t>
        </is>
      </c>
      <c r="E2009" s="6" t="n">
        <v>0.728</v>
      </c>
      <c r="F2009" s="7" t="n">
        <v>1200</v>
      </c>
    </row>
    <row r="2010">
      <c r="A2010" s="5" t="inlineStr">
        <is>
          <t>Grupos poderosos</t>
        </is>
      </c>
      <c r="B2010" s="5" t="inlineStr">
        <is>
          <t>Chile</t>
        </is>
      </c>
      <c r="C2010" s="5" t="n">
        <v>2007</v>
      </c>
      <c r="D2010" s="5" t="inlineStr">
        <is>
          <t>Para el bien de todo el pueblo</t>
        </is>
      </c>
      <c r="E2010" s="6" t="n">
        <v>0.224</v>
      </c>
      <c r="F2010" s="7" t="n">
        <v>1200</v>
      </c>
    </row>
    <row r="2011">
      <c r="A2011" s="5" t="inlineStr">
        <is>
          <t>Grupos poderosos</t>
        </is>
      </c>
      <c r="B2011" s="5" t="inlineStr">
        <is>
          <t>Chile</t>
        </is>
      </c>
      <c r="C2011" s="5" t="n">
        <v>2007</v>
      </c>
      <c r="D2011" s="5" t="inlineStr">
        <is>
          <t>No sabe; no responde</t>
        </is>
      </c>
      <c r="E2011" s="6" t="n">
        <v>0.048</v>
      </c>
      <c r="F2011" s="7" t="n">
        <v>1200</v>
      </c>
    </row>
    <row r="2012">
      <c r="A2012" s="5" t="inlineStr">
        <is>
          <t>Grupos poderosos</t>
        </is>
      </c>
      <c r="B2012" s="5" t="inlineStr">
        <is>
          <t>Chile</t>
        </is>
      </c>
      <c r="C2012" s="5" t="n">
        <v>2008</v>
      </c>
      <c r="D2012" s="5" t="inlineStr">
        <is>
          <t>Grupos poderosos en su propio beneficio</t>
        </is>
      </c>
      <c r="E2012" s="6" t="n">
        <v>0.713</v>
      </c>
      <c r="F2012" s="7" t="n">
        <v>1200</v>
      </c>
    </row>
    <row r="2013">
      <c r="A2013" s="5" t="inlineStr">
        <is>
          <t>Grupos poderosos</t>
        </is>
      </c>
      <c r="B2013" s="5" t="inlineStr">
        <is>
          <t>Chile</t>
        </is>
      </c>
      <c r="C2013" s="5" t="n">
        <v>2008</v>
      </c>
      <c r="D2013" s="5" t="inlineStr">
        <is>
          <t>Para el bien de todo el pueblo</t>
        </is>
      </c>
      <c r="E2013" s="6" t="n">
        <v>0.227</v>
      </c>
      <c r="F2013" s="7" t="n">
        <v>1200</v>
      </c>
    </row>
    <row r="2014">
      <c r="A2014" s="5" t="inlineStr">
        <is>
          <t>Grupos poderosos</t>
        </is>
      </c>
      <c r="B2014" s="5" t="inlineStr">
        <is>
          <t>Chile</t>
        </is>
      </c>
      <c r="C2014" s="5" t="n">
        <v>2008</v>
      </c>
      <c r="D2014" s="5" t="inlineStr">
        <is>
          <t>No sabe; no responde</t>
        </is>
      </c>
      <c r="E2014" s="6" t="n">
        <v>0.06</v>
      </c>
      <c r="F2014" s="7" t="n">
        <v>1200</v>
      </c>
    </row>
    <row r="2015">
      <c r="A2015" s="5" t="inlineStr">
        <is>
          <t>Grupos poderosos</t>
        </is>
      </c>
      <c r="B2015" s="5" t="inlineStr">
        <is>
          <t>Chile</t>
        </is>
      </c>
      <c r="C2015" s="5" t="n">
        <v>2009</v>
      </c>
      <c r="D2015" s="5" t="inlineStr">
        <is>
          <t>Grupos poderosos en su propio beneficio</t>
        </is>
      </c>
      <c r="E2015" s="6" t="n">
        <v>0.544</v>
      </c>
      <c r="F2015" s="7" t="n">
        <v>1200</v>
      </c>
    </row>
    <row r="2016">
      <c r="A2016" s="5" t="inlineStr">
        <is>
          <t>Grupos poderosos</t>
        </is>
      </c>
      <c r="B2016" s="5" t="inlineStr">
        <is>
          <t>Chile</t>
        </is>
      </c>
      <c r="C2016" s="5" t="n">
        <v>2009</v>
      </c>
      <c r="D2016" s="5" t="inlineStr">
        <is>
          <t>Para el bien de todo el pueblo</t>
        </is>
      </c>
      <c r="E2016" s="6" t="n">
        <v>0.348</v>
      </c>
      <c r="F2016" s="7" t="n">
        <v>1200</v>
      </c>
    </row>
    <row r="2017">
      <c r="A2017" s="5" t="inlineStr">
        <is>
          <t>Grupos poderosos</t>
        </is>
      </c>
      <c r="B2017" s="5" t="inlineStr">
        <is>
          <t>Chile</t>
        </is>
      </c>
      <c r="C2017" s="5" t="n">
        <v>2009</v>
      </c>
      <c r="D2017" s="5" t="inlineStr">
        <is>
          <t>No sabe; no responde</t>
        </is>
      </c>
      <c r="E2017" s="6" t="n">
        <v>0.108</v>
      </c>
      <c r="F2017" s="7" t="n">
        <v>1200</v>
      </c>
    </row>
    <row r="2018">
      <c r="A2018" s="5" t="inlineStr">
        <is>
          <t>Grupos poderosos</t>
        </is>
      </c>
      <c r="B2018" s="5" t="inlineStr">
        <is>
          <t>Chile</t>
        </is>
      </c>
      <c r="C2018" s="5" t="n">
        <v>2010</v>
      </c>
      <c r="D2018" s="5" t="inlineStr">
        <is>
          <t>Grupos poderosos en su propio beneficio</t>
        </is>
      </c>
      <c r="E2018" s="6" t="n">
        <v>0.602</v>
      </c>
      <c r="F2018" s="7" t="n">
        <v>1200</v>
      </c>
    </row>
    <row r="2019">
      <c r="A2019" s="5" t="inlineStr">
        <is>
          <t>Grupos poderosos</t>
        </is>
      </c>
      <c r="B2019" s="5" t="inlineStr">
        <is>
          <t>Chile</t>
        </is>
      </c>
      <c r="C2019" s="5" t="n">
        <v>2010</v>
      </c>
      <c r="D2019" s="5" t="inlineStr">
        <is>
          <t>Para el bien de todo el pueblo</t>
        </is>
      </c>
      <c r="E2019" s="6" t="n">
        <v>0.337</v>
      </c>
      <c r="F2019" s="7" t="n">
        <v>1200</v>
      </c>
    </row>
    <row r="2020">
      <c r="A2020" s="5" t="inlineStr">
        <is>
          <t>Grupos poderosos</t>
        </is>
      </c>
      <c r="B2020" s="5" t="inlineStr">
        <is>
          <t>Chile</t>
        </is>
      </c>
      <c r="C2020" s="5" t="n">
        <v>2010</v>
      </c>
      <c r="D2020" s="5" t="inlineStr">
        <is>
          <t>No sabe; no responde</t>
        </is>
      </c>
      <c r="E2020" s="6" t="n">
        <v>0.062</v>
      </c>
      <c r="F2020" s="7" t="n">
        <v>1200</v>
      </c>
    </row>
    <row r="2021">
      <c r="A2021" s="5" t="inlineStr">
        <is>
          <t>Grupos poderosos</t>
        </is>
      </c>
      <c r="B2021" s="5" t="inlineStr">
        <is>
          <t>Chile</t>
        </is>
      </c>
      <c r="C2021" s="5" t="n">
        <v>2011</v>
      </c>
      <c r="D2021" s="5" t="inlineStr">
        <is>
          <t>Grupos poderosos en su propio beneficio</t>
        </is>
      </c>
      <c r="E2021" s="6" t="n">
        <v>0.726</v>
      </c>
      <c r="F2021" s="7" t="n">
        <v>1200</v>
      </c>
    </row>
    <row r="2022">
      <c r="A2022" s="5" t="inlineStr">
        <is>
          <t>Grupos poderosos</t>
        </is>
      </c>
      <c r="B2022" s="5" t="inlineStr">
        <is>
          <t>Chile</t>
        </is>
      </c>
      <c r="C2022" s="5" t="n">
        <v>2011</v>
      </c>
      <c r="D2022" s="5" t="inlineStr">
        <is>
          <t>Para el bien de todo el pueblo</t>
        </is>
      </c>
      <c r="E2022" s="6" t="n">
        <v>0.22</v>
      </c>
      <c r="F2022" s="7" t="n">
        <v>1200</v>
      </c>
    </row>
    <row r="2023">
      <c r="A2023" s="5" t="inlineStr">
        <is>
          <t>Grupos poderosos</t>
        </is>
      </c>
      <c r="B2023" s="5" t="inlineStr">
        <is>
          <t>Chile</t>
        </is>
      </c>
      <c r="C2023" s="5" t="n">
        <v>2011</v>
      </c>
      <c r="D2023" s="5" t="inlineStr">
        <is>
          <t>No sabe; no responde</t>
        </is>
      </c>
      <c r="E2023" s="6" t="n">
        <v>0.05400000000000001</v>
      </c>
      <c r="F2023" s="7" t="n">
        <v>1200</v>
      </c>
    </row>
    <row r="2024">
      <c r="A2024" s="5" t="inlineStr">
        <is>
          <t>Grupos poderosos</t>
        </is>
      </c>
      <c r="B2024" s="5" t="inlineStr">
        <is>
          <t>Chile</t>
        </is>
      </c>
      <c r="C2024" s="5" t="n">
        <v>2016</v>
      </c>
      <c r="D2024" s="5" t="inlineStr">
        <is>
          <t>Grupos poderosos en su propio beneficio</t>
        </is>
      </c>
      <c r="E2024" s="6" t="n">
        <v>0.877</v>
      </c>
      <c r="F2024" s="7" t="n">
        <v>1200</v>
      </c>
    </row>
    <row r="2025">
      <c r="A2025" s="5" t="inlineStr">
        <is>
          <t>Grupos poderosos</t>
        </is>
      </c>
      <c r="B2025" s="5" t="inlineStr">
        <is>
          <t>Chile</t>
        </is>
      </c>
      <c r="C2025" s="5" t="n">
        <v>2016</v>
      </c>
      <c r="D2025" s="5" t="inlineStr">
        <is>
          <t>Para el bien de todo el pueblo</t>
        </is>
      </c>
      <c r="E2025" s="6" t="n">
        <v>0.08500000000000001</v>
      </c>
      <c r="F2025" s="7" t="n">
        <v>1200</v>
      </c>
    </row>
    <row r="2026">
      <c r="A2026" s="5" t="inlineStr">
        <is>
          <t>Grupos poderosos</t>
        </is>
      </c>
      <c r="B2026" s="5" t="inlineStr">
        <is>
          <t>Chile</t>
        </is>
      </c>
      <c r="C2026" s="5" t="n">
        <v>2016</v>
      </c>
      <c r="D2026" s="5" t="inlineStr">
        <is>
          <t>No sabe; no responde</t>
        </is>
      </c>
      <c r="E2026" s="6" t="n">
        <v>0.039</v>
      </c>
      <c r="F2026" s="7" t="n">
        <v>1200</v>
      </c>
    </row>
    <row r="2027">
      <c r="A2027" s="5" t="inlineStr">
        <is>
          <t>Grupos poderosos</t>
        </is>
      </c>
      <c r="B2027" s="5" t="inlineStr">
        <is>
          <t>Chile</t>
        </is>
      </c>
      <c r="C2027" s="5" t="n">
        <v>2017</v>
      </c>
      <c r="D2027" s="5" t="inlineStr">
        <is>
          <t>Grupos poderosos en su propio beneficio</t>
        </is>
      </c>
      <c r="E2027" s="6" t="n">
        <v>0.8190000000000001</v>
      </c>
      <c r="F2027" s="7" t="n">
        <v>1201</v>
      </c>
    </row>
    <row r="2028">
      <c r="A2028" s="5" t="inlineStr">
        <is>
          <t>Grupos poderosos</t>
        </is>
      </c>
      <c r="B2028" s="5" t="inlineStr">
        <is>
          <t>Chile</t>
        </is>
      </c>
      <c r="C2028" s="5" t="n">
        <v>2017</v>
      </c>
      <c r="D2028" s="5" t="inlineStr">
        <is>
          <t>Para el bien de todo el pueblo</t>
        </is>
      </c>
      <c r="E2028" s="6" t="n">
        <v>0.142</v>
      </c>
      <c r="F2028" s="7" t="n">
        <v>1201</v>
      </c>
    </row>
    <row r="2029">
      <c r="A2029" s="5" t="inlineStr">
        <is>
          <t>Grupos poderosos</t>
        </is>
      </c>
      <c r="B2029" s="5" t="inlineStr">
        <is>
          <t>Chile</t>
        </is>
      </c>
      <c r="C2029" s="5" t="n">
        <v>2017</v>
      </c>
      <c r="D2029" s="5" t="inlineStr">
        <is>
          <t>No sabe; no responde</t>
        </is>
      </c>
      <c r="E2029" s="6" t="n">
        <v>0.04</v>
      </c>
      <c r="F2029" s="7" t="n">
        <v>1201</v>
      </c>
    </row>
    <row r="2030">
      <c r="A2030" s="5" t="inlineStr">
        <is>
          <t>Grupos poderosos</t>
        </is>
      </c>
      <c r="B2030" s="5" t="inlineStr">
        <is>
          <t>Chile</t>
        </is>
      </c>
      <c r="C2030" s="5" t="n">
        <v>2018</v>
      </c>
      <c r="D2030" s="5" t="inlineStr">
        <is>
          <t>Grupos poderosos en su propio beneficio</t>
        </is>
      </c>
      <c r="E2030" s="6" t="n">
        <v>0.74</v>
      </c>
      <c r="F2030" s="7" t="n">
        <v>1200</v>
      </c>
    </row>
    <row r="2031">
      <c r="A2031" s="5" t="inlineStr">
        <is>
          <t>Grupos poderosos</t>
        </is>
      </c>
      <c r="B2031" s="5" t="inlineStr">
        <is>
          <t>Chile</t>
        </is>
      </c>
      <c r="C2031" s="5" t="n">
        <v>2018</v>
      </c>
      <c r="D2031" s="5" t="inlineStr">
        <is>
          <t>Para el bien de todo el pueblo</t>
        </is>
      </c>
      <c r="E2031" s="6" t="n">
        <v>0.216</v>
      </c>
      <c r="F2031" s="7" t="n">
        <v>1200</v>
      </c>
    </row>
    <row r="2032">
      <c r="A2032" s="5" t="inlineStr">
        <is>
          <t>Grupos poderosos</t>
        </is>
      </c>
      <c r="B2032" s="5" t="inlineStr">
        <is>
          <t>Chile</t>
        </is>
      </c>
      <c r="C2032" s="5" t="n">
        <v>2018</v>
      </c>
      <c r="D2032" s="5" t="inlineStr">
        <is>
          <t>No sabe; no responde</t>
        </is>
      </c>
      <c r="E2032" s="6" t="n">
        <v>0.044</v>
      </c>
      <c r="F2032" s="7" t="n">
        <v>1200</v>
      </c>
    </row>
    <row r="2033">
      <c r="A2033" s="5" t="inlineStr">
        <is>
          <t>Grupos poderosos</t>
        </is>
      </c>
      <c r="B2033" s="5" t="inlineStr">
        <is>
          <t>Chile</t>
        </is>
      </c>
      <c r="C2033" s="5" t="n">
        <v>2020</v>
      </c>
      <c r="D2033" s="5" t="inlineStr">
        <is>
          <t>Grupos poderosos en su propio beneficio</t>
        </is>
      </c>
      <c r="E2033" s="6" t="n">
        <v>0.8640000000000001</v>
      </c>
      <c r="F2033" s="7" t="n">
        <v>1200</v>
      </c>
    </row>
    <row r="2034">
      <c r="A2034" s="5" t="inlineStr">
        <is>
          <t>Grupos poderosos</t>
        </is>
      </c>
      <c r="B2034" s="5" t="inlineStr">
        <is>
          <t>Chile</t>
        </is>
      </c>
      <c r="C2034" s="5" t="n">
        <v>2020</v>
      </c>
      <c r="D2034" s="5" t="inlineStr">
        <is>
          <t>Para el bien de todo el pueblo</t>
        </is>
      </c>
      <c r="E2034" s="6" t="n">
        <v>0.08400000000000001</v>
      </c>
      <c r="F2034" s="7" t="n">
        <v>1200</v>
      </c>
    </row>
    <row r="2035">
      <c r="A2035" s="5" t="inlineStr">
        <is>
          <t>Grupos poderosos</t>
        </is>
      </c>
      <c r="B2035" s="5" t="inlineStr">
        <is>
          <t>Chile</t>
        </is>
      </c>
      <c r="C2035" s="5" t="n">
        <v>2020</v>
      </c>
      <c r="D2035" s="5" t="inlineStr">
        <is>
          <t>No sabe; no responde</t>
        </is>
      </c>
      <c r="E2035" s="6" t="n">
        <v>0.052</v>
      </c>
      <c r="F2035" s="7" t="n">
        <v>1200</v>
      </c>
    </row>
    <row r="2036">
      <c r="A2036" s="5" t="inlineStr">
        <is>
          <t>Grupos poderosos</t>
        </is>
      </c>
      <c r="B2036" s="5" t="inlineStr">
        <is>
          <t>Chile</t>
        </is>
      </c>
      <c r="C2036" s="5" t="n">
        <v>2024</v>
      </c>
      <c r="D2036" s="5" t="inlineStr">
        <is>
          <t>Grupos poderosos en su propio beneficio</t>
        </is>
      </c>
      <c r="E2036" s="6" t="n">
        <v>0.8079999999999999</v>
      </c>
      <c r="F2036" s="7" t="n">
        <v>1200</v>
      </c>
    </row>
    <row r="2037">
      <c r="A2037" s="5" t="inlineStr">
        <is>
          <t>Grupos poderosos</t>
        </is>
      </c>
      <c r="B2037" s="5" t="inlineStr">
        <is>
          <t>Chile</t>
        </is>
      </c>
      <c r="C2037" s="5" t="n">
        <v>2024</v>
      </c>
      <c r="D2037" s="5" t="inlineStr">
        <is>
          <t>Para el bien de todo el pueblo</t>
        </is>
      </c>
      <c r="E2037" s="6" t="n">
        <v>0.152</v>
      </c>
      <c r="F2037" s="7" t="n">
        <v>1200</v>
      </c>
    </row>
    <row r="2038">
      <c r="A2038" s="5" t="inlineStr">
        <is>
          <t>Grupos poderosos</t>
        </is>
      </c>
      <c r="B2038" s="5" t="inlineStr">
        <is>
          <t>Chile</t>
        </is>
      </c>
      <c r="C2038" s="5" t="n">
        <v>2024</v>
      </c>
      <c r="D2038" s="5" t="inlineStr">
        <is>
          <t>No sabe; no responde</t>
        </is>
      </c>
      <c r="E2038" s="6" t="n">
        <v>0.04</v>
      </c>
      <c r="F2038" s="7" t="n">
        <v>1200</v>
      </c>
    </row>
    <row r="2039">
      <c r="A2039" s="5" t="inlineStr">
        <is>
          <t>Grupos poderosos</t>
        </is>
      </c>
      <c r="B2039" s="5" t="inlineStr">
        <is>
          <t>Colombia</t>
        </is>
      </c>
      <c r="C2039" s="5" t="n">
        <v>2004</v>
      </c>
      <c r="D2039" s="5" t="inlineStr">
        <is>
          <t>Grupos poderosos en su propio beneficio</t>
        </is>
      </c>
      <c r="E2039" s="6" t="n">
        <v>0.5920000000000001</v>
      </c>
      <c r="F2039" s="7" t="n">
        <v>1200</v>
      </c>
    </row>
    <row r="2040">
      <c r="A2040" s="5" t="inlineStr">
        <is>
          <t>Grupos poderosos</t>
        </is>
      </c>
      <c r="B2040" s="5" t="inlineStr">
        <is>
          <t>Colombia</t>
        </is>
      </c>
      <c r="C2040" s="5" t="n">
        <v>2004</v>
      </c>
      <c r="D2040" s="5" t="inlineStr">
        <is>
          <t>Para el bien de todo el pueblo</t>
        </is>
      </c>
      <c r="E2040" s="6" t="n">
        <v>0.365</v>
      </c>
      <c r="F2040" s="7" t="n">
        <v>1200</v>
      </c>
    </row>
    <row r="2041">
      <c r="A2041" s="5" t="inlineStr">
        <is>
          <t>Grupos poderosos</t>
        </is>
      </c>
      <c r="B2041" s="5" t="inlineStr">
        <is>
          <t>Colombia</t>
        </is>
      </c>
      <c r="C2041" s="5" t="n">
        <v>2004</v>
      </c>
      <c r="D2041" s="5" t="inlineStr">
        <is>
          <t>No sabe; no responde</t>
        </is>
      </c>
      <c r="E2041" s="6" t="n">
        <v>0.043</v>
      </c>
      <c r="F2041" s="7" t="n">
        <v>1200</v>
      </c>
    </row>
    <row r="2042">
      <c r="A2042" s="5" t="inlineStr">
        <is>
          <t>Grupos poderosos</t>
        </is>
      </c>
      <c r="B2042" s="5" t="inlineStr">
        <is>
          <t>Colombia</t>
        </is>
      </c>
      <c r="C2042" s="5" t="n">
        <v>2005</v>
      </c>
      <c r="D2042" s="5" t="inlineStr">
        <is>
          <t>Grupos poderosos en su propio beneficio</t>
        </is>
      </c>
      <c r="E2042" s="6" t="n">
        <v>0.6559999999999999</v>
      </c>
      <c r="F2042" s="7" t="n">
        <v>1200</v>
      </c>
    </row>
    <row r="2043">
      <c r="A2043" s="5" t="inlineStr">
        <is>
          <t>Grupos poderosos</t>
        </is>
      </c>
      <c r="B2043" s="5" t="inlineStr">
        <is>
          <t>Colombia</t>
        </is>
      </c>
      <c r="C2043" s="5" t="n">
        <v>2005</v>
      </c>
      <c r="D2043" s="5" t="inlineStr">
        <is>
          <t>Para el bien de todo el pueblo</t>
        </is>
      </c>
      <c r="E2043" s="6" t="n">
        <v>0.314</v>
      </c>
      <c r="F2043" s="7" t="n">
        <v>1200</v>
      </c>
    </row>
    <row r="2044">
      <c r="A2044" s="5" t="inlineStr">
        <is>
          <t>Grupos poderosos</t>
        </is>
      </c>
      <c r="B2044" s="5" t="inlineStr">
        <is>
          <t>Colombia</t>
        </is>
      </c>
      <c r="C2044" s="5" t="n">
        <v>2005</v>
      </c>
      <c r="D2044" s="5" t="inlineStr">
        <is>
          <t>No sabe; no responde</t>
        </is>
      </c>
      <c r="E2044" s="6" t="n">
        <v>0.03</v>
      </c>
      <c r="F2044" s="7" t="n">
        <v>1200</v>
      </c>
    </row>
    <row r="2045">
      <c r="A2045" s="5" t="inlineStr">
        <is>
          <t>Grupos poderosos</t>
        </is>
      </c>
      <c r="B2045" s="5" t="inlineStr">
        <is>
          <t>Colombia</t>
        </is>
      </c>
      <c r="C2045" s="5" t="n">
        <v>2006</v>
      </c>
      <c r="D2045" s="5" t="inlineStr">
        <is>
          <t>Grupos poderosos en su propio beneficio</t>
        </is>
      </c>
      <c r="E2045" s="6" t="n">
        <v>0.6759999999999999</v>
      </c>
      <c r="F2045" s="7" t="n">
        <v>1200</v>
      </c>
    </row>
    <row r="2046">
      <c r="A2046" s="5" t="inlineStr">
        <is>
          <t>Grupos poderosos</t>
        </is>
      </c>
      <c r="B2046" s="5" t="inlineStr">
        <is>
          <t>Colombia</t>
        </is>
      </c>
      <c r="C2046" s="5" t="n">
        <v>2006</v>
      </c>
      <c r="D2046" s="5" t="inlineStr">
        <is>
          <t>Para el bien de todo el pueblo</t>
        </is>
      </c>
      <c r="E2046" s="6" t="n">
        <v>0.302</v>
      </c>
      <c r="F2046" s="7" t="n">
        <v>1200</v>
      </c>
    </row>
    <row r="2047">
      <c r="A2047" s="5" t="inlineStr">
        <is>
          <t>Grupos poderosos</t>
        </is>
      </c>
      <c r="B2047" s="5" t="inlineStr">
        <is>
          <t>Colombia</t>
        </is>
      </c>
      <c r="C2047" s="5" t="n">
        <v>2006</v>
      </c>
      <c r="D2047" s="5" t="inlineStr">
        <is>
          <t>No sabe; no responde</t>
        </is>
      </c>
      <c r="E2047" s="6" t="n">
        <v>0.022</v>
      </c>
      <c r="F2047" s="7" t="n">
        <v>1200</v>
      </c>
    </row>
    <row r="2048">
      <c r="A2048" s="5" t="inlineStr">
        <is>
          <t>Grupos poderosos</t>
        </is>
      </c>
      <c r="B2048" s="5" t="inlineStr">
        <is>
          <t>Colombia</t>
        </is>
      </c>
      <c r="C2048" s="5" t="n">
        <v>2007</v>
      </c>
      <c r="D2048" s="5" t="inlineStr">
        <is>
          <t>Grupos poderosos en su propio beneficio</t>
        </is>
      </c>
      <c r="E2048" s="6" t="n">
        <v>0.6929999999999999</v>
      </c>
      <c r="F2048" s="7" t="n">
        <v>1200</v>
      </c>
    </row>
    <row r="2049">
      <c r="A2049" s="5" t="inlineStr">
        <is>
          <t>Grupos poderosos</t>
        </is>
      </c>
      <c r="B2049" s="5" t="inlineStr">
        <is>
          <t>Colombia</t>
        </is>
      </c>
      <c r="C2049" s="5" t="n">
        <v>2007</v>
      </c>
      <c r="D2049" s="5" t="inlineStr">
        <is>
          <t>Para el bien de todo el pueblo</t>
        </is>
      </c>
      <c r="E2049" s="6" t="n">
        <v>0.28</v>
      </c>
      <c r="F2049" s="7" t="n">
        <v>1200</v>
      </c>
    </row>
    <row r="2050">
      <c r="A2050" s="5" t="inlineStr">
        <is>
          <t>Grupos poderosos</t>
        </is>
      </c>
      <c r="B2050" s="5" t="inlineStr">
        <is>
          <t>Colombia</t>
        </is>
      </c>
      <c r="C2050" s="5" t="n">
        <v>2007</v>
      </c>
      <c r="D2050" s="5" t="inlineStr">
        <is>
          <t>No sabe; no responde</t>
        </is>
      </c>
      <c r="E2050" s="6" t="n">
        <v>0.027</v>
      </c>
      <c r="F2050" s="7" t="n">
        <v>1200</v>
      </c>
    </row>
    <row r="2051">
      <c r="A2051" s="5" t="inlineStr">
        <is>
          <t>Grupos poderosos</t>
        </is>
      </c>
      <c r="B2051" s="5" t="inlineStr">
        <is>
          <t>Colombia</t>
        </is>
      </c>
      <c r="C2051" s="5" t="n">
        <v>2008</v>
      </c>
      <c r="D2051" s="5" t="inlineStr">
        <is>
          <t>Grupos poderosos en su propio beneficio</t>
        </is>
      </c>
      <c r="E2051" s="6" t="n">
        <v>0.672</v>
      </c>
      <c r="F2051" s="7" t="n">
        <v>1200</v>
      </c>
    </row>
    <row r="2052">
      <c r="A2052" s="5" t="inlineStr">
        <is>
          <t>Grupos poderosos</t>
        </is>
      </c>
      <c r="B2052" s="5" t="inlineStr">
        <is>
          <t>Colombia</t>
        </is>
      </c>
      <c r="C2052" s="5" t="n">
        <v>2008</v>
      </c>
      <c r="D2052" s="5" t="inlineStr">
        <is>
          <t>Para el bien de todo el pueblo</t>
        </is>
      </c>
      <c r="E2052" s="6" t="n">
        <v>0.294</v>
      </c>
      <c r="F2052" s="7" t="n">
        <v>1200</v>
      </c>
    </row>
    <row r="2053">
      <c r="A2053" s="5" t="inlineStr">
        <is>
          <t>Grupos poderosos</t>
        </is>
      </c>
      <c r="B2053" s="5" t="inlineStr">
        <is>
          <t>Colombia</t>
        </is>
      </c>
      <c r="C2053" s="5" t="n">
        <v>2008</v>
      </c>
      <c r="D2053" s="5" t="inlineStr">
        <is>
          <t>No sabe; no responde</t>
        </is>
      </c>
      <c r="E2053" s="6" t="n">
        <v>0.034</v>
      </c>
      <c r="F2053" s="7" t="n">
        <v>1200</v>
      </c>
    </row>
    <row r="2054">
      <c r="A2054" s="5" t="inlineStr">
        <is>
          <t>Grupos poderosos</t>
        </is>
      </c>
      <c r="B2054" s="5" t="inlineStr">
        <is>
          <t>Colombia</t>
        </is>
      </c>
      <c r="C2054" s="5" t="n">
        <v>2009</v>
      </c>
      <c r="D2054" s="5" t="inlineStr">
        <is>
          <t>Grupos poderosos en su propio beneficio</t>
        </is>
      </c>
      <c r="E2054" s="6" t="n">
        <v>0.5920000000000001</v>
      </c>
      <c r="F2054" s="7" t="n">
        <v>1200</v>
      </c>
    </row>
    <row r="2055">
      <c r="A2055" s="5" t="inlineStr">
        <is>
          <t>Grupos poderosos</t>
        </is>
      </c>
      <c r="B2055" s="5" t="inlineStr">
        <is>
          <t>Colombia</t>
        </is>
      </c>
      <c r="C2055" s="5" t="n">
        <v>2009</v>
      </c>
      <c r="D2055" s="5" t="inlineStr">
        <is>
          <t>Para el bien de todo el pueblo</t>
        </is>
      </c>
      <c r="E2055" s="6" t="n">
        <v>0.356</v>
      </c>
      <c r="F2055" s="7" t="n">
        <v>1200</v>
      </c>
    </row>
    <row r="2056">
      <c r="A2056" s="5" t="inlineStr">
        <is>
          <t>Grupos poderosos</t>
        </is>
      </c>
      <c r="B2056" s="5" t="inlineStr">
        <is>
          <t>Colombia</t>
        </is>
      </c>
      <c r="C2056" s="5" t="n">
        <v>2009</v>
      </c>
      <c r="D2056" s="5" t="inlineStr">
        <is>
          <t>No sabe; no responde</t>
        </is>
      </c>
      <c r="E2056" s="6" t="n">
        <v>0.052</v>
      </c>
      <c r="F2056" s="7" t="n">
        <v>1200</v>
      </c>
    </row>
    <row r="2057">
      <c r="A2057" s="5" t="inlineStr">
        <is>
          <t>Grupos poderosos</t>
        </is>
      </c>
      <c r="B2057" s="5" t="inlineStr">
        <is>
          <t>Colombia</t>
        </is>
      </c>
      <c r="C2057" s="5" t="n">
        <v>2010</v>
      </c>
      <c r="D2057" s="5" t="inlineStr">
        <is>
          <t>Grupos poderosos en su propio beneficio</t>
        </is>
      </c>
      <c r="E2057" s="6" t="n">
        <v>0.639</v>
      </c>
      <c r="F2057" s="7" t="n">
        <v>1200</v>
      </c>
    </row>
    <row r="2058">
      <c r="A2058" s="5" t="inlineStr">
        <is>
          <t>Grupos poderosos</t>
        </is>
      </c>
      <c r="B2058" s="5" t="inlineStr">
        <is>
          <t>Colombia</t>
        </is>
      </c>
      <c r="C2058" s="5" t="n">
        <v>2010</v>
      </c>
      <c r="D2058" s="5" t="inlineStr">
        <is>
          <t>Para el bien de todo el pueblo</t>
        </is>
      </c>
      <c r="E2058" s="6" t="n">
        <v>0.309</v>
      </c>
      <c r="F2058" s="7" t="n">
        <v>1200</v>
      </c>
    </row>
    <row r="2059">
      <c r="A2059" s="5" t="inlineStr">
        <is>
          <t>Grupos poderosos</t>
        </is>
      </c>
      <c r="B2059" s="5" t="inlineStr">
        <is>
          <t>Colombia</t>
        </is>
      </c>
      <c r="C2059" s="5" t="n">
        <v>2010</v>
      </c>
      <c r="D2059" s="5" t="inlineStr">
        <is>
          <t>No sabe; no responde</t>
        </is>
      </c>
      <c r="E2059" s="6" t="n">
        <v>0.051</v>
      </c>
      <c r="F2059" s="7" t="n">
        <v>1200</v>
      </c>
    </row>
    <row r="2060">
      <c r="A2060" s="5" t="inlineStr">
        <is>
          <t>Grupos poderosos</t>
        </is>
      </c>
      <c r="B2060" s="5" t="inlineStr">
        <is>
          <t>Colombia</t>
        </is>
      </c>
      <c r="C2060" s="5" t="n">
        <v>2011</v>
      </c>
      <c r="D2060" s="5" t="inlineStr">
        <is>
          <t>Grupos poderosos en su propio beneficio</t>
        </is>
      </c>
      <c r="E2060" s="6" t="n">
        <v>0.728</v>
      </c>
      <c r="F2060" s="7" t="n">
        <v>1200</v>
      </c>
    </row>
    <row r="2061">
      <c r="A2061" s="5" t="inlineStr">
        <is>
          <t>Grupos poderosos</t>
        </is>
      </c>
      <c r="B2061" s="5" t="inlineStr">
        <is>
          <t>Colombia</t>
        </is>
      </c>
      <c r="C2061" s="5" t="n">
        <v>2011</v>
      </c>
      <c r="D2061" s="5" t="inlineStr">
        <is>
          <t>Para el bien de todo el pueblo</t>
        </is>
      </c>
      <c r="E2061" s="6" t="n">
        <v>0.245</v>
      </c>
      <c r="F2061" s="7" t="n">
        <v>1200</v>
      </c>
    </row>
    <row r="2062">
      <c r="A2062" s="5" t="inlineStr">
        <is>
          <t>Grupos poderosos</t>
        </is>
      </c>
      <c r="B2062" s="5" t="inlineStr">
        <is>
          <t>Colombia</t>
        </is>
      </c>
      <c r="C2062" s="5" t="n">
        <v>2011</v>
      </c>
      <c r="D2062" s="5" t="inlineStr">
        <is>
          <t>No sabe; no responde</t>
        </is>
      </c>
      <c r="E2062" s="6" t="n">
        <v>0.027</v>
      </c>
      <c r="F2062" s="7" t="n">
        <v>1200</v>
      </c>
    </row>
    <row r="2063">
      <c r="A2063" s="5" t="inlineStr">
        <is>
          <t>Grupos poderosos</t>
        </is>
      </c>
      <c r="B2063" s="5" t="inlineStr">
        <is>
          <t>Colombia</t>
        </is>
      </c>
      <c r="C2063" s="5" t="n">
        <v>2016</v>
      </c>
      <c r="D2063" s="5" t="inlineStr">
        <is>
          <t>Grupos poderosos en su propio beneficio</t>
        </is>
      </c>
      <c r="E2063" s="6" t="n">
        <v>0.825</v>
      </c>
      <c r="F2063" s="7" t="n">
        <v>1200</v>
      </c>
    </row>
    <row r="2064">
      <c r="A2064" s="5" t="inlineStr">
        <is>
          <t>Grupos poderosos</t>
        </is>
      </c>
      <c r="B2064" s="5" t="inlineStr">
        <is>
          <t>Colombia</t>
        </is>
      </c>
      <c r="C2064" s="5" t="n">
        <v>2016</v>
      </c>
      <c r="D2064" s="5" t="inlineStr">
        <is>
          <t>Para el bien de todo el pueblo</t>
        </is>
      </c>
      <c r="E2064" s="6" t="n">
        <v>0.147</v>
      </c>
      <c r="F2064" s="7" t="n">
        <v>1200</v>
      </c>
    </row>
    <row r="2065">
      <c r="A2065" s="5" t="inlineStr">
        <is>
          <t>Grupos poderosos</t>
        </is>
      </c>
      <c r="B2065" s="5" t="inlineStr">
        <is>
          <t>Colombia</t>
        </is>
      </c>
      <c r="C2065" s="5" t="n">
        <v>2016</v>
      </c>
      <c r="D2065" s="5" t="inlineStr">
        <is>
          <t>No sabe; no responde</t>
        </is>
      </c>
      <c r="E2065" s="6" t="n">
        <v>0.028</v>
      </c>
      <c r="F2065" s="7" t="n">
        <v>1200</v>
      </c>
    </row>
    <row r="2066">
      <c r="A2066" s="5" t="inlineStr">
        <is>
          <t>Grupos poderosos</t>
        </is>
      </c>
      <c r="B2066" s="5" t="inlineStr">
        <is>
          <t>Colombia</t>
        </is>
      </c>
      <c r="C2066" s="5" t="n">
        <v>2017</v>
      </c>
      <c r="D2066" s="5" t="inlineStr">
        <is>
          <t>Grupos poderosos en su propio beneficio</t>
        </is>
      </c>
      <c r="E2066" s="6" t="n">
        <v>0.847</v>
      </c>
      <c r="F2066" s="7" t="n">
        <v>1200</v>
      </c>
    </row>
    <row r="2067">
      <c r="A2067" s="5" t="inlineStr">
        <is>
          <t>Grupos poderosos</t>
        </is>
      </c>
      <c r="B2067" s="5" t="inlineStr">
        <is>
          <t>Colombia</t>
        </is>
      </c>
      <c r="C2067" s="5" t="n">
        <v>2017</v>
      </c>
      <c r="D2067" s="5" t="inlineStr">
        <is>
          <t>Para el bien de todo el pueblo</t>
        </is>
      </c>
      <c r="E2067" s="6" t="n">
        <v>0.133</v>
      </c>
      <c r="F2067" s="7" t="n">
        <v>1200</v>
      </c>
    </row>
    <row r="2068">
      <c r="A2068" s="5" t="inlineStr">
        <is>
          <t>Grupos poderosos</t>
        </is>
      </c>
      <c r="B2068" s="5" t="inlineStr">
        <is>
          <t>Colombia</t>
        </is>
      </c>
      <c r="C2068" s="5" t="n">
        <v>2017</v>
      </c>
      <c r="D2068" s="5" t="inlineStr">
        <is>
          <t>No sabe; no responde</t>
        </is>
      </c>
      <c r="E2068" s="6" t="n">
        <v>0.02</v>
      </c>
      <c r="F2068" s="7" t="n">
        <v>1200</v>
      </c>
    </row>
    <row r="2069">
      <c r="A2069" s="5" t="inlineStr">
        <is>
          <t>Grupos poderosos</t>
        </is>
      </c>
      <c r="B2069" s="5" t="inlineStr">
        <is>
          <t>Colombia</t>
        </is>
      </c>
      <c r="C2069" s="5" t="n">
        <v>2018</v>
      </c>
      <c r="D2069" s="5" t="inlineStr">
        <is>
          <t>Grupos poderosos en su propio beneficio</t>
        </is>
      </c>
      <c r="E2069" s="6" t="n">
        <v>0.802</v>
      </c>
      <c r="F2069" s="7" t="n">
        <v>1200</v>
      </c>
    </row>
    <row r="2070">
      <c r="A2070" s="5" t="inlineStr">
        <is>
          <t>Grupos poderosos</t>
        </is>
      </c>
      <c r="B2070" s="5" t="inlineStr">
        <is>
          <t>Colombia</t>
        </is>
      </c>
      <c r="C2070" s="5" t="n">
        <v>2018</v>
      </c>
      <c r="D2070" s="5" t="inlineStr">
        <is>
          <t>Para el bien de todo el pueblo</t>
        </is>
      </c>
      <c r="E2070" s="6" t="n">
        <v>0.159</v>
      </c>
      <c r="F2070" s="7" t="n">
        <v>1200</v>
      </c>
    </row>
    <row r="2071">
      <c r="A2071" s="5" t="inlineStr">
        <is>
          <t>Grupos poderosos</t>
        </is>
      </c>
      <c r="B2071" s="5" t="inlineStr">
        <is>
          <t>Colombia</t>
        </is>
      </c>
      <c r="C2071" s="5" t="n">
        <v>2018</v>
      </c>
      <c r="D2071" s="5" t="inlineStr">
        <is>
          <t>No sabe; no responde</t>
        </is>
      </c>
      <c r="E2071" s="6" t="n">
        <v>0.039</v>
      </c>
      <c r="F2071" s="7" t="n">
        <v>1200</v>
      </c>
    </row>
    <row r="2072">
      <c r="A2072" s="5" t="inlineStr">
        <is>
          <t>Grupos poderosos</t>
        </is>
      </c>
      <c r="B2072" s="5" t="inlineStr">
        <is>
          <t>Colombia</t>
        </is>
      </c>
      <c r="C2072" s="5" t="n">
        <v>2020</v>
      </c>
      <c r="D2072" s="5" t="inlineStr">
        <is>
          <t>Grupos poderosos en su propio beneficio</t>
        </is>
      </c>
      <c r="E2072" s="6" t="n">
        <v>0.7609999999999999</v>
      </c>
      <c r="F2072" s="7" t="n">
        <v>1199</v>
      </c>
    </row>
    <row r="2073">
      <c r="A2073" s="5" t="inlineStr">
        <is>
          <t>Grupos poderosos</t>
        </is>
      </c>
      <c r="B2073" s="5" t="inlineStr">
        <is>
          <t>Colombia</t>
        </is>
      </c>
      <c r="C2073" s="5" t="n">
        <v>2020</v>
      </c>
      <c r="D2073" s="5" t="inlineStr">
        <is>
          <t>Para el bien de todo el pueblo</t>
        </is>
      </c>
      <c r="E2073" s="6" t="n">
        <v>0.184</v>
      </c>
      <c r="F2073" s="7" t="n">
        <v>1199</v>
      </c>
    </row>
    <row r="2074">
      <c r="A2074" s="5" t="inlineStr">
        <is>
          <t>Grupos poderosos</t>
        </is>
      </c>
      <c r="B2074" s="5" t="inlineStr">
        <is>
          <t>Colombia</t>
        </is>
      </c>
      <c r="C2074" s="5" t="n">
        <v>2020</v>
      </c>
      <c r="D2074" s="5" t="inlineStr">
        <is>
          <t>No sabe; no responde</t>
        </is>
      </c>
      <c r="E2074" s="6" t="n">
        <v>0.05599999999999999</v>
      </c>
      <c r="F2074" s="7" t="n">
        <v>1199</v>
      </c>
    </row>
    <row r="2075">
      <c r="A2075" s="5" t="inlineStr">
        <is>
          <t>Grupos poderosos</t>
        </is>
      </c>
      <c r="B2075" s="5" t="inlineStr">
        <is>
          <t>Colombia</t>
        </is>
      </c>
      <c r="C2075" s="5" t="n">
        <v>2024</v>
      </c>
      <c r="D2075" s="5" t="inlineStr">
        <is>
          <t>Grupos poderosos en su propio beneficio</t>
        </is>
      </c>
      <c r="E2075" s="6" t="n">
        <v>0.7979999999999999</v>
      </c>
      <c r="F2075" s="7" t="n">
        <v>1200</v>
      </c>
    </row>
    <row r="2076">
      <c r="A2076" s="5" t="inlineStr">
        <is>
          <t>Grupos poderosos</t>
        </is>
      </c>
      <c r="B2076" s="5" t="inlineStr">
        <is>
          <t>Colombia</t>
        </is>
      </c>
      <c r="C2076" s="5" t="n">
        <v>2024</v>
      </c>
      <c r="D2076" s="5" t="inlineStr">
        <is>
          <t>Para el bien de todo el pueblo</t>
        </is>
      </c>
      <c r="E2076" s="6" t="n">
        <v>0.175</v>
      </c>
      <c r="F2076" s="7" t="n">
        <v>1200</v>
      </c>
    </row>
    <row r="2077">
      <c r="A2077" s="5" t="inlineStr">
        <is>
          <t>Grupos poderosos</t>
        </is>
      </c>
      <c r="B2077" s="5" t="inlineStr">
        <is>
          <t>Colombia</t>
        </is>
      </c>
      <c r="C2077" s="5" t="n">
        <v>2024</v>
      </c>
      <c r="D2077" s="5" t="inlineStr">
        <is>
          <t>No sabe; no responde</t>
        </is>
      </c>
      <c r="E2077" s="6" t="n">
        <v>0.026</v>
      </c>
      <c r="F2077" s="7" t="n">
        <v>1200</v>
      </c>
    </row>
    <row r="2078">
      <c r="A2078" s="5" t="inlineStr">
        <is>
          <t>Grupos poderosos</t>
        </is>
      </c>
      <c r="B2078" s="5" t="inlineStr">
        <is>
          <t>Costa Rica</t>
        </is>
      </c>
      <c r="C2078" s="5" t="n">
        <v>2004</v>
      </c>
      <c r="D2078" s="5" t="inlineStr">
        <is>
          <t>Grupos poderosos en su propio beneficio</t>
        </is>
      </c>
      <c r="E2078" s="6" t="n">
        <v>0.677</v>
      </c>
      <c r="F2078" s="7" t="n">
        <v>1000</v>
      </c>
    </row>
    <row r="2079">
      <c r="A2079" s="5" t="inlineStr">
        <is>
          <t>Grupos poderosos</t>
        </is>
      </c>
      <c r="B2079" s="5" t="inlineStr">
        <is>
          <t>Costa Rica</t>
        </is>
      </c>
      <c r="C2079" s="5" t="n">
        <v>2004</v>
      </c>
      <c r="D2079" s="5" t="inlineStr">
        <is>
          <t>Para el bien de todo el pueblo</t>
        </is>
      </c>
      <c r="E2079" s="6" t="n">
        <v>0.263</v>
      </c>
      <c r="F2079" s="7" t="n">
        <v>1000</v>
      </c>
    </row>
    <row r="2080">
      <c r="A2080" s="5" t="inlineStr">
        <is>
          <t>Grupos poderosos</t>
        </is>
      </c>
      <c r="B2080" s="5" t="inlineStr">
        <is>
          <t>Costa Rica</t>
        </is>
      </c>
      <c r="C2080" s="5" t="n">
        <v>2004</v>
      </c>
      <c r="D2080" s="5" t="inlineStr">
        <is>
          <t>No sabe; no responde</t>
        </is>
      </c>
      <c r="E2080" s="6" t="n">
        <v>0.06</v>
      </c>
      <c r="F2080" s="7" t="n">
        <v>1000</v>
      </c>
    </row>
    <row r="2081">
      <c r="A2081" s="5" t="inlineStr">
        <is>
          <t>Grupos poderosos</t>
        </is>
      </c>
      <c r="B2081" s="5" t="inlineStr">
        <is>
          <t>Costa Rica</t>
        </is>
      </c>
      <c r="C2081" s="5" t="n">
        <v>2005</v>
      </c>
      <c r="D2081" s="5" t="inlineStr">
        <is>
          <t>Grupos poderosos en su propio beneficio</t>
        </is>
      </c>
      <c r="E2081" s="6" t="n">
        <v>0.77</v>
      </c>
      <c r="F2081" s="7" t="n">
        <v>1000</v>
      </c>
    </row>
    <row r="2082">
      <c r="A2082" s="5" t="inlineStr">
        <is>
          <t>Grupos poderosos</t>
        </is>
      </c>
      <c r="B2082" s="5" t="inlineStr">
        <is>
          <t>Costa Rica</t>
        </is>
      </c>
      <c r="C2082" s="5" t="n">
        <v>2005</v>
      </c>
      <c r="D2082" s="5" t="inlineStr">
        <is>
          <t>Para el bien de todo el pueblo</t>
        </is>
      </c>
      <c r="E2082" s="6" t="n">
        <v>0.188</v>
      </c>
      <c r="F2082" s="7" t="n">
        <v>1000</v>
      </c>
    </row>
    <row r="2083">
      <c r="A2083" s="5" t="inlineStr">
        <is>
          <t>Grupos poderosos</t>
        </is>
      </c>
      <c r="B2083" s="5" t="inlineStr">
        <is>
          <t>Costa Rica</t>
        </is>
      </c>
      <c r="C2083" s="5" t="n">
        <v>2005</v>
      </c>
      <c r="D2083" s="5" t="inlineStr">
        <is>
          <t>No sabe; no responde</t>
        </is>
      </c>
      <c r="E2083" s="6" t="n">
        <v>0.042</v>
      </c>
      <c r="F2083" s="7" t="n">
        <v>1000</v>
      </c>
    </row>
    <row r="2084">
      <c r="A2084" s="5" t="inlineStr">
        <is>
          <t>Grupos poderosos</t>
        </is>
      </c>
      <c r="B2084" s="5" t="inlineStr">
        <is>
          <t>Costa Rica</t>
        </is>
      </c>
      <c r="C2084" s="5" t="n">
        <v>2006</v>
      </c>
      <c r="D2084" s="5" t="inlineStr">
        <is>
          <t>Grupos poderosos en su propio beneficio</t>
        </is>
      </c>
      <c r="E2084" s="6" t="n">
        <v>0.72</v>
      </c>
      <c r="F2084" s="7" t="n">
        <v>1000</v>
      </c>
    </row>
    <row r="2085">
      <c r="A2085" s="5" t="inlineStr">
        <is>
          <t>Grupos poderosos</t>
        </is>
      </c>
      <c r="B2085" s="5" t="inlineStr">
        <is>
          <t>Costa Rica</t>
        </is>
      </c>
      <c r="C2085" s="5" t="n">
        <v>2006</v>
      </c>
      <c r="D2085" s="5" t="inlineStr">
        <is>
          <t>Para el bien de todo el pueblo</t>
        </is>
      </c>
      <c r="E2085" s="6" t="n">
        <v>0.216</v>
      </c>
      <c r="F2085" s="7" t="n">
        <v>1000</v>
      </c>
    </row>
    <row r="2086">
      <c r="A2086" s="5" t="inlineStr">
        <is>
          <t>Grupos poderosos</t>
        </is>
      </c>
      <c r="B2086" s="5" t="inlineStr">
        <is>
          <t>Costa Rica</t>
        </is>
      </c>
      <c r="C2086" s="5" t="n">
        <v>2006</v>
      </c>
      <c r="D2086" s="5" t="inlineStr">
        <is>
          <t>No sabe; no responde</t>
        </is>
      </c>
      <c r="E2086" s="6" t="n">
        <v>0.064</v>
      </c>
      <c r="F2086" s="7" t="n">
        <v>1000</v>
      </c>
    </row>
    <row r="2087">
      <c r="A2087" s="5" t="inlineStr">
        <is>
          <t>Grupos poderosos</t>
        </is>
      </c>
      <c r="B2087" s="5" t="inlineStr">
        <is>
          <t>Costa Rica</t>
        </is>
      </c>
      <c r="C2087" s="5" t="n">
        <v>2007</v>
      </c>
      <c r="D2087" s="5" t="inlineStr">
        <is>
          <t>Grupos poderosos en su propio beneficio</t>
        </is>
      </c>
      <c r="E2087" s="6" t="n">
        <v>0.6659999999999999</v>
      </c>
      <c r="F2087" s="7" t="n">
        <v>1000</v>
      </c>
    </row>
    <row r="2088">
      <c r="A2088" s="5" t="inlineStr">
        <is>
          <t>Grupos poderosos</t>
        </is>
      </c>
      <c r="B2088" s="5" t="inlineStr">
        <is>
          <t>Costa Rica</t>
        </is>
      </c>
      <c r="C2088" s="5" t="n">
        <v>2007</v>
      </c>
      <c r="D2088" s="5" t="inlineStr">
        <is>
          <t>Para el bien de todo el pueblo</t>
        </is>
      </c>
      <c r="E2088" s="6" t="n">
        <v>0.277</v>
      </c>
      <c r="F2088" s="7" t="n">
        <v>1000</v>
      </c>
    </row>
    <row r="2089">
      <c r="A2089" s="5" t="inlineStr">
        <is>
          <t>Grupos poderosos</t>
        </is>
      </c>
      <c r="B2089" s="5" t="inlineStr">
        <is>
          <t>Costa Rica</t>
        </is>
      </c>
      <c r="C2089" s="5" t="n">
        <v>2007</v>
      </c>
      <c r="D2089" s="5" t="inlineStr">
        <is>
          <t>No sabe; no responde</t>
        </is>
      </c>
      <c r="E2089" s="6" t="n">
        <v>0.057</v>
      </c>
      <c r="F2089" s="7" t="n">
        <v>1000</v>
      </c>
    </row>
    <row r="2090">
      <c r="A2090" s="5" t="inlineStr">
        <is>
          <t>Grupos poderosos</t>
        </is>
      </c>
      <c r="B2090" s="5" t="inlineStr">
        <is>
          <t>Costa Rica</t>
        </is>
      </c>
      <c r="C2090" s="5" t="n">
        <v>2008</v>
      </c>
      <c r="D2090" s="5" t="inlineStr">
        <is>
          <t>Grupos poderosos en su propio beneficio</t>
        </is>
      </c>
      <c r="E2090" s="6" t="n">
        <v>0.7929999999999999</v>
      </c>
      <c r="F2090" s="7" t="n">
        <v>1000</v>
      </c>
    </row>
    <row r="2091">
      <c r="A2091" s="5" t="inlineStr">
        <is>
          <t>Grupos poderosos</t>
        </is>
      </c>
      <c r="B2091" s="5" t="inlineStr">
        <is>
          <t>Costa Rica</t>
        </is>
      </c>
      <c r="C2091" s="5" t="n">
        <v>2008</v>
      </c>
      <c r="D2091" s="5" t="inlineStr">
        <is>
          <t>Para el bien de todo el pueblo</t>
        </is>
      </c>
      <c r="E2091" s="6" t="n">
        <v>0.18</v>
      </c>
      <c r="F2091" s="7" t="n">
        <v>1000</v>
      </c>
    </row>
    <row r="2092">
      <c r="A2092" s="5" t="inlineStr">
        <is>
          <t>Grupos poderosos</t>
        </is>
      </c>
      <c r="B2092" s="5" t="inlineStr">
        <is>
          <t>Costa Rica</t>
        </is>
      </c>
      <c r="C2092" s="5" t="n">
        <v>2008</v>
      </c>
      <c r="D2092" s="5" t="inlineStr">
        <is>
          <t>No sabe; no responde</t>
        </is>
      </c>
      <c r="E2092" s="6" t="n">
        <v>0.027</v>
      </c>
      <c r="F2092" s="7" t="n">
        <v>1000</v>
      </c>
    </row>
    <row r="2093">
      <c r="A2093" s="5" t="inlineStr">
        <is>
          <t>Grupos poderosos</t>
        </is>
      </c>
      <c r="B2093" s="5" t="inlineStr">
        <is>
          <t>Costa Rica</t>
        </is>
      </c>
      <c r="C2093" s="5" t="n">
        <v>2009</v>
      </c>
      <c r="D2093" s="5" t="inlineStr">
        <is>
          <t>Grupos poderosos en su propio beneficio</t>
        </is>
      </c>
      <c r="E2093" s="6" t="n">
        <v>0.573</v>
      </c>
      <c r="F2093" s="7" t="n">
        <v>1000</v>
      </c>
    </row>
    <row r="2094">
      <c r="A2094" s="5" t="inlineStr">
        <is>
          <t>Grupos poderosos</t>
        </is>
      </c>
      <c r="B2094" s="5" t="inlineStr">
        <is>
          <t>Costa Rica</t>
        </is>
      </c>
      <c r="C2094" s="5" t="n">
        <v>2009</v>
      </c>
      <c r="D2094" s="5" t="inlineStr">
        <is>
          <t>Para el bien de todo el pueblo</t>
        </is>
      </c>
      <c r="E2094" s="6" t="n">
        <v>0.361</v>
      </c>
      <c r="F2094" s="7" t="n">
        <v>1000</v>
      </c>
    </row>
    <row r="2095">
      <c r="A2095" s="5" t="inlineStr">
        <is>
          <t>Grupos poderosos</t>
        </is>
      </c>
      <c r="B2095" s="5" t="inlineStr">
        <is>
          <t>Costa Rica</t>
        </is>
      </c>
      <c r="C2095" s="5" t="n">
        <v>2009</v>
      </c>
      <c r="D2095" s="5" t="inlineStr">
        <is>
          <t>No sabe; no responde</t>
        </is>
      </c>
      <c r="E2095" s="6" t="n">
        <v>0.066</v>
      </c>
      <c r="F2095" s="7" t="n">
        <v>1000</v>
      </c>
    </row>
    <row r="2096">
      <c r="A2096" s="5" t="inlineStr">
        <is>
          <t>Grupos poderosos</t>
        </is>
      </c>
      <c r="B2096" s="5" t="inlineStr">
        <is>
          <t>Costa Rica</t>
        </is>
      </c>
      <c r="C2096" s="5" t="n">
        <v>2010</v>
      </c>
      <c r="D2096" s="5" t="inlineStr">
        <is>
          <t>Grupos poderosos en su propio beneficio</t>
        </is>
      </c>
      <c r="E2096" s="6" t="n">
        <v>0.634</v>
      </c>
      <c r="F2096" s="7" t="n">
        <v>1000</v>
      </c>
    </row>
    <row r="2097">
      <c r="A2097" s="5" t="inlineStr">
        <is>
          <t>Grupos poderosos</t>
        </is>
      </c>
      <c r="B2097" s="5" t="inlineStr">
        <is>
          <t>Costa Rica</t>
        </is>
      </c>
      <c r="C2097" s="5" t="n">
        <v>2010</v>
      </c>
      <c r="D2097" s="5" t="inlineStr">
        <is>
          <t>Para el bien de todo el pueblo</t>
        </is>
      </c>
      <c r="E2097" s="6" t="n">
        <v>0.318</v>
      </c>
      <c r="F2097" s="7" t="n">
        <v>1000</v>
      </c>
    </row>
    <row r="2098">
      <c r="A2098" s="5" t="inlineStr">
        <is>
          <t>Grupos poderosos</t>
        </is>
      </c>
      <c r="B2098" s="5" t="inlineStr">
        <is>
          <t>Costa Rica</t>
        </is>
      </c>
      <c r="C2098" s="5" t="n">
        <v>2010</v>
      </c>
      <c r="D2098" s="5" t="inlineStr">
        <is>
          <t>No sabe; no responde</t>
        </is>
      </c>
      <c r="E2098" s="6" t="n">
        <v>0.048</v>
      </c>
      <c r="F2098" s="7" t="n">
        <v>1000</v>
      </c>
    </row>
    <row r="2099">
      <c r="A2099" s="5" t="inlineStr">
        <is>
          <t>Grupos poderosos</t>
        </is>
      </c>
      <c r="B2099" s="5" t="inlineStr">
        <is>
          <t>Costa Rica</t>
        </is>
      </c>
      <c r="C2099" s="5" t="n">
        <v>2011</v>
      </c>
      <c r="D2099" s="5" t="inlineStr">
        <is>
          <t>Grupos poderosos en su propio beneficio</t>
        </is>
      </c>
      <c r="E2099" s="6" t="n">
        <v>0.7609999999999999</v>
      </c>
      <c r="F2099" s="7" t="n">
        <v>1000</v>
      </c>
    </row>
    <row r="2100">
      <c r="A2100" s="5" t="inlineStr">
        <is>
          <t>Grupos poderosos</t>
        </is>
      </c>
      <c r="B2100" s="5" t="inlineStr">
        <is>
          <t>Costa Rica</t>
        </is>
      </c>
      <c r="C2100" s="5" t="n">
        <v>2011</v>
      </c>
      <c r="D2100" s="5" t="inlineStr">
        <is>
          <t>Para el bien de todo el pueblo</t>
        </is>
      </c>
      <c r="E2100" s="6" t="n">
        <v>0.194</v>
      </c>
      <c r="F2100" s="7" t="n">
        <v>1000</v>
      </c>
    </row>
    <row r="2101">
      <c r="A2101" s="5" t="inlineStr">
        <is>
          <t>Grupos poderosos</t>
        </is>
      </c>
      <c r="B2101" s="5" t="inlineStr">
        <is>
          <t>Costa Rica</t>
        </is>
      </c>
      <c r="C2101" s="5" t="n">
        <v>2011</v>
      </c>
      <c r="D2101" s="5" t="inlineStr">
        <is>
          <t>No sabe; no responde</t>
        </is>
      </c>
      <c r="E2101" s="6" t="n">
        <v>0.045</v>
      </c>
      <c r="F2101" s="7" t="n">
        <v>1000</v>
      </c>
    </row>
    <row r="2102">
      <c r="A2102" s="5" t="inlineStr">
        <is>
          <t>Grupos poderosos</t>
        </is>
      </c>
      <c r="B2102" s="5" t="inlineStr">
        <is>
          <t>Costa Rica</t>
        </is>
      </c>
      <c r="C2102" s="5" t="n">
        <v>2016</v>
      </c>
      <c r="D2102" s="5" t="inlineStr">
        <is>
          <t>Grupos poderosos en su propio beneficio</t>
        </is>
      </c>
      <c r="E2102" s="6" t="n">
        <v>0.862</v>
      </c>
      <c r="F2102" s="7" t="n">
        <v>1000</v>
      </c>
    </row>
    <row r="2103">
      <c r="A2103" s="5" t="inlineStr">
        <is>
          <t>Grupos poderosos</t>
        </is>
      </c>
      <c r="B2103" s="5" t="inlineStr">
        <is>
          <t>Costa Rica</t>
        </is>
      </c>
      <c r="C2103" s="5" t="n">
        <v>2016</v>
      </c>
      <c r="D2103" s="5" t="inlineStr">
        <is>
          <t>Para el bien de todo el pueblo</t>
        </is>
      </c>
      <c r="E2103" s="6" t="n">
        <v>0.106</v>
      </c>
      <c r="F2103" s="7" t="n">
        <v>1000</v>
      </c>
    </row>
    <row r="2104">
      <c r="A2104" s="5" t="inlineStr">
        <is>
          <t>Grupos poderosos</t>
        </is>
      </c>
      <c r="B2104" s="5" t="inlineStr">
        <is>
          <t>Costa Rica</t>
        </is>
      </c>
      <c r="C2104" s="5" t="n">
        <v>2016</v>
      </c>
      <c r="D2104" s="5" t="inlineStr">
        <is>
          <t>No sabe; no responde</t>
        </is>
      </c>
      <c r="E2104" s="6" t="n">
        <v>0.032</v>
      </c>
      <c r="F2104" s="7" t="n">
        <v>1000</v>
      </c>
    </row>
    <row r="2105">
      <c r="A2105" s="5" t="inlineStr">
        <is>
          <t>Grupos poderosos</t>
        </is>
      </c>
      <c r="B2105" s="5" t="inlineStr">
        <is>
          <t>Costa Rica</t>
        </is>
      </c>
      <c r="C2105" s="5" t="n">
        <v>2017</v>
      </c>
      <c r="D2105" s="5" t="inlineStr">
        <is>
          <t>Grupos poderosos en su propio beneficio</t>
        </is>
      </c>
      <c r="E2105" s="6" t="n">
        <v>0.7929999999999999</v>
      </c>
      <c r="F2105" s="7" t="n">
        <v>1000</v>
      </c>
    </row>
    <row r="2106">
      <c r="A2106" s="5" t="inlineStr">
        <is>
          <t>Grupos poderosos</t>
        </is>
      </c>
      <c r="B2106" s="5" t="inlineStr">
        <is>
          <t>Costa Rica</t>
        </is>
      </c>
      <c r="C2106" s="5" t="n">
        <v>2017</v>
      </c>
      <c r="D2106" s="5" t="inlineStr">
        <is>
          <t>Para el bien de todo el pueblo</t>
        </is>
      </c>
      <c r="E2106" s="6" t="n">
        <v>0.158</v>
      </c>
      <c r="F2106" s="7" t="n">
        <v>1000</v>
      </c>
    </row>
    <row r="2107">
      <c r="A2107" s="5" t="inlineStr">
        <is>
          <t>Grupos poderosos</t>
        </is>
      </c>
      <c r="B2107" s="5" t="inlineStr">
        <is>
          <t>Costa Rica</t>
        </is>
      </c>
      <c r="C2107" s="5" t="n">
        <v>2017</v>
      </c>
      <c r="D2107" s="5" t="inlineStr">
        <is>
          <t>No sabe; no responde</t>
        </is>
      </c>
      <c r="E2107" s="6" t="n">
        <v>0.049</v>
      </c>
      <c r="F2107" s="7" t="n">
        <v>1000</v>
      </c>
    </row>
    <row r="2108">
      <c r="A2108" s="5" t="inlineStr">
        <is>
          <t>Grupos poderosos</t>
        </is>
      </c>
      <c r="B2108" s="5" t="inlineStr">
        <is>
          <t>Costa Rica</t>
        </is>
      </c>
      <c r="C2108" s="5" t="n">
        <v>2018</v>
      </c>
      <c r="D2108" s="5" t="inlineStr">
        <is>
          <t>Grupos poderosos en su propio beneficio</t>
        </is>
      </c>
      <c r="E2108" s="6" t="n">
        <v>0.753</v>
      </c>
      <c r="F2108" s="7" t="n">
        <v>1000</v>
      </c>
    </row>
    <row r="2109">
      <c r="A2109" s="5" t="inlineStr">
        <is>
          <t>Grupos poderosos</t>
        </is>
      </c>
      <c r="B2109" s="5" t="inlineStr">
        <is>
          <t>Costa Rica</t>
        </is>
      </c>
      <c r="C2109" s="5" t="n">
        <v>2018</v>
      </c>
      <c r="D2109" s="5" t="inlineStr">
        <is>
          <t>Para el bien de todo el pueblo</t>
        </is>
      </c>
      <c r="E2109" s="6" t="n">
        <v>0.208</v>
      </c>
      <c r="F2109" s="7" t="n">
        <v>1000</v>
      </c>
    </row>
    <row r="2110">
      <c r="A2110" s="5" t="inlineStr">
        <is>
          <t>Grupos poderosos</t>
        </is>
      </c>
      <c r="B2110" s="5" t="inlineStr">
        <is>
          <t>Costa Rica</t>
        </is>
      </c>
      <c r="C2110" s="5" t="n">
        <v>2018</v>
      </c>
      <c r="D2110" s="5" t="inlineStr">
        <is>
          <t>No sabe; no responde</t>
        </is>
      </c>
      <c r="E2110" s="6" t="n">
        <v>0.039</v>
      </c>
      <c r="F2110" s="7" t="n">
        <v>1000</v>
      </c>
    </row>
    <row r="2111">
      <c r="A2111" s="5" t="inlineStr">
        <is>
          <t>Grupos poderosos</t>
        </is>
      </c>
      <c r="B2111" s="5" t="inlineStr">
        <is>
          <t>Costa Rica</t>
        </is>
      </c>
      <c r="C2111" s="5" t="n">
        <v>2020</v>
      </c>
      <c r="D2111" s="5" t="inlineStr">
        <is>
          <t>Grupos poderosos en su propio beneficio</t>
        </is>
      </c>
      <c r="E2111" s="6" t="n">
        <v>0.885</v>
      </c>
      <c r="F2111" s="7" t="n">
        <v>1000</v>
      </c>
    </row>
    <row r="2112">
      <c r="A2112" s="5" t="inlineStr">
        <is>
          <t>Grupos poderosos</t>
        </is>
      </c>
      <c r="B2112" s="5" t="inlineStr">
        <is>
          <t>Costa Rica</t>
        </is>
      </c>
      <c r="C2112" s="5" t="n">
        <v>2020</v>
      </c>
      <c r="D2112" s="5" t="inlineStr">
        <is>
          <t>Para el bien de todo el pueblo</t>
        </is>
      </c>
      <c r="E2112" s="6" t="n">
        <v>0.08599999999999999</v>
      </c>
      <c r="F2112" s="7" t="n">
        <v>1000</v>
      </c>
    </row>
    <row r="2113">
      <c r="A2113" s="5" t="inlineStr">
        <is>
          <t>Grupos poderosos</t>
        </is>
      </c>
      <c r="B2113" s="5" t="inlineStr">
        <is>
          <t>Costa Rica</t>
        </is>
      </c>
      <c r="C2113" s="5" t="n">
        <v>2020</v>
      </c>
      <c r="D2113" s="5" t="inlineStr">
        <is>
          <t>No sabe; no responde</t>
        </is>
      </c>
      <c r="E2113" s="6" t="n">
        <v>0.029</v>
      </c>
      <c r="F2113" s="7" t="n">
        <v>1000</v>
      </c>
    </row>
    <row r="2114">
      <c r="A2114" s="5" t="inlineStr">
        <is>
          <t>Grupos poderosos</t>
        </is>
      </c>
      <c r="B2114" s="5" t="inlineStr">
        <is>
          <t>Costa Rica</t>
        </is>
      </c>
      <c r="C2114" s="5" t="n">
        <v>2024</v>
      </c>
      <c r="D2114" s="5" t="inlineStr">
        <is>
          <t>Grupos poderosos en su propio beneficio</t>
        </is>
      </c>
      <c r="E2114" s="6" t="n">
        <v>0.764</v>
      </c>
      <c r="F2114" s="7" t="n">
        <v>1000</v>
      </c>
    </row>
    <row r="2115">
      <c r="A2115" s="5" t="inlineStr">
        <is>
          <t>Grupos poderosos</t>
        </is>
      </c>
      <c r="B2115" s="5" t="inlineStr">
        <is>
          <t>Costa Rica</t>
        </is>
      </c>
      <c r="C2115" s="5" t="n">
        <v>2024</v>
      </c>
      <c r="D2115" s="5" t="inlineStr">
        <is>
          <t>Para el bien de todo el pueblo</t>
        </is>
      </c>
      <c r="E2115" s="6" t="n">
        <v>0.217</v>
      </c>
      <c r="F2115" s="7" t="n">
        <v>1000</v>
      </c>
    </row>
    <row r="2116">
      <c r="A2116" s="5" t="inlineStr">
        <is>
          <t>Grupos poderosos</t>
        </is>
      </c>
      <c r="B2116" s="5" t="inlineStr">
        <is>
          <t>Costa Rica</t>
        </is>
      </c>
      <c r="C2116" s="5" t="n">
        <v>2024</v>
      </c>
      <c r="D2116" s="5" t="inlineStr">
        <is>
          <t>No sabe; no responde</t>
        </is>
      </c>
      <c r="E2116" s="6" t="n">
        <v>0.019</v>
      </c>
      <c r="F2116" s="7" t="n">
        <v>1000</v>
      </c>
    </row>
    <row r="2117">
      <c r="A2117" s="5" t="inlineStr">
        <is>
          <t>Grupos poderosos</t>
        </is>
      </c>
      <c r="B2117" s="5" t="inlineStr">
        <is>
          <t>Rep. Dominicana</t>
        </is>
      </c>
      <c r="C2117" s="5" t="n">
        <v>2004</v>
      </c>
      <c r="D2117" s="5" t="inlineStr">
        <is>
          <t>Grupos poderosos en su propio beneficio</t>
        </is>
      </c>
      <c r="E2117" s="6" t="n">
        <v>0.8170000000000001</v>
      </c>
      <c r="F2117" s="7" t="n">
        <v>1000</v>
      </c>
    </row>
    <row r="2118">
      <c r="A2118" s="5" t="inlineStr">
        <is>
          <t>Grupos poderosos</t>
        </is>
      </c>
      <c r="B2118" s="5" t="inlineStr">
        <is>
          <t>Rep. Dominicana</t>
        </is>
      </c>
      <c r="C2118" s="5" t="n">
        <v>2004</v>
      </c>
      <c r="D2118" s="5" t="inlineStr">
        <is>
          <t>Para el bien de todo el pueblo</t>
        </is>
      </c>
      <c r="E2118" s="6" t="n">
        <v>0.152</v>
      </c>
      <c r="F2118" s="7" t="n">
        <v>1000</v>
      </c>
    </row>
    <row r="2119">
      <c r="A2119" s="5" t="inlineStr">
        <is>
          <t>Grupos poderosos</t>
        </is>
      </c>
      <c r="B2119" s="5" t="inlineStr">
        <is>
          <t>Rep. Dominicana</t>
        </is>
      </c>
      <c r="C2119" s="5" t="n">
        <v>2004</v>
      </c>
      <c r="D2119" s="5" t="inlineStr">
        <is>
          <t>No sabe; no responde</t>
        </is>
      </c>
      <c r="E2119" s="6" t="n">
        <v>0.031</v>
      </c>
      <c r="F2119" s="7" t="n">
        <v>1000</v>
      </c>
    </row>
    <row r="2120">
      <c r="A2120" s="5" t="inlineStr">
        <is>
          <t>Grupos poderosos</t>
        </is>
      </c>
      <c r="B2120" s="5" t="inlineStr">
        <is>
          <t>Rep. Dominicana</t>
        </is>
      </c>
      <c r="C2120" s="5" t="n">
        <v>2005</v>
      </c>
      <c r="D2120" s="5" t="inlineStr">
        <is>
          <t>Grupos poderosos en su propio beneficio</t>
        </is>
      </c>
      <c r="E2120" s="6" t="n">
        <v>0.672</v>
      </c>
      <c r="F2120" s="7" t="n">
        <v>1000</v>
      </c>
    </row>
    <row r="2121">
      <c r="A2121" s="5" t="inlineStr">
        <is>
          <t>Grupos poderosos</t>
        </is>
      </c>
      <c r="B2121" s="5" t="inlineStr">
        <is>
          <t>Rep. Dominicana</t>
        </is>
      </c>
      <c r="C2121" s="5" t="n">
        <v>2005</v>
      </c>
      <c r="D2121" s="5" t="inlineStr">
        <is>
          <t>Para el bien de todo el pueblo</t>
        </is>
      </c>
      <c r="E2121" s="6" t="n">
        <v>0.294</v>
      </c>
      <c r="F2121" s="7" t="n">
        <v>1000</v>
      </c>
    </row>
    <row r="2122">
      <c r="A2122" s="5" t="inlineStr">
        <is>
          <t>Grupos poderosos</t>
        </is>
      </c>
      <c r="B2122" s="5" t="inlineStr">
        <is>
          <t>Rep. Dominicana</t>
        </is>
      </c>
      <c r="C2122" s="5" t="n">
        <v>2005</v>
      </c>
      <c r="D2122" s="5" t="inlineStr">
        <is>
          <t>No sabe; no responde</t>
        </is>
      </c>
      <c r="E2122" s="6" t="n">
        <v>0.034</v>
      </c>
      <c r="F2122" s="7" t="n">
        <v>1000</v>
      </c>
    </row>
    <row r="2123">
      <c r="A2123" s="5" t="inlineStr">
        <is>
          <t>Grupos poderosos</t>
        </is>
      </c>
      <c r="B2123" s="5" t="inlineStr">
        <is>
          <t>Rep. Dominicana</t>
        </is>
      </c>
      <c r="C2123" s="5" t="n">
        <v>2006</v>
      </c>
      <c r="D2123" s="5" t="inlineStr">
        <is>
          <t>Grupos poderosos en su propio beneficio</t>
        </is>
      </c>
      <c r="E2123" s="6" t="n">
        <v>0.725</v>
      </c>
      <c r="F2123" s="7" t="n">
        <v>1000</v>
      </c>
    </row>
    <row r="2124">
      <c r="A2124" s="5" t="inlineStr">
        <is>
          <t>Grupos poderosos</t>
        </is>
      </c>
      <c r="B2124" s="5" t="inlineStr">
        <is>
          <t>Rep. Dominicana</t>
        </is>
      </c>
      <c r="C2124" s="5" t="n">
        <v>2006</v>
      </c>
      <c r="D2124" s="5" t="inlineStr">
        <is>
          <t>Para el bien de todo el pueblo</t>
        </is>
      </c>
      <c r="E2124" s="6" t="n">
        <v>0.247</v>
      </c>
      <c r="F2124" s="7" t="n">
        <v>1000</v>
      </c>
    </row>
    <row r="2125">
      <c r="A2125" s="5" t="inlineStr">
        <is>
          <t>Grupos poderosos</t>
        </is>
      </c>
      <c r="B2125" s="5" t="inlineStr">
        <is>
          <t>Rep. Dominicana</t>
        </is>
      </c>
      <c r="C2125" s="5" t="n">
        <v>2006</v>
      </c>
      <c r="D2125" s="5" t="inlineStr">
        <is>
          <t>No sabe; no responde</t>
        </is>
      </c>
      <c r="E2125" s="6" t="n">
        <v>0.028</v>
      </c>
      <c r="F2125" s="7" t="n">
        <v>1000</v>
      </c>
    </row>
    <row r="2126">
      <c r="A2126" s="5" t="inlineStr">
        <is>
          <t>Grupos poderosos</t>
        </is>
      </c>
      <c r="B2126" s="5" t="inlineStr">
        <is>
          <t>Rep. Dominicana</t>
        </is>
      </c>
      <c r="C2126" s="5" t="n">
        <v>2007</v>
      </c>
      <c r="D2126" s="5" t="inlineStr">
        <is>
          <t>Grupos poderosos en su propio beneficio</t>
        </is>
      </c>
      <c r="E2126" s="6" t="n">
        <v>0.825</v>
      </c>
      <c r="F2126" s="7" t="n">
        <v>1000</v>
      </c>
    </row>
    <row r="2127">
      <c r="A2127" s="5" t="inlineStr">
        <is>
          <t>Grupos poderosos</t>
        </is>
      </c>
      <c r="B2127" s="5" t="inlineStr">
        <is>
          <t>Rep. Dominicana</t>
        </is>
      </c>
      <c r="C2127" s="5" t="n">
        <v>2007</v>
      </c>
      <c r="D2127" s="5" t="inlineStr">
        <is>
          <t>Para el bien de todo el pueblo</t>
        </is>
      </c>
      <c r="E2127" s="6" t="n">
        <v>0.128</v>
      </c>
      <c r="F2127" s="7" t="n">
        <v>1000</v>
      </c>
    </row>
    <row r="2128">
      <c r="A2128" s="5" t="inlineStr">
        <is>
          <t>Grupos poderosos</t>
        </is>
      </c>
      <c r="B2128" s="5" t="inlineStr">
        <is>
          <t>Rep. Dominicana</t>
        </is>
      </c>
      <c r="C2128" s="5" t="n">
        <v>2007</v>
      </c>
      <c r="D2128" s="5" t="inlineStr">
        <is>
          <t>No sabe; no responde</t>
        </is>
      </c>
      <c r="E2128" s="6" t="n">
        <v>0.047</v>
      </c>
      <c r="F2128" s="7" t="n">
        <v>1000</v>
      </c>
    </row>
    <row r="2129">
      <c r="A2129" s="5" t="inlineStr">
        <is>
          <t>Grupos poderosos</t>
        </is>
      </c>
      <c r="B2129" s="5" t="inlineStr">
        <is>
          <t>Rep. Dominicana</t>
        </is>
      </c>
      <c r="C2129" s="5" t="n">
        <v>2008</v>
      </c>
      <c r="D2129" s="5" t="inlineStr">
        <is>
          <t>Grupos poderosos en su propio beneficio</t>
        </is>
      </c>
      <c r="E2129" s="6" t="n">
        <v>0.894</v>
      </c>
      <c r="F2129" s="7" t="n">
        <v>1000</v>
      </c>
    </row>
    <row r="2130">
      <c r="A2130" s="5" t="inlineStr">
        <is>
          <t>Grupos poderosos</t>
        </is>
      </c>
      <c r="B2130" s="5" t="inlineStr">
        <is>
          <t>Rep. Dominicana</t>
        </is>
      </c>
      <c r="C2130" s="5" t="n">
        <v>2008</v>
      </c>
      <c r="D2130" s="5" t="inlineStr">
        <is>
          <t>Para el bien de todo el pueblo</t>
        </is>
      </c>
      <c r="E2130" s="6" t="n">
        <v>0.099</v>
      </c>
      <c r="F2130" s="7" t="n">
        <v>1000</v>
      </c>
    </row>
    <row r="2131">
      <c r="A2131" s="5" t="inlineStr">
        <is>
          <t>Grupos poderosos</t>
        </is>
      </c>
      <c r="B2131" s="5" t="inlineStr">
        <is>
          <t>Rep. Dominicana</t>
        </is>
      </c>
      <c r="C2131" s="5" t="n">
        <v>2008</v>
      </c>
      <c r="D2131" s="5" t="inlineStr">
        <is>
          <t>No sabe; no responde</t>
        </is>
      </c>
      <c r="E2131" s="6" t="n">
        <v>0.006999999999999999</v>
      </c>
      <c r="F2131" s="7" t="n">
        <v>1000</v>
      </c>
    </row>
    <row r="2132">
      <c r="A2132" s="5" t="inlineStr">
        <is>
          <t>Grupos poderosos</t>
        </is>
      </c>
      <c r="B2132" s="5" t="inlineStr">
        <is>
          <t>Rep. Dominicana</t>
        </is>
      </c>
      <c r="C2132" s="5" t="n">
        <v>2009</v>
      </c>
      <c r="D2132" s="5" t="inlineStr">
        <is>
          <t>Grupos poderosos en su propio beneficio</t>
        </is>
      </c>
      <c r="E2132" s="6" t="n">
        <v>0.883</v>
      </c>
      <c r="F2132" s="7" t="n">
        <v>1000</v>
      </c>
    </row>
    <row r="2133">
      <c r="A2133" s="5" t="inlineStr">
        <is>
          <t>Grupos poderosos</t>
        </is>
      </c>
      <c r="B2133" s="5" t="inlineStr">
        <is>
          <t>Rep. Dominicana</t>
        </is>
      </c>
      <c r="C2133" s="5" t="n">
        <v>2009</v>
      </c>
      <c r="D2133" s="5" t="inlineStr">
        <is>
          <t>Para el bien de todo el pueblo</t>
        </is>
      </c>
      <c r="E2133" s="6" t="n">
        <v>0.1</v>
      </c>
      <c r="F2133" s="7" t="n">
        <v>1000</v>
      </c>
    </row>
    <row r="2134">
      <c r="A2134" s="5" t="inlineStr">
        <is>
          <t>Grupos poderosos</t>
        </is>
      </c>
      <c r="B2134" s="5" t="inlineStr">
        <is>
          <t>Rep. Dominicana</t>
        </is>
      </c>
      <c r="C2134" s="5" t="n">
        <v>2009</v>
      </c>
      <c r="D2134" s="5" t="inlineStr">
        <is>
          <t>No sabe; no responde</t>
        </is>
      </c>
      <c r="E2134" s="6" t="n">
        <v>0.017</v>
      </c>
      <c r="F2134" s="7" t="n">
        <v>1000</v>
      </c>
    </row>
    <row r="2135">
      <c r="A2135" s="5" t="inlineStr">
        <is>
          <t>Grupos poderosos</t>
        </is>
      </c>
      <c r="B2135" s="5" t="inlineStr">
        <is>
          <t>Rep. Dominicana</t>
        </is>
      </c>
      <c r="C2135" s="5" t="n">
        <v>2010</v>
      </c>
      <c r="D2135" s="5" t="inlineStr">
        <is>
          <t>Grupos poderosos en su propio beneficio</t>
        </is>
      </c>
      <c r="E2135" s="6" t="n">
        <v>0.836</v>
      </c>
      <c r="F2135" s="7" t="n">
        <v>1000</v>
      </c>
    </row>
    <row r="2136">
      <c r="A2136" s="5" t="inlineStr">
        <is>
          <t>Grupos poderosos</t>
        </is>
      </c>
      <c r="B2136" s="5" t="inlineStr">
        <is>
          <t>Rep. Dominicana</t>
        </is>
      </c>
      <c r="C2136" s="5" t="n">
        <v>2010</v>
      </c>
      <c r="D2136" s="5" t="inlineStr">
        <is>
          <t>Para el bien de todo el pueblo</t>
        </is>
      </c>
      <c r="E2136" s="6" t="n">
        <v>0.151</v>
      </c>
      <c r="F2136" s="7" t="n">
        <v>1000</v>
      </c>
    </row>
    <row r="2137">
      <c r="A2137" s="5" t="inlineStr">
        <is>
          <t>Grupos poderosos</t>
        </is>
      </c>
      <c r="B2137" s="5" t="inlineStr">
        <is>
          <t>Rep. Dominicana</t>
        </is>
      </c>
      <c r="C2137" s="5" t="n">
        <v>2010</v>
      </c>
      <c r="D2137" s="5" t="inlineStr">
        <is>
          <t>No sabe; no responde</t>
        </is>
      </c>
      <c r="E2137" s="6" t="n">
        <v>0.014</v>
      </c>
      <c r="F2137" s="7" t="n">
        <v>1000</v>
      </c>
    </row>
    <row r="2138">
      <c r="A2138" s="5" t="inlineStr">
        <is>
          <t>Grupos poderosos</t>
        </is>
      </c>
      <c r="B2138" s="5" t="inlineStr">
        <is>
          <t>Rep. Dominicana</t>
        </is>
      </c>
      <c r="C2138" s="5" t="n">
        <v>2011</v>
      </c>
      <c r="D2138" s="5" t="inlineStr">
        <is>
          <t>Grupos poderosos en su propio beneficio</t>
        </is>
      </c>
      <c r="E2138" s="6" t="n">
        <v>0.902</v>
      </c>
      <c r="F2138" s="7" t="n">
        <v>1000</v>
      </c>
    </row>
    <row r="2139">
      <c r="A2139" s="5" t="inlineStr">
        <is>
          <t>Grupos poderosos</t>
        </is>
      </c>
      <c r="B2139" s="5" t="inlineStr">
        <is>
          <t>Rep. Dominicana</t>
        </is>
      </c>
      <c r="C2139" s="5" t="n">
        <v>2011</v>
      </c>
      <c r="D2139" s="5" t="inlineStr">
        <is>
          <t>Para el bien de todo el pueblo</t>
        </is>
      </c>
      <c r="E2139" s="6" t="n">
        <v>0.08800000000000001</v>
      </c>
      <c r="F2139" s="7" t="n">
        <v>1000</v>
      </c>
    </row>
    <row r="2140">
      <c r="A2140" s="5" t="inlineStr">
        <is>
          <t>Grupos poderosos</t>
        </is>
      </c>
      <c r="B2140" s="5" t="inlineStr">
        <is>
          <t>Rep. Dominicana</t>
        </is>
      </c>
      <c r="C2140" s="5" t="n">
        <v>2011</v>
      </c>
      <c r="D2140" s="5" t="inlineStr">
        <is>
          <t>No sabe; no responde</t>
        </is>
      </c>
      <c r="E2140" s="6" t="n">
        <v>0.01</v>
      </c>
      <c r="F2140" s="7" t="n">
        <v>1000</v>
      </c>
    </row>
    <row r="2141">
      <c r="A2141" s="5" t="inlineStr">
        <is>
          <t>Grupos poderosos</t>
        </is>
      </c>
      <c r="B2141" s="5" t="inlineStr">
        <is>
          <t>Rep. Dominicana</t>
        </is>
      </c>
      <c r="C2141" s="5" t="n">
        <v>2016</v>
      </c>
      <c r="D2141" s="5" t="inlineStr">
        <is>
          <t>Grupos poderosos en su propio beneficio</t>
        </is>
      </c>
      <c r="E2141" s="6" t="n">
        <v>0.772</v>
      </c>
      <c r="F2141" s="7" t="n">
        <v>1000</v>
      </c>
    </row>
    <row r="2142">
      <c r="A2142" s="5" t="inlineStr">
        <is>
          <t>Grupos poderosos</t>
        </is>
      </c>
      <c r="B2142" s="5" t="inlineStr">
        <is>
          <t>Rep. Dominicana</t>
        </is>
      </c>
      <c r="C2142" s="5" t="n">
        <v>2016</v>
      </c>
      <c r="D2142" s="5" t="inlineStr">
        <is>
          <t>Para el bien de todo el pueblo</t>
        </is>
      </c>
      <c r="E2142" s="6" t="n">
        <v>0.211</v>
      </c>
      <c r="F2142" s="7" t="n">
        <v>1000</v>
      </c>
    </row>
    <row r="2143">
      <c r="A2143" s="5" t="inlineStr">
        <is>
          <t>Grupos poderosos</t>
        </is>
      </c>
      <c r="B2143" s="5" t="inlineStr">
        <is>
          <t>Rep. Dominicana</t>
        </is>
      </c>
      <c r="C2143" s="5" t="n">
        <v>2016</v>
      </c>
      <c r="D2143" s="5" t="inlineStr">
        <is>
          <t>No sabe; no responde</t>
        </is>
      </c>
      <c r="E2143" s="6" t="n">
        <v>0.017</v>
      </c>
      <c r="F2143" s="7" t="n">
        <v>1000</v>
      </c>
    </row>
    <row r="2144">
      <c r="A2144" s="5" t="inlineStr">
        <is>
          <t>Grupos poderosos</t>
        </is>
      </c>
      <c r="B2144" s="5" t="inlineStr">
        <is>
          <t>Rep. Dominicana</t>
        </is>
      </c>
      <c r="C2144" s="5" t="n">
        <v>2017</v>
      </c>
      <c r="D2144" s="5" t="inlineStr">
        <is>
          <t>Grupos poderosos en su propio beneficio</t>
        </is>
      </c>
      <c r="E2144" s="6" t="n">
        <v>0.866</v>
      </c>
      <c r="F2144" s="7" t="n">
        <v>1000</v>
      </c>
    </row>
    <row r="2145">
      <c r="A2145" s="5" t="inlineStr">
        <is>
          <t>Grupos poderosos</t>
        </is>
      </c>
      <c r="B2145" s="5" t="inlineStr">
        <is>
          <t>Rep. Dominicana</t>
        </is>
      </c>
      <c r="C2145" s="5" t="n">
        <v>2017</v>
      </c>
      <c r="D2145" s="5" t="inlineStr">
        <is>
          <t>Para el bien de todo el pueblo</t>
        </is>
      </c>
      <c r="E2145" s="6" t="n">
        <v>0.119</v>
      </c>
      <c r="F2145" s="7" t="n">
        <v>1000</v>
      </c>
    </row>
    <row r="2146">
      <c r="A2146" s="5" t="inlineStr">
        <is>
          <t>Grupos poderosos</t>
        </is>
      </c>
      <c r="B2146" s="5" t="inlineStr">
        <is>
          <t>Rep. Dominicana</t>
        </is>
      </c>
      <c r="C2146" s="5" t="n">
        <v>2017</v>
      </c>
      <c r="D2146" s="5" t="inlineStr">
        <is>
          <t>No sabe; no responde</t>
        </is>
      </c>
      <c r="E2146" s="6" t="n">
        <v>0.015</v>
      </c>
      <c r="F2146" s="7" t="n">
        <v>1000</v>
      </c>
    </row>
    <row r="2147">
      <c r="A2147" s="5" t="inlineStr">
        <is>
          <t>Grupos poderosos</t>
        </is>
      </c>
      <c r="B2147" s="5" t="inlineStr">
        <is>
          <t>Rep. Dominicana</t>
        </is>
      </c>
      <c r="C2147" s="5" t="n">
        <v>2018</v>
      </c>
      <c r="D2147" s="5" t="inlineStr">
        <is>
          <t>Grupos poderosos en su propio beneficio</t>
        </is>
      </c>
      <c r="E2147" s="6" t="n">
        <v>0.843</v>
      </c>
      <c r="F2147" s="7" t="n">
        <v>1000</v>
      </c>
    </row>
    <row r="2148">
      <c r="A2148" s="5" t="inlineStr">
        <is>
          <t>Grupos poderosos</t>
        </is>
      </c>
      <c r="B2148" s="5" t="inlineStr">
        <is>
          <t>Rep. Dominicana</t>
        </is>
      </c>
      <c r="C2148" s="5" t="n">
        <v>2018</v>
      </c>
      <c r="D2148" s="5" t="inlineStr">
        <is>
          <t>Para el bien de todo el pueblo</t>
        </is>
      </c>
      <c r="E2148" s="6" t="n">
        <v>0.148</v>
      </c>
      <c r="F2148" s="7" t="n">
        <v>1000</v>
      </c>
    </row>
    <row r="2149">
      <c r="A2149" s="5" t="inlineStr">
        <is>
          <t>Grupos poderosos</t>
        </is>
      </c>
      <c r="B2149" s="5" t="inlineStr">
        <is>
          <t>Rep. Dominicana</t>
        </is>
      </c>
      <c r="C2149" s="5" t="n">
        <v>2018</v>
      </c>
      <c r="D2149" s="5" t="inlineStr">
        <is>
          <t>No sabe; no responde</t>
        </is>
      </c>
      <c r="E2149" s="6" t="n">
        <v>0.009000000000000001</v>
      </c>
      <c r="F2149" s="7" t="n">
        <v>1000</v>
      </c>
    </row>
    <row r="2150">
      <c r="A2150" s="5" t="inlineStr">
        <is>
          <t>Grupos poderosos</t>
        </is>
      </c>
      <c r="B2150" s="5" t="inlineStr">
        <is>
          <t>Rep. Dominicana</t>
        </is>
      </c>
      <c r="C2150" s="5" t="n">
        <v>2020</v>
      </c>
      <c r="D2150" s="5" t="inlineStr">
        <is>
          <t>Grupos poderosos en su propio beneficio</t>
        </is>
      </c>
      <c r="E2150" s="6" t="n">
        <v>0.598</v>
      </c>
      <c r="F2150" s="7" t="n">
        <v>1000</v>
      </c>
    </row>
    <row r="2151">
      <c r="A2151" s="5" t="inlineStr">
        <is>
          <t>Grupos poderosos</t>
        </is>
      </c>
      <c r="B2151" s="5" t="inlineStr">
        <is>
          <t>Rep. Dominicana</t>
        </is>
      </c>
      <c r="C2151" s="5" t="n">
        <v>2020</v>
      </c>
      <c r="D2151" s="5" t="inlineStr">
        <is>
          <t>Para el bien de todo el pueblo</t>
        </is>
      </c>
      <c r="E2151" s="6" t="n">
        <v>0.354</v>
      </c>
      <c r="F2151" s="7" t="n">
        <v>1000</v>
      </c>
    </row>
    <row r="2152">
      <c r="A2152" s="5" t="inlineStr">
        <is>
          <t>Grupos poderosos</t>
        </is>
      </c>
      <c r="B2152" s="5" t="inlineStr">
        <is>
          <t>Rep. Dominicana</t>
        </is>
      </c>
      <c r="C2152" s="5" t="n">
        <v>2020</v>
      </c>
      <c r="D2152" s="5" t="inlineStr">
        <is>
          <t>No sabe; no responde</t>
        </is>
      </c>
      <c r="E2152" s="6" t="n">
        <v>0.048</v>
      </c>
      <c r="F2152" s="7" t="n">
        <v>1000</v>
      </c>
    </row>
    <row r="2153">
      <c r="A2153" s="5" t="inlineStr">
        <is>
          <t>Grupos poderosos</t>
        </is>
      </c>
      <c r="B2153" s="5" t="inlineStr">
        <is>
          <t>Rep. Dominicana</t>
        </is>
      </c>
      <c r="C2153" s="5" t="n">
        <v>2024</v>
      </c>
      <c r="D2153" s="5" t="inlineStr">
        <is>
          <t>Grupos poderosos en su propio beneficio</t>
        </is>
      </c>
      <c r="E2153" s="6" t="n">
        <v>0.66</v>
      </c>
      <c r="F2153" s="7" t="n">
        <v>1000</v>
      </c>
    </row>
    <row r="2154">
      <c r="A2154" s="5" t="inlineStr">
        <is>
          <t>Grupos poderosos</t>
        </is>
      </c>
      <c r="B2154" s="5" t="inlineStr">
        <is>
          <t>Rep. Dominicana</t>
        </is>
      </c>
      <c r="C2154" s="5" t="n">
        <v>2024</v>
      </c>
      <c r="D2154" s="5" t="inlineStr">
        <is>
          <t>Para el bien de todo el pueblo</t>
        </is>
      </c>
      <c r="E2154" s="6" t="n">
        <v>0.327</v>
      </c>
      <c r="F2154" s="7" t="n">
        <v>1000</v>
      </c>
    </row>
    <row r="2155">
      <c r="A2155" s="5" t="inlineStr">
        <is>
          <t>Grupos poderosos</t>
        </is>
      </c>
      <c r="B2155" s="5" t="inlineStr">
        <is>
          <t>Rep. Dominicana</t>
        </is>
      </c>
      <c r="C2155" s="5" t="n">
        <v>2024</v>
      </c>
      <c r="D2155" s="5" t="inlineStr">
        <is>
          <t>No sabe; no responde</t>
        </is>
      </c>
      <c r="E2155" s="6" t="n">
        <v>0.013</v>
      </c>
      <c r="F2155" s="7" t="n">
        <v>1000</v>
      </c>
    </row>
    <row r="2156">
      <c r="A2156" s="5" t="inlineStr">
        <is>
          <t>Grupos poderosos</t>
        </is>
      </c>
      <c r="B2156" s="5" t="inlineStr">
        <is>
          <t>Ecuador</t>
        </is>
      </c>
      <c r="C2156" s="5" t="n">
        <v>2004</v>
      </c>
      <c r="D2156" s="5" t="inlineStr">
        <is>
          <t>Grupos poderosos en su propio beneficio</t>
        </is>
      </c>
      <c r="E2156" s="6" t="n">
        <v>0.7659999999999999</v>
      </c>
      <c r="F2156" s="7" t="n">
        <v>1200</v>
      </c>
    </row>
    <row r="2157">
      <c r="A2157" s="5" t="inlineStr">
        <is>
          <t>Grupos poderosos</t>
        </is>
      </c>
      <c r="B2157" s="5" t="inlineStr">
        <is>
          <t>Ecuador</t>
        </is>
      </c>
      <c r="C2157" s="5" t="n">
        <v>2004</v>
      </c>
      <c r="D2157" s="5" t="inlineStr">
        <is>
          <t>Para el bien de todo el pueblo</t>
        </is>
      </c>
      <c r="E2157" s="6" t="n">
        <v>0.212</v>
      </c>
      <c r="F2157" s="7" t="n">
        <v>1200</v>
      </c>
    </row>
    <row r="2158">
      <c r="A2158" s="5" t="inlineStr">
        <is>
          <t>Grupos poderosos</t>
        </is>
      </c>
      <c r="B2158" s="5" t="inlineStr">
        <is>
          <t>Ecuador</t>
        </is>
      </c>
      <c r="C2158" s="5" t="n">
        <v>2004</v>
      </c>
      <c r="D2158" s="5" t="inlineStr">
        <is>
          <t>No sabe; no responde</t>
        </is>
      </c>
      <c r="E2158" s="6" t="n">
        <v>0.022</v>
      </c>
      <c r="F2158" s="7" t="n">
        <v>1200</v>
      </c>
    </row>
    <row r="2159">
      <c r="A2159" s="5" t="inlineStr">
        <is>
          <t>Grupos poderosos</t>
        </is>
      </c>
      <c r="B2159" s="5" t="inlineStr">
        <is>
          <t>Ecuador</t>
        </is>
      </c>
      <c r="C2159" s="5" t="n">
        <v>2005</v>
      </c>
      <c r="D2159" s="5" t="inlineStr">
        <is>
          <t>Grupos poderosos en su propio beneficio</t>
        </is>
      </c>
      <c r="E2159" s="6" t="n">
        <v>0.88</v>
      </c>
      <c r="F2159" s="7" t="n">
        <v>1200</v>
      </c>
    </row>
    <row r="2160">
      <c r="A2160" s="5" t="inlineStr">
        <is>
          <t>Grupos poderosos</t>
        </is>
      </c>
      <c r="B2160" s="5" t="inlineStr">
        <is>
          <t>Ecuador</t>
        </is>
      </c>
      <c r="C2160" s="5" t="n">
        <v>2005</v>
      </c>
      <c r="D2160" s="5" t="inlineStr">
        <is>
          <t>Para el bien de todo el pueblo</t>
        </is>
      </c>
      <c r="E2160" s="6" t="n">
        <v>0.079</v>
      </c>
      <c r="F2160" s="7" t="n">
        <v>1200</v>
      </c>
    </row>
    <row r="2161">
      <c r="A2161" s="5" t="inlineStr">
        <is>
          <t>Grupos poderosos</t>
        </is>
      </c>
      <c r="B2161" s="5" t="inlineStr">
        <is>
          <t>Ecuador</t>
        </is>
      </c>
      <c r="C2161" s="5" t="n">
        <v>2005</v>
      </c>
      <c r="D2161" s="5" t="inlineStr">
        <is>
          <t>No sabe; no responde</t>
        </is>
      </c>
      <c r="E2161" s="6" t="n">
        <v>0.04099999999999999</v>
      </c>
      <c r="F2161" s="7" t="n">
        <v>1200</v>
      </c>
    </row>
    <row r="2162">
      <c r="A2162" s="5" t="inlineStr">
        <is>
          <t>Grupos poderosos</t>
        </is>
      </c>
      <c r="B2162" s="5" t="inlineStr">
        <is>
          <t>Ecuador</t>
        </is>
      </c>
      <c r="C2162" s="5" t="n">
        <v>2006</v>
      </c>
      <c r="D2162" s="5" t="inlineStr">
        <is>
          <t>Grupos poderosos en su propio beneficio</t>
        </is>
      </c>
      <c r="E2162" s="6" t="n">
        <v>0.8640000000000001</v>
      </c>
      <c r="F2162" s="7" t="n">
        <v>1200</v>
      </c>
    </row>
    <row r="2163">
      <c r="A2163" s="5" t="inlineStr">
        <is>
          <t>Grupos poderosos</t>
        </is>
      </c>
      <c r="B2163" s="5" t="inlineStr">
        <is>
          <t>Ecuador</t>
        </is>
      </c>
      <c r="C2163" s="5" t="n">
        <v>2006</v>
      </c>
      <c r="D2163" s="5" t="inlineStr">
        <is>
          <t>Para el bien de todo el pueblo</t>
        </is>
      </c>
      <c r="E2163" s="6" t="n">
        <v>0.113</v>
      </c>
      <c r="F2163" s="7" t="n">
        <v>1200</v>
      </c>
    </row>
    <row r="2164">
      <c r="A2164" s="5" t="inlineStr">
        <is>
          <t>Grupos poderosos</t>
        </is>
      </c>
      <c r="B2164" s="5" t="inlineStr">
        <is>
          <t>Ecuador</t>
        </is>
      </c>
      <c r="C2164" s="5" t="n">
        <v>2006</v>
      </c>
      <c r="D2164" s="5" t="inlineStr">
        <is>
          <t>No sabe; no responde</t>
        </is>
      </c>
      <c r="E2164" s="6" t="n">
        <v>0.023</v>
      </c>
      <c r="F2164" s="7" t="n">
        <v>1200</v>
      </c>
    </row>
    <row r="2165">
      <c r="A2165" s="5" t="inlineStr">
        <is>
          <t>Grupos poderosos</t>
        </is>
      </c>
      <c r="B2165" s="5" t="inlineStr">
        <is>
          <t>Ecuador</t>
        </is>
      </c>
      <c r="C2165" s="5" t="n">
        <v>2007</v>
      </c>
      <c r="D2165" s="5" t="inlineStr">
        <is>
          <t>Grupos poderosos en su propio beneficio</t>
        </is>
      </c>
      <c r="E2165" s="6" t="n">
        <v>0.733</v>
      </c>
      <c r="F2165" s="7" t="n">
        <v>1200</v>
      </c>
    </row>
    <row r="2166">
      <c r="A2166" s="5" t="inlineStr">
        <is>
          <t>Grupos poderosos</t>
        </is>
      </c>
      <c r="B2166" s="5" t="inlineStr">
        <is>
          <t>Ecuador</t>
        </is>
      </c>
      <c r="C2166" s="5" t="n">
        <v>2007</v>
      </c>
      <c r="D2166" s="5" t="inlineStr">
        <is>
          <t>Para el bien de todo el pueblo</t>
        </is>
      </c>
      <c r="E2166" s="6" t="n">
        <v>0.252</v>
      </c>
      <c r="F2166" s="7" t="n">
        <v>1200</v>
      </c>
    </row>
    <row r="2167">
      <c r="A2167" s="5" t="inlineStr">
        <is>
          <t>Grupos poderosos</t>
        </is>
      </c>
      <c r="B2167" s="5" t="inlineStr">
        <is>
          <t>Ecuador</t>
        </is>
      </c>
      <c r="C2167" s="5" t="n">
        <v>2007</v>
      </c>
      <c r="D2167" s="5" t="inlineStr">
        <is>
          <t>No sabe; no responde</t>
        </is>
      </c>
      <c r="E2167" s="6" t="n">
        <v>0.016</v>
      </c>
      <c r="F2167" s="7" t="n">
        <v>1200</v>
      </c>
    </row>
    <row r="2168">
      <c r="A2168" s="5" t="inlineStr">
        <is>
          <t>Grupos poderosos</t>
        </is>
      </c>
      <c r="B2168" s="5" t="inlineStr">
        <is>
          <t>Ecuador</t>
        </is>
      </c>
      <c r="C2168" s="5" t="n">
        <v>2008</v>
      </c>
      <c r="D2168" s="5" t="inlineStr">
        <is>
          <t>Grupos poderosos en su propio beneficio</t>
        </is>
      </c>
      <c r="E2168" s="6" t="n">
        <v>0.6629999999999999</v>
      </c>
      <c r="F2168" s="7" t="n">
        <v>1200</v>
      </c>
    </row>
    <row r="2169">
      <c r="A2169" s="5" t="inlineStr">
        <is>
          <t>Grupos poderosos</t>
        </is>
      </c>
      <c r="B2169" s="5" t="inlineStr">
        <is>
          <t>Ecuador</t>
        </is>
      </c>
      <c r="C2169" s="5" t="n">
        <v>2008</v>
      </c>
      <c r="D2169" s="5" t="inlineStr">
        <is>
          <t>Para el bien de todo el pueblo</t>
        </is>
      </c>
      <c r="E2169" s="6" t="n">
        <v>0.291</v>
      </c>
      <c r="F2169" s="7" t="n">
        <v>1200</v>
      </c>
    </row>
    <row r="2170">
      <c r="A2170" s="5" t="inlineStr">
        <is>
          <t>Grupos poderosos</t>
        </is>
      </c>
      <c r="B2170" s="5" t="inlineStr">
        <is>
          <t>Ecuador</t>
        </is>
      </c>
      <c r="C2170" s="5" t="n">
        <v>2008</v>
      </c>
      <c r="D2170" s="5" t="inlineStr">
        <is>
          <t>No sabe; no responde</t>
        </is>
      </c>
      <c r="E2170" s="6" t="n">
        <v>0.046</v>
      </c>
      <c r="F2170" s="7" t="n">
        <v>1200</v>
      </c>
    </row>
    <row r="2171">
      <c r="A2171" s="5" t="inlineStr">
        <is>
          <t>Grupos poderosos</t>
        </is>
      </c>
      <c r="B2171" s="5" t="inlineStr">
        <is>
          <t>Ecuador</t>
        </is>
      </c>
      <c r="C2171" s="5" t="n">
        <v>2009</v>
      </c>
      <c r="D2171" s="5" t="inlineStr">
        <is>
          <t>Grupos poderosos en su propio beneficio</t>
        </is>
      </c>
      <c r="E2171" s="6" t="n">
        <v>0.5529999999999999</v>
      </c>
      <c r="F2171" s="7" t="n">
        <v>1200</v>
      </c>
    </row>
    <row r="2172">
      <c r="A2172" s="5" t="inlineStr">
        <is>
          <t>Grupos poderosos</t>
        </is>
      </c>
      <c r="B2172" s="5" t="inlineStr">
        <is>
          <t>Ecuador</t>
        </is>
      </c>
      <c r="C2172" s="5" t="n">
        <v>2009</v>
      </c>
      <c r="D2172" s="5" t="inlineStr">
        <is>
          <t>Para el bien de todo el pueblo</t>
        </is>
      </c>
      <c r="E2172" s="6" t="n">
        <v>0.4</v>
      </c>
      <c r="F2172" s="7" t="n">
        <v>1200</v>
      </c>
    </row>
    <row r="2173">
      <c r="A2173" s="5" t="inlineStr">
        <is>
          <t>Grupos poderosos</t>
        </is>
      </c>
      <c r="B2173" s="5" t="inlineStr">
        <is>
          <t>Ecuador</t>
        </is>
      </c>
      <c r="C2173" s="5" t="n">
        <v>2009</v>
      </c>
      <c r="D2173" s="5" t="inlineStr">
        <is>
          <t>No sabe; no responde</t>
        </is>
      </c>
      <c r="E2173" s="6" t="n">
        <v>0.048</v>
      </c>
      <c r="F2173" s="7" t="n">
        <v>1200</v>
      </c>
    </row>
    <row r="2174">
      <c r="A2174" s="5" t="inlineStr">
        <is>
          <t>Grupos poderosos</t>
        </is>
      </c>
      <c r="B2174" s="5" t="inlineStr">
        <is>
          <t>Ecuador</t>
        </is>
      </c>
      <c r="C2174" s="5" t="n">
        <v>2010</v>
      </c>
      <c r="D2174" s="5" t="inlineStr">
        <is>
          <t>Grupos poderosos en su propio beneficio</t>
        </is>
      </c>
      <c r="E2174" s="6" t="n">
        <v>0.499</v>
      </c>
      <c r="F2174" s="7" t="n">
        <v>1200</v>
      </c>
    </row>
    <row r="2175">
      <c r="A2175" s="5" t="inlineStr">
        <is>
          <t>Grupos poderosos</t>
        </is>
      </c>
      <c r="B2175" s="5" t="inlineStr">
        <is>
          <t>Ecuador</t>
        </is>
      </c>
      <c r="C2175" s="5" t="n">
        <v>2010</v>
      </c>
      <c r="D2175" s="5" t="inlineStr">
        <is>
          <t>Para el bien de todo el pueblo</t>
        </is>
      </c>
      <c r="E2175" s="6" t="n">
        <v>0.444</v>
      </c>
      <c r="F2175" s="7" t="n">
        <v>1200</v>
      </c>
    </row>
    <row r="2176">
      <c r="A2176" s="5" t="inlineStr">
        <is>
          <t>Grupos poderosos</t>
        </is>
      </c>
      <c r="B2176" s="5" t="inlineStr">
        <is>
          <t>Ecuador</t>
        </is>
      </c>
      <c r="C2176" s="5" t="n">
        <v>2010</v>
      </c>
      <c r="D2176" s="5" t="inlineStr">
        <is>
          <t>No sabe; no responde</t>
        </is>
      </c>
      <c r="E2176" s="6" t="n">
        <v>0.057</v>
      </c>
      <c r="F2176" s="7" t="n">
        <v>1200</v>
      </c>
    </row>
    <row r="2177">
      <c r="A2177" s="5" t="inlineStr">
        <is>
          <t>Grupos poderosos</t>
        </is>
      </c>
      <c r="B2177" s="5" t="inlineStr">
        <is>
          <t>Ecuador</t>
        </is>
      </c>
      <c r="C2177" s="5" t="n">
        <v>2011</v>
      </c>
      <c r="D2177" s="5" t="inlineStr">
        <is>
          <t>Grupos poderosos en su propio beneficio</t>
        </is>
      </c>
      <c r="E2177" s="6" t="n">
        <v>0.605</v>
      </c>
      <c r="F2177" s="7" t="n">
        <v>1200</v>
      </c>
    </row>
    <row r="2178">
      <c r="A2178" s="5" t="inlineStr">
        <is>
          <t>Grupos poderosos</t>
        </is>
      </c>
      <c r="B2178" s="5" t="inlineStr">
        <is>
          <t>Ecuador</t>
        </is>
      </c>
      <c r="C2178" s="5" t="n">
        <v>2011</v>
      </c>
      <c r="D2178" s="5" t="inlineStr">
        <is>
          <t>Para el bien de todo el pueblo</t>
        </is>
      </c>
      <c r="E2178" s="6" t="n">
        <v>0.341</v>
      </c>
      <c r="F2178" s="7" t="n">
        <v>1200</v>
      </c>
    </row>
    <row r="2179">
      <c r="A2179" s="5" t="inlineStr">
        <is>
          <t>Grupos poderosos</t>
        </is>
      </c>
      <c r="B2179" s="5" t="inlineStr">
        <is>
          <t>Ecuador</t>
        </is>
      </c>
      <c r="C2179" s="5" t="n">
        <v>2011</v>
      </c>
      <c r="D2179" s="5" t="inlineStr">
        <is>
          <t>No sabe; no responde</t>
        </is>
      </c>
      <c r="E2179" s="6" t="n">
        <v>0.05400000000000001</v>
      </c>
      <c r="F2179" s="7" t="n">
        <v>1200</v>
      </c>
    </row>
    <row r="2180">
      <c r="A2180" s="5" t="inlineStr">
        <is>
          <t>Grupos poderosos</t>
        </is>
      </c>
      <c r="B2180" s="5" t="inlineStr">
        <is>
          <t>Ecuador</t>
        </is>
      </c>
      <c r="C2180" s="5" t="n">
        <v>2016</v>
      </c>
      <c r="D2180" s="5" t="inlineStr">
        <is>
          <t>Grupos poderosos en su propio beneficio</t>
        </is>
      </c>
      <c r="E2180" s="6" t="n">
        <v>0.618</v>
      </c>
      <c r="F2180" s="7" t="n">
        <v>1200</v>
      </c>
    </row>
    <row r="2181">
      <c r="A2181" s="5" t="inlineStr">
        <is>
          <t>Grupos poderosos</t>
        </is>
      </c>
      <c r="B2181" s="5" t="inlineStr">
        <is>
          <t>Ecuador</t>
        </is>
      </c>
      <c r="C2181" s="5" t="n">
        <v>2016</v>
      </c>
      <c r="D2181" s="5" t="inlineStr">
        <is>
          <t>Para el bien de todo el pueblo</t>
        </is>
      </c>
      <c r="E2181" s="6" t="n">
        <v>0.354</v>
      </c>
      <c r="F2181" s="7" t="n">
        <v>1200</v>
      </c>
    </row>
    <row r="2182">
      <c r="A2182" s="5" t="inlineStr">
        <is>
          <t>Grupos poderosos</t>
        </is>
      </c>
      <c r="B2182" s="5" t="inlineStr">
        <is>
          <t>Ecuador</t>
        </is>
      </c>
      <c r="C2182" s="5" t="n">
        <v>2016</v>
      </c>
      <c r="D2182" s="5" t="inlineStr">
        <is>
          <t>No sabe; no responde</t>
        </is>
      </c>
      <c r="E2182" s="6" t="n">
        <v>0.028</v>
      </c>
      <c r="F2182" s="7" t="n">
        <v>1200</v>
      </c>
    </row>
    <row r="2183">
      <c r="A2183" s="5" t="inlineStr">
        <is>
          <t>Grupos poderosos</t>
        </is>
      </c>
      <c r="B2183" s="5" t="inlineStr">
        <is>
          <t>Ecuador</t>
        </is>
      </c>
      <c r="C2183" s="5" t="n">
        <v>2017</v>
      </c>
      <c r="D2183" s="5" t="inlineStr">
        <is>
          <t>Grupos poderosos en su propio beneficio</t>
        </is>
      </c>
      <c r="E2183" s="6" t="n">
        <v>0.5820000000000001</v>
      </c>
      <c r="F2183" s="7" t="n">
        <v>1200</v>
      </c>
    </row>
    <row r="2184">
      <c r="A2184" s="5" t="inlineStr">
        <is>
          <t>Grupos poderosos</t>
        </is>
      </c>
      <c r="B2184" s="5" t="inlineStr">
        <is>
          <t>Ecuador</t>
        </is>
      </c>
      <c r="C2184" s="5" t="n">
        <v>2017</v>
      </c>
      <c r="D2184" s="5" t="inlineStr">
        <is>
          <t>Para el bien de todo el pueblo</t>
        </is>
      </c>
      <c r="E2184" s="6" t="n">
        <v>0.375</v>
      </c>
      <c r="F2184" s="7" t="n">
        <v>1200</v>
      </c>
    </row>
    <row r="2185">
      <c r="A2185" s="5" t="inlineStr">
        <is>
          <t>Grupos poderosos</t>
        </is>
      </c>
      <c r="B2185" s="5" t="inlineStr">
        <is>
          <t>Ecuador</t>
        </is>
      </c>
      <c r="C2185" s="5" t="n">
        <v>2017</v>
      </c>
      <c r="D2185" s="5" t="inlineStr">
        <is>
          <t>No sabe; no responde</t>
        </is>
      </c>
      <c r="E2185" s="6" t="n">
        <v>0.043</v>
      </c>
      <c r="F2185" s="7" t="n">
        <v>1200</v>
      </c>
    </row>
    <row r="2186">
      <c r="A2186" s="5" t="inlineStr">
        <is>
          <t>Grupos poderosos</t>
        </is>
      </c>
      <c r="B2186" s="5" t="inlineStr">
        <is>
          <t>Ecuador</t>
        </is>
      </c>
      <c r="C2186" s="5" t="n">
        <v>2018</v>
      </c>
      <c r="D2186" s="5" t="inlineStr">
        <is>
          <t>Grupos poderosos en su propio beneficio</t>
        </is>
      </c>
      <c r="E2186" s="6" t="n">
        <v>0.8129999999999999</v>
      </c>
      <c r="F2186" s="7" t="n">
        <v>1200</v>
      </c>
    </row>
    <row r="2187">
      <c r="A2187" s="5" t="inlineStr">
        <is>
          <t>Grupos poderosos</t>
        </is>
      </c>
      <c r="B2187" s="5" t="inlineStr">
        <is>
          <t>Ecuador</t>
        </is>
      </c>
      <c r="C2187" s="5" t="n">
        <v>2018</v>
      </c>
      <c r="D2187" s="5" t="inlineStr">
        <is>
          <t>Para el bien de todo el pueblo</t>
        </is>
      </c>
      <c r="E2187" s="6" t="n">
        <v>0.168</v>
      </c>
      <c r="F2187" s="7" t="n">
        <v>1200</v>
      </c>
    </row>
    <row r="2188">
      <c r="A2188" s="5" t="inlineStr">
        <is>
          <t>Grupos poderosos</t>
        </is>
      </c>
      <c r="B2188" s="5" t="inlineStr">
        <is>
          <t>Ecuador</t>
        </is>
      </c>
      <c r="C2188" s="5" t="n">
        <v>2018</v>
      </c>
      <c r="D2188" s="5" t="inlineStr">
        <is>
          <t>No sabe; no responde</t>
        </is>
      </c>
      <c r="E2188" s="6" t="n">
        <v>0.019</v>
      </c>
      <c r="F2188" s="7" t="n">
        <v>1200</v>
      </c>
    </row>
    <row r="2189">
      <c r="A2189" s="5" t="inlineStr">
        <is>
          <t>Grupos poderosos</t>
        </is>
      </c>
      <c r="B2189" s="5" t="inlineStr">
        <is>
          <t>Ecuador</t>
        </is>
      </c>
      <c r="C2189" s="5" t="n">
        <v>2020</v>
      </c>
      <c r="D2189" s="5" t="inlineStr">
        <is>
          <t>Grupos poderosos en su propio beneficio</t>
        </is>
      </c>
      <c r="E2189" s="6" t="n">
        <v>0.873</v>
      </c>
      <c r="F2189" s="7" t="n">
        <v>1200</v>
      </c>
    </row>
    <row r="2190">
      <c r="A2190" s="5" t="inlineStr">
        <is>
          <t>Grupos poderosos</t>
        </is>
      </c>
      <c r="B2190" s="5" t="inlineStr">
        <is>
          <t>Ecuador</t>
        </is>
      </c>
      <c r="C2190" s="5" t="n">
        <v>2020</v>
      </c>
      <c r="D2190" s="5" t="inlineStr">
        <is>
          <t>Para el bien de todo el pueblo</t>
        </is>
      </c>
      <c r="E2190" s="6" t="n">
        <v>0.107</v>
      </c>
      <c r="F2190" s="7" t="n">
        <v>1200</v>
      </c>
    </row>
    <row r="2191">
      <c r="A2191" s="5" t="inlineStr">
        <is>
          <t>Grupos poderosos</t>
        </is>
      </c>
      <c r="B2191" s="5" t="inlineStr">
        <is>
          <t>Ecuador</t>
        </is>
      </c>
      <c r="C2191" s="5" t="n">
        <v>2020</v>
      </c>
      <c r="D2191" s="5" t="inlineStr">
        <is>
          <t>No sabe; no responde</t>
        </is>
      </c>
      <c r="E2191" s="6" t="n">
        <v>0.021</v>
      </c>
      <c r="F2191" s="7" t="n">
        <v>1200</v>
      </c>
    </row>
    <row r="2192">
      <c r="A2192" s="5" t="inlineStr">
        <is>
          <t>Grupos poderosos</t>
        </is>
      </c>
      <c r="B2192" s="5" t="inlineStr">
        <is>
          <t>Ecuador</t>
        </is>
      </c>
      <c r="C2192" s="5" t="n">
        <v>2024</v>
      </c>
      <c r="D2192" s="5" t="inlineStr">
        <is>
          <t>Grupos poderosos en su propio beneficio</t>
        </is>
      </c>
      <c r="E2192" s="6" t="n">
        <v>0.8100000000000001</v>
      </c>
      <c r="F2192" s="7" t="n">
        <v>1200</v>
      </c>
    </row>
    <row r="2193">
      <c r="A2193" s="5" t="inlineStr">
        <is>
          <t>Grupos poderosos</t>
        </is>
      </c>
      <c r="B2193" s="5" t="inlineStr">
        <is>
          <t>Ecuador</t>
        </is>
      </c>
      <c r="C2193" s="5" t="n">
        <v>2024</v>
      </c>
      <c r="D2193" s="5" t="inlineStr">
        <is>
          <t>Para el bien de todo el pueblo</t>
        </is>
      </c>
      <c r="E2193" s="6" t="n">
        <v>0.175</v>
      </c>
      <c r="F2193" s="7" t="n">
        <v>1200</v>
      </c>
    </row>
    <row r="2194">
      <c r="A2194" s="5" t="inlineStr">
        <is>
          <t>Grupos poderosos</t>
        </is>
      </c>
      <c r="B2194" s="5" t="inlineStr">
        <is>
          <t>Ecuador</t>
        </is>
      </c>
      <c r="C2194" s="5" t="n">
        <v>2024</v>
      </c>
      <c r="D2194" s="5" t="inlineStr">
        <is>
          <t>No sabe; no responde</t>
        </is>
      </c>
      <c r="E2194" s="6" t="n">
        <v>0.015</v>
      </c>
      <c r="F2194" s="7" t="n">
        <v>1200</v>
      </c>
    </row>
    <row r="2195">
      <c r="A2195" s="5" t="inlineStr">
        <is>
          <t>Grupos poderosos</t>
        </is>
      </c>
      <c r="B2195" s="5" t="inlineStr">
        <is>
          <t>El Salvador</t>
        </is>
      </c>
      <c r="C2195" s="5" t="n">
        <v>2004</v>
      </c>
      <c r="D2195" s="5" t="inlineStr">
        <is>
          <t>Grupos poderosos en su propio beneficio</t>
        </is>
      </c>
      <c r="E2195" s="6" t="n">
        <v>0.634</v>
      </c>
      <c r="F2195" s="7" t="n">
        <v>1000</v>
      </c>
    </row>
    <row r="2196">
      <c r="A2196" s="5" t="inlineStr">
        <is>
          <t>Grupos poderosos</t>
        </is>
      </c>
      <c r="B2196" s="5" t="inlineStr">
        <is>
          <t>El Salvador</t>
        </is>
      </c>
      <c r="C2196" s="5" t="n">
        <v>2004</v>
      </c>
      <c r="D2196" s="5" t="inlineStr">
        <is>
          <t>Para el bien de todo el pueblo</t>
        </is>
      </c>
      <c r="E2196" s="6" t="n">
        <v>0.293</v>
      </c>
      <c r="F2196" s="7" t="n">
        <v>1000</v>
      </c>
    </row>
    <row r="2197">
      <c r="A2197" s="5" t="inlineStr">
        <is>
          <t>Grupos poderosos</t>
        </is>
      </c>
      <c r="B2197" s="5" t="inlineStr">
        <is>
          <t>El Salvador</t>
        </is>
      </c>
      <c r="C2197" s="5" t="n">
        <v>2004</v>
      </c>
      <c r="D2197" s="5" t="inlineStr">
        <is>
          <t>No sabe; no responde</t>
        </is>
      </c>
      <c r="E2197" s="6" t="n">
        <v>0.07400000000000001</v>
      </c>
      <c r="F2197" s="7" t="n">
        <v>1000</v>
      </c>
    </row>
    <row r="2198">
      <c r="A2198" s="5" t="inlineStr">
        <is>
          <t>Grupos poderosos</t>
        </is>
      </c>
      <c r="B2198" s="5" t="inlineStr">
        <is>
          <t>El Salvador</t>
        </is>
      </c>
      <c r="C2198" s="5" t="n">
        <v>2005</v>
      </c>
      <c r="D2198" s="5" t="inlineStr">
        <is>
          <t>Grupos poderosos en su propio beneficio</t>
        </is>
      </c>
      <c r="E2198" s="6" t="n">
        <v>0.627</v>
      </c>
      <c r="F2198" s="7" t="n">
        <v>1010</v>
      </c>
    </row>
    <row r="2199">
      <c r="A2199" s="5" t="inlineStr">
        <is>
          <t>Grupos poderosos</t>
        </is>
      </c>
      <c r="B2199" s="5" t="inlineStr">
        <is>
          <t>El Salvador</t>
        </is>
      </c>
      <c r="C2199" s="5" t="n">
        <v>2005</v>
      </c>
      <c r="D2199" s="5" t="inlineStr">
        <is>
          <t>Para el bien de todo el pueblo</t>
        </is>
      </c>
      <c r="E2199" s="6" t="n">
        <v>0.299</v>
      </c>
      <c r="F2199" s="7" t="n">
        <v>1010</v>
      </c>
    </row>
    <row r="2200">
      <c r="A2200" s="5" t="inlineStr">
        <is>
          <t>Grupos poderosos</t>
        </is>
      </c>
      <c r="B2200" s="5" t="inlineStr">
        <is>
          <t>El Salvador</t>
        </is>
      </c>
      <c r="C2200" s="5" t="n">
        <v>2005</v>
      </c>
      <c r="D2200" s="5" t="inlineStr">
        <is>
          <t>No sabe; no responde</t>
        </is>
      </c>
      <c r="E2200" s="6" t="n">
        <v>0.07400000000000001</v>
      </c>
      <c r="F2200" s="7" t="n">
        <v>1010</v>
      </c>
    </row>
    <row r="2201">
      <c r="A2201" s="5" t="inlineStr">
        <is>
          <t>Grupos poderosos</t>
        </is>
      </c>
      <c r="B2201" s="5" t="inlineStr">
        <is>
          <t>El Salvador</t>
        </is>
      </c>
      <c r="C2201" s="5" t="n">
        <v>2006</v>
      </c>
      <c r="D2201" s="5" t="inlineStr">
        <is>
          <t>Grupos poderosos en su propio beneficio</t>
        </is>
      </c>
      <c r="E2201" s="6" t="n">
        <v>0.7929999999999999</v>
      </c>
      <c r="F2201" s="7" t="n">
        <v>1020</v>
      </c>
    </row>
    <row r="2202">
      <c r="A2202" s="5" t="inlineStr">
        <is>
          <t>Grupos poderosos</t>
        </is>
      </c>
      <c r="B2202" s="5" t="inlineStr">
        <is>
          <t>El Salvador</t>
        </is>
      </c>
      <c r="C2202" s="5" t="n">
        <v>2006</v>
      </c>
      <c r="D2202" s="5" t="inlineStr">
        <is>
          <t>Para el bien de todo el pueblo</t>
        </is>
      </c>
      <c r="E2202" s="6" t="n">
        <v>0.138</v>
      </c>
      <c r="F2202" s="7" t="n">
        <v>1020</v>
      </c>
    </row>
    <row r="2203">
      <c r="A2203" s="5" t="inlineStr">
        <is>
          <t>Grupos poderosos</t>
        </is>
      </c>
      <c r="B2203" s="5" t="inlineStr">
        <is>
          <t>El Salvador</t>
        </is>
      </c>
      <c r="C2203" s="5" t="n">
        <v>2006</v>
      </c>
      <c r="D2203" s="5" t="inlineStr">
        <is>
          <t>No sabe; no responde</t>
        </is>
      </c>
      <c r="E2203" s="6" t="n">
        <v>0.06900000000000001</v>
      </c>
      <c r="F2203" s="7" t="n">
        <v>1020</v>
      </c>
    </row>
    <row r="2204">
      <c r="A2204" s="5" t="inlineStr">
        <is>
          <t>Grupos poderosos</t>
        </is>
      </c>
      <c r="B2204" s="5" t="inlineStr">
        <is>
          <t>El Salvador</t>
        </is>
      </c>
      <c r="C2204" s="5" t="n">
        <v>2007</v>
      </c>
      <c r="D2204" s="5" t="inlineStr">
        <is>
          <t>Grupos poderosos en su propio beneficio</t>
        </is>
      </c>
      <c r="E2204" s="6" t="n">
        <v>0.727</v>
      </c>
      <c r="F2204" s="7" t="n">
        <v>1000</v>
      </c>
    </row>
    <row r="2205">
      <c r="A2205" s="5" t="inlineStr">
        <is>
          <t>Grupos poderosos</t>
        </is>
      </c>
      <c r="B2205" s="5" t="inlineStr">
        <is>
          <t>El Salvador</t>
        </is>
      </c>
      <c r="C2205" s="5" t="n">
        <v>2007</v>
      </c>
      <c r="D2205" s="5" t="inlineStr">
        <is>
          <t>Para el bien de todo el pueblo</t>
        </is>
      </c>
      <c r="E2205" s="6" t="n">
        <v>0.232</v>
      </c>
      <c r="F2205" s="7" t="n">
        <v>1000</v>
      </c>
    </row>
    <row r="2206">
      <c r="A2206" s="5" t="inlineStr">
        <is>
          <t>Grupos poderosos</t>
        </is>
      </c>
      <c r="B2206" s="5" t="inlineStr">
        <is>
          <t>El Salvador</t>
        </is>
      </c>
      <c r="C2206" s="5" t="n">
        <v>2007</v>
      </c>
      <c r="D2206" s="5" t="inlineStr">
        <is>
          <t>No sabe; no responde</t>
        </is>
      </c>
      <c r="E2206" s="6" t="n">
        <v>0.04099999999999999</v>
      </c>
      <c r="F2206" s="7" t="n">
        <v>1000</v>
      </c>
    </row>
    <row r="2207">
      <c r="A2207" s="5" t="inlineStr">
        <is>
          <t>Grupos poderosos</t>
        </is>
      </c>
      <c r="B2207" s="5" t="inlineStr">
        <is>
          <t>El Salvador</t>
        </is>
      </c>
      <c r="C2207" s="5" t="n">
        <v>2008</v>
      </c>
      <c r="D2207" s="5" t="inlineStr">
        <is>
          <t>Grupos poderosos en su propio beneficio</t>
        </is>
      </c>
      <c r="E2207" s="6" t="n">
        <v>0.6850000000000001</v>
      </c>
      <c r="F2207" s="7" t="n">
        <v>1000</v>
      </c>
    </row>
    <row r="2208">
      <c r="A2208" s="5" t="inlineStr">
        <is>
          <t>Grupos poderosos</t>
        </is>
      </c>
      <c r="B2208" s="5" t="inlineStr">
        <is>
          <t>El Salvador</t>
        </is>
      </c>
      <c r="C2208" s="5" t="n">
        <v>2008</v>
      </c>
      <c r="D2208" s="5" t="inlineStr">
        <is>
          <t>Para el bien de todo el pueblo</t>
        </is>
      </c>
      <c r="E2208" s="6" t="n">
        <v>0.275</v>
      </c>
      <c r="F2208" s="7" t="n">
        <v>1000</v>
      </c>
    </row>
    <row r="2209">
      <c r="A2209" s="5" t="inlineStr">
        <is>
          <t>Grupos poderosos</t>
        </is>
      </c>
      <c r="B2209" s="5" t="inlineStr">
        <is>
          <t>El Salvador</t>
        </is>
      </c>
      <c r="C2209" s="5" t="n">
        <v>2008</v>
      </c>
      <c r="D2209" s="5" t="inlineStr">
        <is>
          <t>No sabe; no responde</t>
        </is>
      </c>
      <c r="E2209" s="6" t="n">
        <v>0.039</v>
      </c>
      <c r="F2209" s="7" t="n">
        <v>1000</v>
      </c>
    </row>
    <row r="2210">
      <c r="A2210" s="5" t="inlineStr">
        <is>
          <t>Grupos poderosos</t>
        </is>
      </c>
      <c r="B2210" s="5" t="inlineStr">
        <is>
          <t>El Salvador</t>
        </is>
      </c>
      <c r="C2210" s="5" t="n">
        <v>2009</v>
      </c>
      <c r="D2210" s="5" t="inlineStr">
        <is>
          <t>Grupos poderosos en su propio beneficio</t>
        </is>
      </c>
      <c r="E2210" s="6" t="n">
        <v>0.412</v>
      </c>
      <c r="F2210" s="7" t="n">
        <v>1000</v>
      </c>
    </row>
    <row r="2211">
      <c r="A2211" s="5" t="inlineStr">
        <is>
          <t>Grupos poderosos</t>
        </is>
      </c>
      <c r="B2211" s="5" t="inlineStr">
        <is>
          <t>El Salvador</t>
        </is>
      </c>
      <c r="C2211" s="5" t="n">
        <v>2009</v>
      </c>
      <c r="D2211" s="5" t="inlineStr">
        <is>
          <t>Para el bien de todo el pueblo</t>
        </is>
      </c>
      <c r="E2211" s="6" t="n">
        <v>0.481</v>
      </c>
      <c r="F2211" s="7" t="n">
        <v>1000</v>
      </c>
    </row>
    <row r="2212">
      <c r="A2212" s="5" t="inlineStr">
        <is>
          <t>Grupos poderosos</t>
        </is>
      </c>
      <c r="B2212" s="5" t="inlineStr">
        <is>
          <t>El Salvador</t>
        </is>
      </c>
      <c r="C2212" s="5" t="n">
        <v>2009</v>
      </c>
      <c r="D2212" s="5" t="inlineStr">
        <is>
          <t>No sabe; no responde</t>
        </is>
      </c>
      <c r="E2212" s="6" t="n">
        <v>0.107</v>
      </c>
      <c r="F2212" s="7" t="n">
        <v>1000</v>
      </c>
    </row>
    <row r="2213">
      <c r="A2213" s="5" t="inlineStr">
        <is>
          <t>Grupos poderosos</t>
        </is>
      </c>
      <c r="B2213" s="5" t="inlineStr">
        <is>
          <t>El Salvador</t>
        </is>
      </c>
      <c r="C2213" s="5" t="n">
        <v>2010</v>
      </c>
      <c r="D2213" s="5" t="inlineStr">
        <is>
          <t>Grupos poderosos en su propio beneficio</t>
        </is>
      </c>
      <c r="E2213" s="6" t="n">
        <v>0.7190000000000001</v>
      </c>
      <c r="F2213" s="7" t="n">
        <v>1000</v>
      </c>
    </row>
    <row r="2214">
      <c r="A2214" s="5" t="inlineStr">
        <is>
          <t>Grupos poderosos</t>
        </is>
      </c>
      <c r="B2214" s="5" t="inlineStr">
        <is>
          <t>El Salvador</t>
        </is>
      </c>
      <c r="C2214" s="5" t="n">
        <v>2010</v>
      </c>
      <c r="D2214" s="5" t="inlineStr">
        <is>
          <t>Para el bien de todo el pueblo</t>
        </is>
      </c>
      <c r="E2214" s="6" t="n">
        <v>0.209</v>
      </c>
      <c r="F2214" s="7" t="n">
        <v>1000</v>
      </c>
    </row>
    <row r="2215">
      <c r="A2215" s="5" t="inlineStr">
        <is>
          <t>Grupos poderosos</t>
        </is>
      </c>
      <c r="B2215" s="5" t="inlineStr">
        <is>
          <t>El Salvador</t>
        </is>
      </c>
      <c r="C2215" s="5" t="n">
        <v>2010</v>
      </c>
      <c r="D2215" s="5" t="inlineStr">
        <is>
          <t>No sabe; no responde</t>
        </is>
      </c>
      <c r="E2215" s="6" t="n">
        <v>0.07099999999999999</v>
      </c>
      <c r="F2215" s="7" t="n">
        <v>1000</v>
      </c>
    </row>
    <row r="2216">
      <c r="A2216" s="5" t="inlineStr">
        <is>
          <t>Grupos poderosos</t>
        </is>
      </c>
      <c r="B2216" s="5" t="inlineStr">
        <is>
          <t>El Salvador</t>
        </is>
      </c>
      <c r="C2216" s="5" t="n">
        <v>2011</v>
      </c>
      <c r="D2216" s="5" t="inlineStr">
        <is>
          <t>Grupos poderosos en su propio beneficio</t>
        </is>
      </c>
      <c r="E2216" s="6" t="n">
        <v>0.727</v>
      </c>
      <c r="F2216" s="7" t="n">
        <v>1000</v>
      </c>
    </row>
    <row r="2217">
      <c r="A2217" s="5" t="inlineStr">
        <is>
          <t>Grupos poderosos</t>
        </is>
      </c>
      <c r="B2217" s="5" t="inlineStr">
        <is>
          <t>El Salvador</t>
        </is>
      </c>
      <c r="C2217" s="5" t="n">
        <v>2011</v>
      </c>
      <c r="D2217" s="5" t="inlineStr">
        <is>
          <t>Para el bien de todo el pueblo</t>
        </is>
      </c>
      <c r="E2217" s="6" t="n">
        <v>0.246</v>
      </c>
      <c r="F2217" s="7" t="n">
        <v>1000</v>
      </c>
    </row>
    <row r="2218">
      <c r="A2218" s="5" t="inlineStr">
        <is>
          <t>Grupos poderosos</t>
        </is>
      </c>
      <c r="B2218" s="5" t="inlineStr">
        <is>
          <t>El Salvador</t>
        </is>
      </c>
      <c r="C2218" s="5" t="n">
        <v>2011</v>
      </c>
      <c r="D2218" s="5" t="inlineStr">
        <is>
          <t>No sabe; no responde</t>
        </is>
      </c>
      <c r="E2218" s="6" t="n">
        <v>0.027</v>
      </c>
      <c r="F2218" s="7" t="n">
        <v>1000</v>
      </c>
    </row>
    <row r="2219">
      <c r="A2219" s="5" t="inlineStr">
        <is>
          <t>Grupos poderosos</t>
        </is>
      </c>
      <c r="B2219" s="5" t="inlineStr">
        <is>
          <t>El Salvador</t>
        </is>
      </c>
      <c r="C2219" s="5" t="n">
        <v>2016</v>
      </c>
      <c r="D2219" s="5" t="inlineStr">
        <is>
          <t>Grupos poderosos en su propio beneficio</t>
        </is>
      </c>
      <c r="E2219" s="6" t="n">
        <v>0.6899999999999999</v>
      </c>
      <c r="F2219" s="7" t="n">
        <v>1000</v>
      </c>
    </row>
    <row r="2220">
      <c r="A2220" s="5" t="inlineStr">
        <is>
          <t>Grupos poderosos</t>
        </is>
      </c>
      <c r="B2220" s="5" t="inlineStr">
        <is>
          <t>El Salvador</t>
        </is>
      </c>
      <c r="C2220" s="5" t="n">
        <v>2016</v>
      </c>
      <c r="D2220" s="5" t="inlineStr">
        <is>
          <t>Para el bien de todo el pueblo</t>
        </is>
      </c>
      <c r="E2220" s="6" t="n">
        <v>0.214</v>
      </c>
      <c r="F2220" s="7" t="n">
        <v>1000</v>
      </c>
    </row>
    <row r="2221">
      <c r="A2221" s="5" t="inlineStr">
        <is>
          <t>Grupos poderosos</t>
        </is>
      </c>
      <c r="B2221" s="5" t="inlineStr">
        <is>
          <t>El Salvador</t>
        </is>
      </c>
      <c r="C2221" s="5" t="n">
        <v>2016</v>
      </c>
      <c r="D2221" s="5" t="inlineStr">
        <is>
          <t>No sabe; no responde</t>
        </is>
      </c>
      <c r="E2221" s="6" t="n">
        <v>0.09699999999999999</v>
      </c>
      <c r="F2221" s="7" t="n">
        <v>1000</v>
      </c>
    </row>
    <row r="2222">
      <c r="A2222" s="5" t="inlineStr">
        <is>
          <t>Grupos poderosos</t>
        </is>
      </c>
      <c r="B2222" s="5" t="inlineStr">
        <is>
          <t>El Salvador</t>
        </is>
      </c>
      <c r="C2222" s="5" t="n">
        <v>2017</v>
      </c>
      <c r="D2222" s="5" t="inlineStr">
        <is>
          <t>Grupos poderosos en su propio beneficio</t>
        </is>
      </c>
      <c r="E2222" s="6" t="n">
        <v>0.847</v>
      </c>
      <c r="F2222" s="7" t="n">
        <v>1000</v>
      </c>
    </row>
    <row r="2223">
      <c r="A2223" s="5" t="inlineStr">
        <is>
          <t>Grupos poderosos</t>
        </is>
      </c>
      <c r="B2223" s="5" t="inlineStr">
        <is>
          <t>El Salvador</t>
        </is>
      </c>
      <c r="C2223" s="5" t="n">
        <v>2017</v>
      </c>
      <c r="D2223" s="5" t="inlineStr">
        <is>
          <t>Para el bien de todo el pueblo</t>
        </is>
      </c>
      <c r="E2223" s="6" t="n">
        <v>0.118</v>
      </c>
      <c r="F2223" s="7" t="n">
        <v>1000</v>
      </c>
    </row>
    <row r="2224">
      <c r="A2224" s="5" t="inlineStr">
        <is>
          <t>Grupos poderosos</t>
        </is>
      </c>
      <c r="B2224" s="5" t="inlineStr">
        <is>
          <t>El Salvador</t>
        </is>
      </c>
      <c r="C2224" s="5" t="n">
        <v>2017</v>
      </c>
      <c r="D2224" s="5" t="inlineStr">
        <is>
          <t>No sabe; no responde</t>
        </is>
      </c>
      <c r="E2224" s="6" t="n">
        <v>0.035</v>
      </c>
      <c r="F2224" s="7" t="n">
        <v>1000</v>
      </c>
    </row>
    <row r="2225">
      <c r="A2225" s="5" t="inlineStr">
        <is>
          <t>Grupos poderosos</t>
        </is>
      </c>
      <c r="B2225" s="5" t="inlineStr">
        <is>
          <t>El Salvador</t>
        </is>
      </c>
      <c r="C2225" s="5" t="n">
        <v>2018</v>
      </c>
      <c r="D2225" s="5" t="inlineStr">
        <is>
          <t>Grupos poderosos en su propio beneficio</t>
        </is>
      </c>
      <c r="E2225" s="6" t="n">
        <v>0.858</v>
      </c>
      <c r="F2225" s="7" t="n">
        <v>1000</v>
      </c>
    </row>
    <row r="2226">
      <c r="A2226" s="5" t="inlineStr">
        <is>
          <t>Grupos poderosos</t>
        </is>
      </c>
      <c r="B2226" s="5" t="inlineStr">
        <is>
          <t>El Salvador</t>
        </is>
      </c>
      <c r="C2226" s="5" t="n">
        <v>2018</v>
      </c>
      <c r="D2226" s="5" t="inlineStr">
        <is>
          <t>Para el bien de todo el pueblo</t>
        </is>
      </c>
      <c r="E2226" s="6" t="n">
        <v>0.106</v>
      </c>
      <c r="F2226" s="7" t="n">
        <v>1000</v>
      </c>
    </row>
    <row r="2227">
      <c r="A2227" s="5" t="inlineStr">
        <is>
          <t>Grupos poderosos</t>
        </is>
      </c>
      <c r="B2227" s="5" t="inlineStr">
        <is>
          <t>El Salvador</t>
        </is>
      </c>
      <c r="C2227" s="5" t="n">
        <v>2018</v>
      </c>
      <c r="D2227" s="5" t="inlineStr">
        <is>
          <t>No sabe; no responde</t>
        </is>
      </c>
      <c r="E2227" s="6" t="n">
        <v>0.036</v>
      </c>
      <c r="F2227" s="7" t="n">
        <v>1000</v>
      </c>
    </row>
    <row r="2228">
      <c r="A2228" s="5" t="inlineStr">
        <is>
          <t>Grupos poderosos</t>
        </is>
      </c>
      <c r="B2228" s="5" t="inlineStr">
        <is>
          <t>El Salvador</t>
        </is>
      </c>
      <c r="C2228" s="5" t="n">
        <v>2020</v>
      </c>
      <c r="D2228" s="5" t="inlineStr">
        <is>
          <t>Grupos poderosos en su propio beneficio</t>
        </is>
      </c>
      <c r="E2228" s="6" t="n">
        <v>0.433</v>
      </c>
      <c r="F2228" s="7" t="n">
        <v>1000</v>
      </c>
    </row>
    <row r="2229">
      <c r="A2229" s="5" t="inlineStr">
        <is>
          <t>Grupos poderosos</t>
        </is>
      </c>
      <c r="B2229" s="5" t="inlineStr">
        <is>
          <t>El Salvador</t>
        </is>
      </c>
      <c r="C2229" s="5" t="n">
        <v>2020</v>
      </c>
      <c r="D2229" s="5" t="inlineStr">
        <is>
          <t>Para el bien de todo el pueblo</t>
        </is>
      </c>
      <c r="E2229" s="6" t="n">
        <v>0.5</v>
      </c>
      <c r="F2229" s="7" t="n">
        <v>1000</v>
      </c>
    </row>
    <row r="2230">
      <c r="A2230" s="5" t="inlineStr">
        <is>
          <t>Grupos poderosos</t>
        </is>
      </c>
      <c r="B2230" s="5" t="inlineStr">
        <is>
          <t>El Salvador</t>
        </is>
      </c>
      <c r="C2230" s="5" t="n">
        <v>2020</v>
      </c>
      <c r="D2230" s="5" t="inlineStr">
        <is>
          <t>No sabe; no responde</t>
        </is>
      </c>
      <c r="E2230" s="6" t="n">
        <v>0.067</v>
      </c>
      <c r="F2230" s="7" t="n">
        <v>1000</v>
      </c>
    </row>
    <row r="2231">
      <c r="A2231" s="5" t="inlineStr">
        <is>
          <t>Grupos poderosos</t>
        </is>
      </c>
      <c r="B2231" s="5" t="inlineStr">
        <is>
          <t>El Salvador</t>
        </is>
      </c>
      <c r="C2231" s="5" t="n">
        <v>2024</v>
      </c>
      <c r="D2231" s="5" t="inlineStr">
        <is>
          <t>Grupos poderosos en su propio beneficio</t>
        </is>
      </c>
      <c r="E2231" s="6" t="n">
        <v>0.339</v>
      </c>
      <c r="F2231" s="7" t="n">
        <v>1000</v>
      </c>
    </row>
    <row r="2232">
      <c r="A2232" s="5" t="inlineStr">
        <is>
          <t>Grupos poderosos</t>
        </is>
      </c>
      <c r="B2232" s="5" t="inlineStr">
        <is>
          <t>El Salvador</t>
        </is>
      </c>
      <c r="C2232" s="5" t="n">
        <v>2024</v>
      </c>
      <c r="D2232" s="5" t="inlineStr">
        <is>
          <t>Para el bien de todo el pueblo</t>
        </is>
      </c>
      <c r="E2232" s="6" t="n">
        <v>0.618</v>
      </c>
      <c r="F2232" s="7" t="n">
        <v>1000</v>
      </c>
    </row>
    <row r="2233">
      <c r="A2233" s="5" t="inlineStr">
        <is>
          <t>Grupos poderosos</t>
        </is>
      </c>
      <c r="B2233" s="5" t="inlineStr">
        <is>
          <t>El Salvador</t>
        </is>
      </c>
      <c r="C2233" s="5" t="n">
        <v>2024</v>
      </c>
      <c r="D2233" s="5" t="inlineStr">
        <is>
          <t>No sabe; no responde</t>
        </is>
      </c>
      <c r="E2233" s="6" t="n">
        <v>0.043</v>
      </c>
      <c r="F2233" s="7" t="n">
        <v>1000</v>
      </c>
    </row>
    <row r="2234">
      <c r="A2234" s="5" t="inlineStr">
        <is>
          <t>Grupos poderosos</t>
        </is>
      </c>
      <c r="B2234" s="5" t="inlineStr">
        <is>
          <t>Guatemala</t>
        </is>
      </c>
      <c r="C2234" s="5" t="n">
        <v>2004</v>
      </c>
      <c r="D2234" s="5" t="inlineStr">
        <is>
          <t>Grupos poderosos en su propio beneficio</t>
        </is>
      </c>
      <c r="E2234" s="6" t="n">
        <v>0.644</v>
      </c>
      <c r="F2234" s="7" t="n">
        <v>1000</v>
      </c>
    </row>
    <row r="2235">
      <c r="A2235" s="5" t="inlineStr">
        <is>
          <t>Grupos poderosos</t>
        </is>
      </c>
      <c r="B2235" s="5" t="inlineStr">
        <is>
          <t>Guatemala</t>
        </is>
      </c>
      <c r="C2235" s="5" t="n">
        <v>2004</v>
      </c>
      <c r="D2235" s="5" t="inlineStr">
        <is>
          <t>Para el bien de todo el pueblo</t>
        </is>
      </c>
      <c r="E2235" s="6" t="n">
        <v>0.271</v>
      </c>
      <c r="F2235" s="7" t="n">
        <v>1000</v>
      </c>
    </row>
    <row r="2236">
      <c r="A2236" s="5" t="inlineStr">
        <is>
          <t>Grupos poderosos</t>
        </is>
      </c>
      <c r="B2236" s="5" t="inlineStr">
        <is>
          <t>Guatemala</t>
        </is>
      </c>
      <c r="C2236" s="5" t="n">
        <v>2004</v>
      </c>
      <c r="D2236" s="5" t="inlineStr">
        <is>
          <t>No sabe; no responde</t>
        </is>
      </c>
      <c r="E2236" s="6" t="n">
        <v>0.08599999999999999</v>
      </c>
      <c r="F2236" s="7" t="n">
        <v>1000</v>
      </c>
    </row>
    <row r="2237">
      <c r="A2237" s="5" t="inlineStr">
        <is>
          <t>Grupos poderosos</t>
        </is>
      </c>
      <c r="B2237" s="5" t="inlineStr">
        <is>
          <t>Guatemala</t>
        </is>
      </c>
      <c r="C2237" s="5" t="n">
        <v>2005</v>
      </c>
      <c r="D2237" s="5" t="inlineStr">
        <is>
          <t>Grupos poderosos en su propio beneficio</t>
        </is>
      </c>
      <c r="E2237" s="6" t="n">
        <v>0.745</v>
      </c>
      <c r="F2237" s="7" t="n">
        <v>1000</v>
      </c>
    </row>
    <row r="2238">
      <c r="A2238" s="5" t="inlineStr">
        <is>
          <t>Grupos poderosos</t>
        </is>
      </c>
      <c r="B2238" s="5" t="inlineStr">
        <is>
          <t>Guatemala</t>
        </is>
      </c>
      <c r="C2238" s="5" t="n">
        <v>2005</v>
      </c>
      <c r="D2238" s="5" t="inlineStr">
        <is>
          <t>Para el bien de todo el pueblo</t>
        </is>
      </c>
      <c r="E2238" s="6" t="n">
        <v>0.223</v>
      </c>
      <c r="F2238" s="7" t="n">
        <v>1000</v>
      </c>
    </row>
    <row r="2239">
      <c r="A2239" s="5" t="inlineStr">
        <is>
          <t>Grupos poderosos</t>
        </is>
      </c>
      <c r="B2239" s="5" t="inlineStr">
        <is>
          <t>Guatemala</t>
        </is>
      </c>
      <c r="C2239" s="5" t="n">
        <v>2005</v>
      </c>
      <c r="D2239" s="5" t="inlineStr">
        <is>
          <t>No sabe; no responde</t>
        </is>
      </c>
      <c r="E2239" s="6" t="n">
        <v>0.033</v>
      </c>
      <c r="F2239" s="7" t="n">
        <v>1000</v>
      </c>
    </row>
    <row r="2240">
      <c r="A2240" s="5" t="inlineStr">
        <is>
          <t>Grupos poderosos</t>
        </is>
      </c>
      <c r="B2240" s="5" t="inlineStr">
        <is>
          <t>Guatemala</t>
        </is>
      </c>
      <c r="C2240" s="5" t="n">
        <v>2006</v>
      </c>
      <c r="D2240" s="5" t="inlineStr">
        <is>
          <t>Grupos poderosos en su propio beneficio</t>
        </is>
      </c>
      <c r="E2240" s="6" t="n">
        <v>0.767</v>
      </c>
      <c r="F2240" s="7" t="n">
        <v>1000</v>
      </c>
    </row>
    <row r="2241">
      <c r="A2241" s="5" t="inlineStr">
        <is>
          <t>Grupos poderosos</t>
        </is>
      </c>
      <c r="B2241" s="5" t="inlineStr">
        <is>
          <t>Guatemala</t>
        </is>
      </c>
      <c r="C2241" s="5" t="n">
        <v>2006</v>
      </c>
      <c r="D2241" s="5" t="inlineStr">
        <is>
          <t>Para el bien de todo el pueblo</t>
        </is>
      </c>
      <c r="E2241" s="6" t="n">
        <v>0.186</v>
      </c>
      <c r="F2241" s="7" t="n">
        <v>1000</v>
      </c>
    </row>
    <row r="2242">
      <c r="A2242" s="5" t="inlineStr">
        <is>
          <t>Grupos poderosos</t>
        </is>
      </c>
      <c r="B2242" s="5" t="inlineStr">
        <is>
          <t>Guatemala</t>
        </is>
      </c>
      <c r="C2242" s="5" t="n">
        <v>2006</v>
      </c>
      <c r="D2242" s="5" t="inlineStr">
        <is>
          <t>No sabe; no responde</t>
        </is>
      </c>
      <c r="E2242" s="6" t="n">
        <v>0.047</v>
      </c>
      <c r="F2242" s="7" t="n">
        <v>1000</v>
      </c>
    </row>
    <row r="2243">
      <c r="A2243" s="5" t="inlineStr">
        <is>
          <t>Grupos poderosos</t>
        </is>
      </c>
      <c r="B2243" s="5" t="inlineStr">
        <is>
          <t>Guatemala</t>
        </is>
      </c>
      <c r="C2243" s="5" t="n">
        <v>2007</v>
      </c>
      <c r="D2243" s="5" t="inlineStr">
        <is>
          <t>Grupos poderosos en su propio beneficio</t>
        </is>
      </c>
      <c r="E2243" s="6" t="n">
        <v>0.778</v>
      </c>
      <c r="F2243" s="7" t="n">
        <v>1000</v>
      </c>
    </row>
    <row r="2244">
      <c r="A2244" s="5" t="inlineStr">
        <is>
          <t>Grupos poderosos</t>
        </is>
      </c>
      <c r="B2244" s="5" t="inlineStr">
        <is>
          <t>Guatemala</t>
        </is>
      </c>
      <c r="C2244" s="5" t="n">
        <v>2007</v>
      </c>
      <c r="D2244" s="5" t="inlineStr">
        <is>
          <t>Para el bien de todo el pueblo</t>
        </is>
      </c>
      <c r="E2244" s="6" t="n">
        <v>0.186</v>
      </c>
      <c r="F2244" s="7" t="n">
        <v>1000</v>
      </c>
    </row>
    <row r="2245">
      <c r="A2245" s="5" t="inlineStr">
        <is>
          <t>Grupos poderosos</t>
        </is>
      </c>
      <c r="B2245" s="5" t="inlineStr">
        <is>
          <t>Guatemala</t>
        </is>
      </c>
      <c r="C2245" s="5" t="n">
        <v>2007</v>
      </c>
      <c r="D2245" s="5" t="inlineStr">
        <is>
          <t>No sabe; no responde</t>
        </is>
      </c>
      <c r="E2245" s="6" t="n">
        <v>0.036</v>
      </c>
      <c r="F2245" s="7" t="n">
        <v>1000</v>
      </c>
    </row>
    <row r="2246">
      <c r="A2246" s="5" t="inlineStr">
        <is>
          <t>Grupos poderosos</t>
        </is>
      </c>
      <c r="B2246" s="5" t="inlineStr">
        <is>
          <t>Guatemala</t>
        </is>
      </c>
      <c r="C2246" s="5" t="n">
        <v>2008</v>
      </c>
      <c r="D2246" s="5" t="inlineStr">
        <is>
          <t>Grupos poderosos en su propio beneficio</t>
        </is>
      </c>
      <c r="E2246" s="6" t="n">
        <v>0.6870000000000001</v>
      </c>
      <c r="F2246" s="7" t="n">
        <v>1000</v>
      </c>
    </row>
    <row r="2247">
      <c r="A2247" s="5" t="inlineStr">
        <is>
          <t>Grupos poderosos</t>
        </is>
      </c>
      <c r="B2247" s="5" t="inlineStr">
        <is>
          <t>Guatemala</t>
        </is>
      </c>
      <c r="C2247" s="5" t="n">
        <v>2008</v>
      </c>
      <c r="D2247" s="5" t="inlineStr">
        <is>
          <t>Para el bien de todo el pueblo</t>
        </is>
      </c>
      <c r="E2247" s="6" t="n">
        <v>0.232</v>
      </c>
      <c r="F2247" s="7" t="n">
        <v>1000</v>
      </c>
    </row>
    <row r="2248">
      <c r="A2248" s="5" t="inlineStr">
        <is>
          <t>Grupos poderosos</t>
        </is>
      </c>
      <c r="B2248" s="5" t="inlineStr">
        <is>
          <t>Guatemala</t>
        </is>
      </c>
      <c r="C2248" s="5" t="n">
        <v>2008</v>
      </c>
      <c r="D2248" s="5" t="inlineStr">
        <is>
          <t>No sabe; no responde</t>
        </is>
      </c>
      <c r="E2248" s="6" t="n">
        <v>0.081</v>
      </c>
      <c r="F2248" s="7" t="n">
        <v>1000</v>
      </c>
    </row>
    <row r="2249">
      <c r="A2249" s="5" t="inlineStr">
        <is>
          <t>Grupos poderosos</t>
        </is>
      </c>
      <c r="B2249" s="5" t="inlineStr">
        <is>
          <t>Guatemala</t>
        </is>
      </c>
      <c r="C2249" s="5" t="n">
        <v>2009</v>
      </c>
      <c r="D2249" s="5" t="inlineStr">
        <is>
          <t>Grupos poderosos en su propio beneficio</t>
        </is>
      </c>
      <c r="E2249" s="6" t="n">
        <v>0.71</v>
      </c>
      <c r="F2249" s="7" t="n">
        <v>1000</v>
      </c>
    </row>
    <row r="2250">
      <c r="A2250" s="5" t="inlineStr">
        <is>
          <t>Grupos poderosos</t>
        </is>
      </c>
      <c r="B2250" s="5" t="inlineStr">
        <is>
          <t>Guatemala</t>
        </is>
      </c>
      <c r="C2250" s="5" t="n">
        <v>2009</v>
      </c>
      <c r="D2250" s="5" t="inlineStr">
        <is>
          <t>Para el bien de todo el pueblo</t>
        </is>
      </c>
      <c r="E2250" s="6" t="n">
        <v>0.232</v>
      </c>
      <c r="F2250" s="7" t="n">
        <v>1000</v>
      </c>
    </row>
    <row r="2251">
      <c r="A2251" s="5" t="inlineStr">
        <is>
          <t>Grupos poderosos</t>
        </is>
      </c>
      <c r="B2251" s="5" t="inlineStr">
        <is>
          <t>Guatemala</t>
        </is>
      </c>
      <c r="C2251" s="5" t="n">
        <v>2009</v>
      </c>
      <c r="D2251" s="5" t="inlineStr">
        <is>
          <t>No sabe; no responde</t>
        </is>
      </c>
      <c r="E2251" s="6" t="n">
        <v>0.058</v>
      </c>
      <c r="F2251" s="7" t="n">
        <v>1000</v>
      </c>
    </row>
    <row r="2252">
      <c r="A2252" s="5" t="inlineStr">
        <is>
          <t>Grupos poderosos</t>
        </is>
      </c>
      <c r="B2252" s="5" t="inlineStr">
        <is>
          <t>Guatemala</t>
        </is>
      </c>
      <c r="C2252" s="5" t="n">
        <v>2010</v>
      </c>
      <c r="D2252" s="5" t="inlineStr">
        <is>
          <t>Grupos poderosos en su propio beneficio</t>
        </is>
      </c>
      <c r="E2252" s="6" t="n">
        <v>0.6759999999999999</v>
      </c>
      <c r="F2252" s="7" t="n">
        <v>1000</v>
      </c>
    </row>
    <row r="2253">
      <c r="A2253" s="5" t="inlineStr">
        <is>
          <t>Grupos poderosos</t>
        </is>
      </c>
      <c r="B2253" s="5" t="inlineStr">
        <is>
          <t>Guatemala</t>
        </is>
      </c>
      <c r="C2253" s="5" t="n">
        <v>2010</v>
      </c>
      <c r="D2253" s="5" t="inlineStr">
        <is>
          <t>Para el bien de todo el pueblo</t>
        </is>
      </c>
      <c r="E2253" s="6" t="n">
        <v>0.267</v>
      </c>
      <c r="F2253" s="7" t="n">
        <v>1000</v>
      </c>
    </row>
    <row r="2254">
      <c r="A2254" s="5" t="inlineStr">
        <is>
          <t>Grupos poderosos</t>
        </is>
      </c>
      <c r="B2254" s="5" t="inlineStr">
        <is>
          <t>Guatemala</t>
        </is>
      </c>
      <c r="C2254" s="5" t="n">
        <v>2010</v>
      </c>
      <c r="D2254" s="5" t="inlineStr">
        <is>
          <t>No sabe; no responde</t>
        </is>
      </c>
      <c r="E2254" s="6" t="n">
        <v>0.05599999999999999</v>
      </c>
      <c r="F2254" s="7" t="n">
        <v>1000</v>
      </c>
    </row>
    <row r="2255">
      <c r="A2255" s="5" t="inlineStr">
        <is>
          <t>Grupos poderosos</t>
        </is>
      </c>
      <c r="B2255" s="5" t="inlineStr">
        <is>
          <t>Guatemala</t>
        </is>
      </c>
      <c r="C2255" s="5" t="n">
        <v>2011</v>
      </c>
      <c r="D2255" s="5" t="inlineStr">
        <is>
          <t>Grupos poderosos en su propio beneficio</t>
        </is>
      </c>
      <c r="E2255" s="6" t="n">
        <v>0.7120000000000001</v>
      </c>
      <c r="F2255" s="7" t="n">
        <v>1000</v>
      </c>
    </row>
    <row r="2256">
      <c r="A2256" s="5" t="inlineStr">
        <is>
          <t>Grupos poderosos</t>
        </is>
      </c>
      <c r="B2256" s="5" t="inlineStr">
        <is>
          <t>Guatemala</t>
        </is>
      </c>
      <c r="C2256" s="5" t="n">
        <v>2011</v>
      </c>
      <c r="D2256" s="5" t="inlineStr">
        <is>
          <t>Para el bien de todo el pueblo</t>
        </is>
      </c>
      <c r="E2256" s="6" t="n">
        <v>0.231</v>
      </c>
      <c r="F2256" s="7" t="n">
        <v>1000</v>
      </c>
    </row>
    <row r="2257">
      <c r="A2257" s="5" t="inlineStr">
        <is>
          <t>Grupos poderosos</t>
        </is>
      </c>
      <c r="B2257" s="5" t="inlineStr">
        <is>
          <t>Guatemala</t>
        </is>
      </c>
      <c r="C2257" s="5" t="n">
        <v>2011</v>
      </c>
      <c r="D2257" s="5" t="inlineStr">
        <is>
          <t>No sabe; no responde</t>
        </is>
      </c>
      <c r="E2257" s="6" t="n">
        <v>0.057</v>
      </c>
      <c r="F2257" s="7" t="n">
        <v>1000</v>
      </c>
    </row>
    <row r="2258">
      <c r="A2258" s="5" t="inlineStr">
        <is>
          <t>Grupos poderosos</t>
        </is>
      </c>
      <c r="B2258" s="5" t="inlineStr">
        <is>
          <t>Guatemala</t>
        </is>
      </c>
      <c r="C2258" s="5" t="n">
        <v>2016</v>
      </c>
      <c r="D2258" s="5" t="inlineStr">
        <is>
          <t>Grupos poderosos en su propio beneficio</t>
        </is>
      </c>
      <c r="E2258" s="6" t="n">
        <v>0.59</v>
      </c>
      <c r="F2258" s="7" t="n">
        <v>1000</v>
      </c>
    </row>
    <row r="2259">
      <c r="A2259" s="5" t="inlineStr">
        <is>
          <t>Grupos poderosos</t>
        </is>
      </c>
      <c r="B2259" s="5" t="inlineStr">
        <is>
          <t>Guatemala</t>
        </is>
      </c>
      <c r="C2259" s="5" t="n">
        <v>2016</v>
      </c>
      <c r="D2259" s="5" t="inlineStr">
        <is>
          <t>Para el bien de todo el pueblo</t>
        </is>
      </c>
      <c r="E2259" s="6" t="n">
        <v>0.31</v>
      </c>
      <c r="F2259" s="7" t="n">
        <v>1000</v>
      </c>
    </row>
    <row r="2260">
      <c r="A2260" s="5" t="inlineStr">
        <is>
          <t>Grupos poderosos</t>
        </is>
      </c>
      <c r="B2260" s="5" t="inlineStr">
        <is>
          <t>Guatemala</t>
        </is>
      </c>
      <c r="C2260" s="5" t="n">
        <v>2016</v>
      </c>
      <c r="D2260" s="5" t="inlineStr">
        <is>
          <t>No sabe; no responde</t>
        </is>
      </c>
      <c r="E2260" s="6" t="n">
        <v>0.1</v>
      </c>
      <c r="F2260" s="7" t="n">
        <v>1000</v>
      </c>
    </row>
    <row r="2261">
      <c r="A2261" s="5" t="inlineStr">
        <is>
          <t>Grupos poderosos</t>
        </is>
      </c>
      <c r="B2261" s="5" t="inlineStr">
        <is>
          <t>Guatemala</t>
        </is>
      </c>
      <c r="C2261" s="5" t="n">
        <v>2017</v>
      </c>
      <c r="D2261" s="5" t="inlineStr">
        <is>
          <t>Grupos poderosos en su propio beneficio</t>
        </is>
      </c>
      <c r="E2261" s="6" t="n">
        <v>0.638</v>
      </c>
      <c r="F2261" s="7" t="n">
        <v>1000</v>
      </c>
    </row>
    <row r="2262">
      <c r="A2262" s="5" t="inlineStr">
        <is>
          <t>Grupos poderosos</t>
        </is>
      </c>
      <c r="B2262" s="5" t="inlineStr">
        <is>
          <t>Guatemala</t>
        </is>
      </c>
      <c r="C2262" s="5" t="n">
        <v>2017</v>
      </c>
      <c r="D2262" s="5" t="inlineStr">
        <is>
          <t>Para el bien de todo el pueblo</t>
        </is>
      </c>
      <c r="E2262" s="6" t="n">
        <v>0.287</v>
      </c>
      <c r="F2262" s="7" t="n">
        <v>1000</v>
      </c>
    </row>
    <row r="2263">
      <c r="A2263" s="5" t="inlineStr">
        <is>
          <t>Grupos poderosos</t>
        </is>
      </c>
      <c r="B2263" s="5" t="inlineStr">
        <is>
          <t>Guatemala</t>
        </is>
      </c>
      <c r="C2263" s="5" t="n">
        <v>2017</v>
      </c>
      <c r="D2263" s="5" t="inlineStr">
        <is>
          <t>No sabe; no responde</t>
        </is>
      </c>
      <c r="E2263" s="6" t="n">
        <v>0.075</v>
      </c>
      <c r="F2263" s="7" t="n">
        <v>1000</v>
      </c>
    </row>
    <row r="2264">
      <c r="A2264" s="5" t="inlineStr">
        <is>
          <t>Grupos poderosos</t>
        </is>
      </c>
      <c r="B2264" s="5" t="inlineStr">
        <is>
          <t>Guatemala</t>
        </is>
      </c>
      <c r="C2264" s="5" t="n">
        <v>2018</v>
      </c>
      <c r="D2264" s="5" t="inlineStr">
        <is>
          <t>Grupos poderosos en su propio beneficio</t>
        </is>
      </c>
      <c r="E2264" s="6" t="n">
        <v>0.703</v>
      </c>
      <c r="F2264" s="7" t="n">
        <v>1000</v>
      </c>
    </row>
    <row r="2265">
      <c r="A2265" s="5" t="inlineStr">
        <is>
          <t>Grupos poderosos</t>
        </is>
      </c>
      <c r="B2265" s="5" t="inlineStr">
        <is>
          <t>Guatemala</t>
        </is>
      </c>
      <c r="C2265" s="5" t="n">
        <v>2018</v>
      </c>
      <c r="D2265" s="5" t="inlineStr">
        <is>
          <t>Para el bien de todo el pueblo</t>
        </is>
      </c>
      <c r="E2265" s="6" t="n">
        <v>0.215</v>
      </c>
      <c r="F2265" s="7" t="n">
        <v>1000</v>
      </c>
    </row>
    <row r="2266">
      <c r="A2266" s="5" t="inlineStr">
        <is>
          <t>Grupos poderosos</t>
        </is>
      </c>
      <c r="B2266" s="5" t="inlineStr">
        <is>
          <t>Guatemala</t>
        </is>
      </c>
      <c r="C2266" s="5" t="n">
        <v>2018</v>
      </c>
      <c r="D2266" s="5" t="inlineStr">
        <is>
          <t>No sabe; no responde</t>
        </is>
      </c>
      <c r="E2266" s="6" t="n">
        <v>0.08199999999999999</v>
      </c>
      <c r="F2266" s="7" t="n">
        <v>1000</v>
      </c>
    </row>
    <row r="2267">
      <c r="A2267" s="5" t="inlineStr">
        <is>
          <t>Grupos poderosos</t>
        </is>
      </c>
      <c r="B2267" s="5" t="inlineStr">
        <is>
          <t>Guatemala</t>
        </is>
      </c>
      <c r="C2267" s="5" t="n">
        <v>2020</v>
      </c>
      <c r="D2267" s="5" t="inlineStr">
        <is>
          <t>Grupos poderosos en su propio beneficio</t>
        </is>
      </c>
      <c r="E2267" s="6" t="n">
        <v>0.655</v>
      </c>
      <c r="F2267" s="7" t="n">
        <v>1000</v>
      </c>
    </row>
    <row r="2268">
      <c r="A2268" s="5" t="inlineStr">
        <is>
          <t>Grupos poderosos</t>
        </is>
      </c>
      <c r="B2268" s="5" t="inlineStr">
        <is>
          <t>Guatemala</t>
        </is>
      </c>
      <c r="C2268" s="5" t="n">
        <v>2020</v>
      </c>
      <c r="D2268" s="5" t="inlineStr">
        <is>
          <t>Para el bien de todo el pueblo</t>
        </is>
      </c>
      <c r="E2268" s="6" t="n">
        <v>0.253</v>
      </c>
      <c r="F2268" s="7" t="n">
        <v>1000</v>
      </c>
    </row>
    <row r="2269">
      <c r="A2269" s="5" t="inlineStr">
        <is>
          <t>Grupos poderosos</t>
        </is>
      </c>
      <c r="B2269" s="5" t="inlineStr">
        <is>
          <t>Guatemala</t>
        </is>
      </c>
      <c r="C2269" s="5" t="n">
        <v>2020</v>
      </c>
      <c r="D2269" s="5" t="inlineStr">
        <is>
          <t>No sabe; no responde</t>
        </is>
      </c>
      <c r="E2269" s="6" t="n">
        <v>0.092</v>
      </c>
      <c r="F2269" s="7" t="n">
        <v>1000</v>
      </c>
    </row>
    <row r="2270">
      <c r="A2270" s="5" t="inlineStr">
        <is>
          <t>Grupos poderosos</t>
        </is>
      </c>
      <c r="B2270" s="5" t="inlineStr">
        <is>
          <t>Guatemala</t>
        </is>
      </c>
      <c r="C2270" s="5" t="n">
        <v>2024</v>
      </c>
      <c r="D2270" s="5" t="inlineStr">
        <is>
          <t>Grupos poderosos en su propio beneficio</t>
        </is>
      </c>
      <c r="E2270" s="6" t="n">
        <v>0.672</v>
      </c>
      <c r="F2270" s="7" t="n">
        <v>1000</v>
      </c>
    </row>
    <row r="2271">
      <c r="A2271" s="5" t="inlineStr">
        <is>
          <t>Grupos poderosos</t>
        </is>
      </c>
      <c r="B2271" s="5" t="inlineStr">
        <is>
          <t>Guatemala</t>
        </is>
      </c>
      <c r="C2271" s="5" t="n">
        <v>2024</v>
      </c>
      <c r="D2271" s="5" t="inlineStr">
        <is>
          <t>Para el bien de todo el pueblo</t>
        </is>
      </c>
      <c r="E2271" s="6" t="n">
        <v>0.27</v>
      </c>
      <c r="F2271" s="7" t="n">
        <v>1000</v>
      </c>
    </row>
    <row r="2272">
      <c r="A2272" s="5" t="inlineStr">
        <is>
          <t>Grupos poderosos</t>
        </is>
      </c>
      <c r="B2272" s="5" t="inlineStr">
        <is>
          <t>Guatemala</t>
        </is>
      </c>
      <c r="C2272" s="5" t="n">
        <v>2024</v>
      </c>
      <c r="D2272" s="5" t="inlineStr">
        <is>
          <t>No sabe; no responde</t>
        </is>
      </c>
      <c r="E2272" s="6" t="n">
        <v>0.058</v>
      </c>
      <c r="F2272" s="7" t="n">
        <v>1000</v>
      </c>
    </row>
    <row r="2273">
      <c r="A2273" s="5" t="inlineStr">
        <is>
          <t>Grupos poderosos</t>
        </is>
      </c>
      <c r="B2273" s="5" t="inlineStr">
        <is>
          <t>Honduras</t>
        </is>
      </c>
      <c r="C2273" s="5" t="n">
        <v>2004</v>
      </c>
      <c r="D2273" s="5" t="inlineStr">
        <is>
          <t>Grupos poderosos en su propio beneficio</t>
        </is>
      </c>
      <c r="E2273" s="6" t="n">
        <v>0.66</v>
      </c>
      <c r="F2273" s="7" t="n">
        <v>1000</v>
      </c>
    </row>
    <row r="2274">
      <c r="A2274" s="5" t="inlineStr">
        <is>
          <t>Grupos poderosos</t>
        </is>
      </c>
      <c r="B2274" s="5" t="inlineStr">
        <is>
          <t>Honduras</t>
        </is>
      </c>
      <c r="C2274" s="5" t="n">
        <v>2004</v>
      </c>
      <c r="D2274" s="5" t="inlineStr">
        <is>
          <t>Para el bien de todo el pueblo</t>
        </is>
      </c>
      <c r="E2274" s="6" t="n">
        <v>0.287</v>
      </c>
      <c r="F2274" s="7" t="n">
        <v>1000</v>
      </c>
    </row>
    <row r="2275">
      <c r="A2275" s="5" t="inlineStr">
        <is>
          <t>Grupos poderosos</t>
        </is>
      </c>
      <c r="B2275" s="5" t="inlineStr">
        <is>
          <t>Honduras</t>
        </is>
      </c>
      <c r="C2275" s="5" t="n">
        <v>2004</v>
      </c>
      <c r="D2275" s="5" t="inlineStr">
        <is>
          <t>No sabe; no responde</t>
        </is>
      </c>
      <c r="E2275" s="6" t="n">
        <v>0.053</v>
      </c>
      <c r="F2275" s="7" t="n">
        <v>1000</v>
      </c>
    </row>
    <row r="2276">
      <c r="A2276" s="5" t="inlineStr">
        <is>
          <t>Grupos poderosos</t>
        </is>
      </c>
      <c r="B2276" s="5" t="inlineStr">
        <is>
          <t>Honduras</t>
        </is>
      </c>
      <c r="C2276" s="5" t="n">
        <v>2005</v>
      </c>
      <c r="D2276" s="5" t="inlineStr">
        <is>
          <t>Grupos poderosos en su propio beneficio</t>
        </is>
      </c>
      <c r="E2276" s="6" t="n">
        <v>0.7120000000000001</v>
      </c>
      <c r="F2276" s="7" t="n">
        <v>1000</v>
      </c>
    </row>
    <row r="2277">
      <c r="A2277" s="5" t="inlineStr">
        <is>
          <t>Grupos poderosos</t>
        </is>
      </c>
      <c r="B2277" s="5" t="inlineStr">
        <is>
          <t>Honduras</t>
        </is>
      </c>
      <c r="C2277" s="5" t="n">
        <v>2005</v>
      </c>
      <c r="D2277" s="5" t="inlineStr">
        <is>
          <t>Para el bien de todo el pueblo</t>
        </is>
      </c>
      <c r="E2277" s="6" t="n">
        <v>0.237</v>
      </c>
      <c r="F2277" s="7" t="n">
        <v>1000</v>
      </c>
    </row>
    <row r="2278">
      <c r="A2278" s="5" t="inlineStr">
        <is>
          <t>Grupos poderosos</t>
        </is>
      </c>
      <c r="B2278" s="5" t="inlineStr">
        <is>
          <t>Honduras</t>
        </is>
      </c>
      <c r="C2278" s="5" t="n">
        <v>2005</v>
      </c>
      <c r="D2278" s="5" t="inlineStr">
        <is>
          <t>No sabe; no responde</t>
        </is>
      </c>
      <c r="E2278" s="6" t="n">
        <v>0.051</v>
      </c>
      <c r="F2278" s="7" t="n">
        <v>1000</v>
      </c>
    </row>
    <row r="2279">
      <c r="A2279" s="5" t="inlineStr">
        <is>
          <t>Grupos poderosos</t>
        </is>
      </c>
      <c r="B2279" s="5" t="inlineStr">
        <is>
          <t>Honduras</t>
        </is>
      </c>
      <c r="C2279" s="5" t="n">
        <v>2006</v>
      </c>
      <c r="D2279" s="5" t="inlineStr">
        <is>
          <t>Grupos poderosos en su propio beneficio</t>
        </is>
      </c>
      <c r="E2279" s="6" t="n">
        <v>0.759</v>
      </c>
      <c r="F2279" s="7" t="n">
        <v>1000</v>
      </c>
    </row>
    <row r="2280">
      <c r="A2280" s="5" t="inlineStr">
        <is>
          <t>Grupos poderosos</t>
        </is>
      </c>
      <c r="B2280" s="5" t="inlineStr">
        <is>
          <t>Honduras</t>
        </is>
      </c>
      <c r="C2280" s="5" t="n">
        <v>2006</v>
      </c>
      <c r="D2280" s="5" t="inlineStr">
        <is>
          <t>Para el bien de todo el pueblo</t>
        </is>
      </c>
      <c r="E2280" s="6" t="n">
        <v>0.198</v>
      </c>
      <c r="F2280" s="7" t="n">
        <v>1000</v>
      </c>
    </row>
    <row r="2281">
      <c r="A2281" s="5" t="inlineStr">
        <is>
          <t>Grupos poderosos</t>
        </is>
      </c>
      <c r="B2281" s="5" t="inlineStr">
        <is>
          <t>Honduras</t>
        </is>
      </c>
      <c r="C2281" s="5" t="n">
        <v>2006</v>
      </c>
      <c r="D2281" s="5" t="inlineStr">
        <is>
          <t>No sabe; no responde</t>
        </is>
      </c>
      <c r="E2281" s="6" t="n">
        <v>0.043</v>
      </c>
      <c r="F2281" s="7" t="n">
        <v>1000</v>
      </c>
    </row>
    <row r="2282">
      <c r="A2282" s="5" t="inlineStr">
        <is>
          <t>Grupos poderosos</t>
        </is>
      </c>
      <c r="B2282" s="5" t="inlineStr">
        <is>
          <t>Honduras</t>
        </is>
      </c>
      <c r="C2282" s="5" t="n">
        <v>2007</v>
      </c>
      <c r="D2282" s="5" t="inlineStr">
        <is>
          <t>Grupos poderosos en su propio beneficio</t>
        </is>
      </c>
      <c r="E2282" s="6" t="n">
        <v>0.7809999999999999</v>
      </c>
      <c r="F2282" s="7" t="n">
        <v>1000</v>
      </c>
    </row>
    <row r="2283">
      <c r="A2283" s="5" t="inlineStr">
        <is>
          <t>Grupos poderosos</t>
        </is>
      </c>
      <c r="B2283" s="5" t="inlineStr">
        <is>
          <t>Honduras</t>
        </is>
      </c>
      <c r="C2283" s="5" t="n">
        <v>2007</v>
      </c>
      <c r="D2283" s="5" t="inlineStr">
        <is>
          <t>Para el bien de todo el pueblo</t>
        </is>
      </c>
      <c r="E2283" s="6" t="n">
        <v>0.171</v>
      </c>
      <c r="F2283" s="7" t="n">
        <v>1000</v>
      </c>
    </row>
    <row r="2284">
      <c r="A2284" s="5" t="inlineStr">
        <is>
          <t>Grupos poderosos</t>
        </is>
      </c>
      <c r="B2284" s="5" t="inlineStr">
        <is>
          <t>Honduras</t>
        </is>
      </c>
      <c r="C2284" s="5" t="n">
        <v>2007</v>
      </c>
      <c r="D2284" s="5" t="inlineStr">
        <is>
          <t>No sabe; no responde</t>
        </is>
      </c>
      <c r="E2284" s="6" t="n">
        <v>0.048</v>
      </c>
      <c r="F2284" s="7" t="n">
        <v>1000</v>
      </c>
    </row>
    <row r="2285">
      <c r="A2285" s="5" t="inlineStr">
        <is>
          <t>Grupos poderosos</t>
        </is>
      </c>
      <c r="B2285" s="5" t="inlineStr">
        <is>
          <t>Honduras</t>
        </is>
      </c>
      <c r="C2285" s="5" t="n">
        <v>2008</v>
      </c>
      <c r="D2285" s="5" t="inlineStr">
        <is>
          <t>Grupos poderosos en su propio beneficio</t>
        </is>
      </c>
      <c r="E2285" s="6" t="n">
        <v>0.8009999999999999</v>
      </c>
      <c r="F2285" s="7" t="n">
        <v>1000</v>
      </c>
    </row>
    <row r="2286">
      <c r="A2286" s="5" t="inlineStr">
        <is>
          <t>Grupos poderosos</t>
        </is>
      </c>
      <c r="B2286" s="5" t="inlineStr">
        <is>
          <t>Honduras</t>
        </is>
      </c>
      <c r="C2286" s="5" t="n">
        <v>2008</v>
      </c>
      <c r="D2286" s="5" t="inlineStr">
        <is>
          <t>Para el bien de todo el pueblo</t>
        </is>
      </c>
      <c r="E2286" s="6" t="n">
        <v>0.158</v>
      </c>
      <c r="F2286" s="7" t="n">
        <v>1000</v>
      </c>
    </row>
    <row r="2287">
      <c r="A2287" s="5" t="inlineStr">
        <is>
          <t>Grupos poderosos</t>
        </is>
      </c>
      <c r="B2287" s="5" t="inlineStr">
        <is>
          <t>Honduras</t>
        </is>
      </c>
      <c r="C2287" s="5" t="n">
        <v>2008</v>
      </c>
      <c r="D2287" s="5" t="inlineStr">
        <is>
          <t>No sabe; no responde</t>
        </is>
      </c>
      <c r="E2287" s="6" t="n">
        <v>0.04099999999999999</v>
      </c>
      <c r="F2287" s="7" t="n">
        <v>1000</v>
      </c>
    </row>
    <row r="2288">
      <c r="A2288" s="5" t="inlineStr">
        <is>
          <t>Grupos poderosos</t>
        </is>
      </c>
      <c r="B2288" s="5" t="inlineStr">
        <is>
          <t>Honduras</t>
        </is>
      </c>
      <c r="C2288" s="5" t="n">
        <v>2009</v>
      </c>
      <c r="D2288" s="5" t="inlineStr">
        <is>
          <t>Grupos poderosos en su propio beneficio</t>
        </is>
      </c>
      <c r="E2288" s="6" t="n">
        <v>0.7170000000000001</v>
      </c>
      <c r="F2288" s="7" t="n">
        <v>1000</v>
      </c>
    </row>
    <row r="2289">
      <c r="A2289" s="5" t="inlineStr">
        <is>
          <t>Grupos poderosos</t>
        </is>
      </c>
      <c r="B2289" s="5" t="inlineStr">
        <is>
          <t>Honduras</t>
        </is>
      </c>
      <c r="C2289" s="5" t="n">
        <v>2009</v>
      </c>
      <c r="D2289" s="5" t="inlineStr">
        <is>
          <t>Para el bien de todo el pueblo</t>
        </is>
      </c>
      <c r="E2289" s="6" t="n">
        <v>0.225</v>
      </c>
      <c r="F2289" s="7" t="n">
        <v>1000</v>
      </c>
    </row>
    <row r="2290">
      <c r="A2290" s="5" t="inlineStr">
        <is>
          <t>Grupos poderosos</t>
        </is>
      </c>
      <c r="B2290" s="5" t="inlineStr">
        <is>
          <t>Honduras</t>
        </is>
      </c>
      <c r="C2290" s="5" t="n">
        <v>2009</v>
      </c>
      <c r="D2290" s="5" t="inlineStr">
        <is>
          <t>No sabe; no responde</t>
        </is>
      </c>
      <c r="E2290" s="6" t="n">
        <v>0.058</v>
      </c>
      <c r="F2290" s="7" t="n">
        <v>1000</v>
      </c>
    </row>
    <row r="2291">
      <c r="A2291" s="5" t="inlineStr">
        <is>
          <t>Grupos poderosos</t>
        </is>
      </c>
      <c r="B2291" s="5" t="inlineStr">
        <is>
          <t>Honduras</t>
        </is>
      </c>
      <c r="C2291" s="5" t="n">
        <v>2010</v>
      </c>
      <c r="D2291" s="5" t="inlineStr">
        <is>
          <t>Grupos poderosos en su propio beneficio</t>
        </is>
      </c>
      <c r="E2291" s="6" t="n">
        <v>0.758</v>
      </c>
      <c r="F2291" s="7" t="n">
        <v>1000</v>
      </c>
    </row>
    <row r="2292">
      <c r="A2292" s="5" t="inlineStr">
        <is>
          <t>Grupos poderosos</t>
        </is>
      </c>
      <c r="B2292" s="5" t="inlineStr">
        <is>
          <t>Honduras</t>
        </is>
      </c>
      <c r="C2292" s="5" t="n">
        <v>2010</v>
      </c>
      <c r="D2292" s="5" t="inlineStr">
        <is>
          <t>Para el bien de todo el pueblo</t>
        </is>
      </c>
      <c r="E2292" s="6" t="n">
        <v>0.195</v>
      </c>
      <c r="F2292" s="7" t="n">
        <v>1000</v>
      </c>
    </row>
    <row r="2293">
      <c r="A2293" s="5" t="inlineStr">
        <is>
          <t>Grupos poderosos</t>
        </is>
      </c>
      <c r="B2293" s="5" t="inlineStr">
        <is>
          <t>Honduras</t>
        </is>
      </c>
      <c r="C2293" s="5" t="n">
        <v>2010</v>
      </c>
      <c r="D2293" s="5" t="inlineStr">
        <is>
          <t>No sabe; no responde</t>
        </is>
      </c>
      <c r="E2293" s="6" t="n">
        <v>0.047</v>
      </c>
      <c r="F2293" s="7" t="n">
        <v>1000</v>
      </c>
    </row>
    <row r="2294">
      <c r="A2294" s="5" t="inlineStr">
        <is>
          <t>Grupos poderosos</t>
        </is>
      </c>
      <c r="B2294" s="5" t="inlineStr">
        <is>
          <t>Honduras</t>
        </is>
      </c>
      <c r="C2294" s="5" t="n">
        <v>2011</v>
      </c>
      <c r="D2294" s="5" t="inlineStr">
        <is>
          <t>Grupos poderosos en su propio beneficio</t>
        </is>
      </c>
      <c r="E2294" s="6" t="n">
        <v>0.8129999999999999</v>
      </c>
      <c r="F2294" s="7" t="n">
        <v>1000</v>
      </c>
    </row>
    <row r="2295">
      <c r="A2295" s="5" t="inlineStr">
        <is>
          <t>Grupos poderosos</t>
        </is>
      </c>
      <c r="B2295" s="5" t="inlineStr">
        <is>
          <t>Honduras</t>
        </is>
      </c>
      <c r="C2295" s="5" t="n">
        <v>2011</v>
      </c>
      <c r="D2295" s="5" t="inlineStr">
        <is>
          <t>Para el bien de todo el pueblo</t>
        </is>
      </c>
      <c r="E2295" s="6" t="n">
        <v>0.148</v>
      </c>
      <c r="F2295" s="7" t="n">
        <v>1000</v>
      </c>
    </row>
    <row r="2296">
      <c r="A2296" s="5" t="inlineStr">
        <is>
          <t>Grupos poderosos</t>
        </is>
      </c>
      <c r="B2296" s="5" t="inlineStr">
        <is>
          <t>Honduras</t>
        </is>
      </c>
      <c r="C2296" s="5" t="n">
        <v>2011</v>
      </c>
      <c r="D2296" s="5" t="inlineStr">
        <is>
          <t>No sabe; no responde</t>
        </is>
      </c>
      <c r="E2296" s="6" t="n">
        <v>0.04</v>
      </c>
      <c r="F2296" s="7" t="n">
        <v>1000</v>
      </c>
    </row>
    <row r="2297">
      <c r="A2297" s="5" t="inlineStr">
        <is>
          <t>Grupos poderosos</t>
        </is>
      </c>
      <c r="B2297" s="5" t="inlineStr">
        <is>
          <t>Honduras</t>
        </is>
      </c>
      <c r="C2297" s="5" t="n">
        <v>2016</v>
      </c>
      <c r="D2297" s="5" t="inlineStr">
        <is>
          <t>Grupos poderosos en su propio beneficio</t>
        </is>
      </c>
      <c r="E2297" s="6" t="n">
        <v>0.774</v>
      </c>
      <c r="F2297" s="7" t="n">
        <v>1000</v>
      </c>
    </row>
    <row r="2298">
      <c r="A2298" s="5" t="inlineStr">
        <is>
          <t>Grupos poderosos</t>
        </is>
      </c>
      <c r="B2298" s="5" t="inlineStr">
        <is>
          <t>Honduras</t>
        </is>
      </c>
      <c r="C2298" s="5" t="n">
        <v>2016</v>
      </c>
      <c r="D2298" s="5" t="inlineStr">
        <is>
          <t>Para el bien de todo el pueblo</t>
        </is>
      </c>
      <c r="E2298" s="6" t="n">
        <v>0.184</v>
      </c>
      <c r="F2298" s="7" t="n">
        <v>1000</v>
      </c>
    </row>
    <row r="2299">
      <c r="A2299" s="5" t="inlineStr">
        <is>
          <t>Grupos poderosos</t>
        </is>
      </c>
      <c r="B2299" s="5" t="inlineStr">
        <is>
          <t>Honduras</t>
        </is>
      </c>
      <c r="C2299" s="5" t="n">
        <v>2016</v>
      </c>
      <c r="D2299" s="5" t="inlineStr">
        <is>
          <t>No sabe; no responde</t>
        </is>
      </c>
      <c r="E2299" s="6" t="n">
        <v>0.042</v>
      </c>
      <c r="F2299" s="7" t="n">
        <v>1000</v>
      </c>
    </row>
    <row r="2300">
      <c r="A2300" s="5" t="inlineStr">
        <is>
          <t>Grupos poderosos</t>
        </is>
      </c>
      <c r="B2300" s="5" t="inlineStr">
        <is>
          <t>Honduras</t>
        </is>
      </c>
      <c r="C2300" s="5" t="n">
        <v>2017</v>
      </c>
      <c r="D2300" s="5" t="inlineStr">
        <is>
          <t>Grupos poderosos en su propio beneficio</t>
        </is>
      </c>
      <c r="E2300" s="6" t="n">
        <v>0.617</v>
      </c>
      <c r="F2300" s="7" t="n">
        <v>1000</v>
      </c>
    </row>
    <row r="2301">
      <c r="A2301" s="5" t="inlineStr">
        <is>
          <t>Grupos poderosos</t>
        </is>
      </c>
      <c r="B2301" s="5" t="inlineStr">
        <is>
          <t>Honduras</t>
        </is>
      </c>
      <c r="C2301" s="5" t="n">
        <v>2017</v>
      </c>
      <c r="D2301" s="5" t="inlineStr">
        <is>
          <t>Para el bien de todo el pueblo</t>
        </is>
      </c>
      <c r="E2301" s="6" t="n">
        <v>0.341</v>
      </c>
      <c r="F2301" s="7" t="n">
        <v>1000</v>
      </c>
    </row>
    <row r="2302">
      <c r="A2302" s="5" t="inlineStr">
        <is>
          <t>Grupos poderosos</t>
        </is>
      </c>
      <c r="B2302" s="5" t="inlineStr">
        <is>
          <t>Honduras</t>
        </is>
      </c>
      <c r="C2302" s="5" t="n">
        <v>2017</v>
      </c>
      <c r="D2302" s="5" t="inlineStr">
        <is>
          <t>No sabe; no responde</t>
        </is>
      </c>
      <c r="E2302" s="6" t="n">
        <v>0.042</v>
      </c>
      <c r="F2302" s="7" t="n">
        <v>1000</v>
      </c>
    </row>
    <row r="2303">
      <c r="A2303" s="5" t="inlineStr">
        <is>
          <t>Grupos poderosos</t>
        </is>
      </c>
      <c r="B2303" s="5" t="inlineStr">
        <is>
          <t>Honduras</t>
        </is>
      </c>
      <c r="C2303" s="5" t="n">
        <v>2018</v>
      </c>
      <c r="D2303" s="5" t="inlineStr">
        <is>
          <t>Grupos poderosos en su propio beneficio</t>
        </is>
      </c>
      <c r="E2303" s="6" t="n">
        <v>0.752</v>
      </c>
      <c r="F2303" s="7" t="n">
        <v>1000</v>
      </c>
    </row>
    <row r="2304">
      <c r="A2304" s="5" t="inlineStr">
        <is>
          <t>Grupos poderosos</t>
        </is>
      </c>
      <c r="B2304" s="5" t="inlineStr">
        <is>
          <t>Honduras</t>
        </is>
      </c>
      <c r="C2304" s="5" t="n">
        <v>2018</v>
      </c>
      <c r="D2304" s="5" t="inlineStr">
        <is>
          <t>Para el bien de todo el pueblo</t>
        </is>
      </c>
      <c r="E2304" s="6" t="n">
        <v>0.215</v>
      </c>
      <c r="F2304" s="7" t="n">
        <v>1000</v>
      </c>
    </row>
    <row r="2305">
      <c r="A2305" s="5" t="inlineStr">
        <is>
          <t>Grupos poderosos</t>
        </is>
      </c>
      <c r="B2305" s="5" t="inlineStr">
        <is>
          <t>Honduras</t>
        </is>
      </c>
      <c r="C2305" s="5" t="n">
        <v>2018</v>
      </c>
      <c r="D2305" s="5" t="inlineStr">
        <is>
          <t>No sabe; no responde</t>
        </is>
      </c>
      <c r="E2305" s="6" t="n">
        <v>0.033</v>
      </c>
      <c r="F2305" s="7" t="n">
        <v>1000</v>
      </c>
    </row>
    <row r="2306">
      <c r="A2306" s="5" t="inlineStr">
        <is>
          <t>Grupos poderosos</t>
        </is>
      </c>
      <c r="B2306" s="5" t="inlineStr">
        <is>
          <t>Honduras</t>
        </is>
      </c>
      <c r="C2306" s="5" t="n">
        <v>2020</v>
      </c>
      <c r="D2306" s="5" t="inlineStr">
        <is>
          <t>Grupos poderosos en su propio beneficio</t>
        </is>
      </c>
      <c r="E2306" s="6" t="n">
        <v>0.7559999999999999</v>
      </c>
      <c r="F2306" s="7" t="n">
        <v>998</v>
      </c>
    </row>
    <row r="2307">
      <c r="A2307" s="5" t="inlineStr">
        <is>
          <t>Grupos poderosos</t>
        </is>
      </c>
      <c r="B2307" s="5" t="inlineStr">
        <is>
          <t>Honduras</t>
        </is>
      </c>
      <c r="C2307" s="5" t="n">
        <v>2020</v>
      </c>
      <c r="D2307" s="5" t="inlineStr">
        <is>
          <t>Para el bien de todo el pueblo</t>
        </is>
      </c>
      <c r="E2307" s="6" t="n">
        <v>0.175</v>
      </c>
      <c r="F2307" s="7" t="n">
        <v>998</v>
      </c>
    </row>
    <row r="2308">
      <c r="A2308" s="5" t="inlineStr">
        <is>
          <t>Grupos poderosos</t>
        </is>
      </c>
      <c r="B2308" s="5" t="inlineStr">
        <is>
          <t>Honduras</t>
        </is>
      </c>
      <c r="C2308" s="5" t="n">
        <v>2020</v>
      </c>
      <c r="D2308" s="5" t="inlineStr">
        <is>
          <t>No sabe; no responde</t>
        </is>
      </c>
      <c r="E2308" s="6" t="n">
        <v>0.06900000000000001</v>
      </c>
      <c r="F2308" s="7" t="n">
        <v>998</v>
      </c>
    </row>
    <row r="2309">
      <c r="A2309" s="5" t="inlineStr">
        <is>
          <t>Grupos poderosos</t>
        </is>
      </c>
      <c r="B2309" s="5" t="inlineStr">
        <is>
          <t>Honduras</t>
        </is>
      </c>
      <c r="C2309" s="5" t="n">
        <v>2024</v>
      </c>
      <c r="D2309" s="5" t="inlineStr">
        <is>
          <t>Grupos poderosos en su propio beneficio</t>
        </is>
      </c>
      <c r="E2309" s="6" t="n">
        <v>0.7809999999999999</v>
      </c>
      <c r="F2309" s="7" t="n">
        <v>1000</v>
      </c>
    </row>
    <row r="2310">
      <c r="A2310" s="5" t="inlineStr">
        <is>
          <t>Grupos poderosos</t>
        </is>
      </c>
      <c r="B2310" s="5" t="inlineStr">
        <is>
          <t>Honduras</t>
        </is>
      </c>
      <c r="C2310" s="5" t="n">
        <v>2024</v>
      </c>
      <c r="D2310" s="5" t="inlineStr">
        <is>
          <t>Para el bien de todo el pueblo</t>
        </is>
      </c>
      <c r="E2310" s="6" t="n">
        <v>0.192</v>
      </c>
      <c r="F2310" s="7" t="n">
        <v>1000</v>
      </c>
    </row>
    <row r="2311">
      <c r="A2311" s="5" t="inlineStr">
        <is>
          <t>Grupos poderosos</t>
        </is>
      </c>
      <c r="B2311" s="5" t="inlineStr">
        <is>
          <t>Honduras</t>
        </is>
      </c>
      <c r="C2311" s="5" t="n">
        <v>2024</v>
      </c>
      <c r="D2311" s="5" t="inlineStr">
        <is>
          <t>No sabe; no responde</t>
        </is>
      </c>
      <c r="E2311" s="6" t="n">
        <v>0.027</v>
      </c>
      <c r="F2311" s="7" t="n">
        <v>1000</v>
      </c>
    </row>
    <row r="2312">
      <c r="A2312" s="5" t="inlineStr">
        <is>
          <t>Grupos poderosos</t>
        </is>
      </c>
      <c r="B2312" s="5" t="inlineStr">
        <is>
          <t>México</t>
        </is>
      </c>
      <c r="C2312" s="5" t="n">
        <v>2004</v>
      </c>
      <c r="D2312" s="5" t="inlineStr">
        <is>
          <t>Grupos poderosos en su propio beneficio</t>
        </is>
      </c>
      <c r="E2312" s="6" t="n">
        <v>0.8270000000000001</v>
      </c>
      <c r="F2312" s="7" t="n">
        <v>1200</v>
      </c>
    </row>
    <row r="2313">
      <c r="A2313" s="5" t="inlineStr">
        <is>
          <t>Grupos poderosos</t>
        </is>
      </c>
      <c r="B2313" s="5" t="inlineStr">
        <is>
          <t>México</t>
        </is>
      </c>
      <c r="C2313" s="5" t="n">
        <v>2004</v>
      </c>
      <c r="D2313" s="5" t="inlineStr">
        <is>
          <t>Para el bien de todo el pueblo</t>
        </is>
      </c>
      <c r="E2313" s="6" t="n">
        <v>0.167</v>
      </c>
      <c r="F2313" s="7" t="n">
        <v>1200</v>
      </c>
    </row>
    <row r="2314">
      <c r="A2314" s="5" t="inlineStr">
        <is>
          <t>Grupos poderosos</t>
        </is>
      </c>
      <c r="B2314" s="5" t="inlineStr">
        <is>
          <t>México</t>
        </is>
      </c>
      <c r="C2314" s="5" t="n">
        <v>2004</v>
      </c>
      <c r="D2314" s="5" t="inlineStr">
        <is>
          <t>No sabe; no responde</t>
        </is>
      </c>
      <c r="E2314" s="6" t="n">
        <v>0.006999999999999999</v>
      </c>
      <c r="F2314" s="7" t="n">
        <v>1200</v>
      </c>
    </row>
    <row r="2315">
      <c r="A2315" s="5" t="inlineStr">
        <is>
          <t>Grupos poderosos</t>
        </is>
      </c>
      <c r="B2315" s="5" t="inlineStr">
        <is>
          <t>México</t>
        </is>
      </c>
      <c r="C2315" s="5" t="n">
        <v>2005</v>
      </c>
      <c r="D2315" s="5" t="inlineStr">
        <is>
          <t>Grupos poderosos en su propio beneficio</t>
        </is>
      </c>
      <c r="E2315" s="6" t="n">
        <v>0.835</v>
      </c>
      <c r="F2315" s="7" t="n">
        <v>1200</v>
      </c>
    </row>
    <row r="2316">
      <c r="A2316" s="5" t="inlineStr">
        <is>
          <t>Grupos poderosos</t>
        </is>
      </c>
      <c r="B2316" s="5" t="inlineStr">
        <is>
          <t>México</t>
        </is>
      </c>
      <c r="C2316" s="5" t="n">
        <v>2005</v>
      </c>
      <c r="D2316" s="5" t="inlineStr">
        <is>
          <t>Para el bien de todo el pueblo</t>
        </is>
      </c>
      <c r="E2316" s="6" t="n">
        <v>0.162</v>
      </c>
      <c r="F2316" s="7" t="n">
        <v>1200</v>
      </c>
    </row>
    <row r="2317">
      <c r="A2317" s="5" t="inlineStr">
        <is>
          <t>Grupos poderosos</t>
        </is>
      </c>
      <c r="B2317" s="5" t="inlineStr">
        <is>
          <t>México</t>
        </is>
      </c>
      <c r="C2317" s="5" t="n">
        <v>2005</v>
      </c>
      <c r="D2317" s="5" t="inlineStr">
        <is>
          <t>No sabe; no responde</t>
        </is>
      </c>
      <c r="E2317" s="6" t="n">
        <v>0.003</v>
      </c>
      <c r="F2317" s="7" t="n">
        <v>1200</v>
      </c>
    </row>
    <row r="2318">
      <c r="A2318" s="5" t="inlineStr">
        <is>
          <t>Grupos poderosos</t>
        </is>
      </c>
      <c r="B2318" s="5" t="inlineStr">
        <is>
          <t>México</t>
        </is>
      </c>
      <c r="C2318" s="5" t="n">
        <v>2006</v>
      </c>
      <c r="D2318" s="5" t="inlineStr">
        <is>
          <t>Grupos poderosos en su propio beneficio</t>
        </is>
      </c>
      <c r="E2318" s="6" t="n">
        <v>0.636</v>
      </c>
      <c r="F2318" s="7" t="n">
        <v>1200</v>
      </c>
    </row>
    <row r="2319">
      <c r="A2319" s="5" t="inlineStr">
        <is>
          <t>Grupos poderosos</t>
        </is>
      </c>
      <c r="B2319" s="5" t="inlineStr">
        <is>
          <t>México</t>
        </is>
      </c>
      <c r="C2319" s="5" t="n">
        <v>2006</v>
      </c>
      <c r="D2319" s="5" t="inlineStr">
        <is>
          <t>Para el bien de todo el pueblo</t>
        </is>
      </c>
      <c r="E2319" s="6" t="n">
        <v>0.31</v>
      </c>
      <c r="F2319" s="7" t="n">
        <v>1200</v>
      </c>
    </row>
    <row r="2320">
      <c r="A2320" s="5" t="inlineStr">
        <is>
          <t>Grupos poderosos</t>
        </is>
      </c>
      <c r="B2320" s="5" t="inlineStr">
        <is>
          <t>México</t>
        </is>
      </c>
      <c r="C2320" s="5" t="n">
        <v>2006</v>
      </c>
      <c r="D2320" s="5" t="inlineStr">
        <is>
          <t>No sabe; no responde</t>
        </is>
      </c>
      <c r="E2320" s="6" t="n">
        <v>0.05400000000000001</v>
      </c>
      <c r="F2320" s="7" t="n">
        <v>1200</v>
      </c>
    </row>
    <row r="2321">
      <c r="A2321" s="5" t="inlineStr">
        <is>
          <t>Grupos poderosos</t>
        </is>
      </c>
      <c r="B2321" s="5" t="inlineStr">
        <is>
          <t>México</t>
        </is>
      </c>
      <c r="C2321" s="5" t="n">
        <v>2007</v>
      </c>
      <c r="D2321" s="5" t="inlineStr">
        <is>
          <t>Grupos poderosos en su propio beneficio</t>
        </is>
      </c>
      <c r="E2321" s="6" t="n">
        <v>0.6909999999999999</v>
      </c>
      <c r="F2321" s="7" t="n">
        <v>1200</v>
      </c>
    </row>
    <row r="2322">
      <c r="A2322" s="5" t="inlineStr">
        <is>
          <t>Grupos poderosos</t>
        </is>
      </c>
      <c r="B2322" s="5" t="inlineStr">
        <is>
          <t>México</t>
        </is>
      </c>
      <c r="C2322" s="5" t="n">
        <v>2007</v>
      </c>
      <c r="D2322" s="5" t="inlineStr">
        <is>
          <t>Para el bien de todo el pueblo</t>
        </is>
      </c>
      <c r="E2322" s="6" t="n">
        <v>0.285</v>
      </c>
      <c r="F2322" s="7" t="n">
        <v>1200</v>
      </c>
    </row>
    <row r="2323">
      <c r="A2323" s="5" t="inlineStr">
        <is>
          <t>Grupos poderosos</t>
        </is>
      </c>
      <c r="B2323" s="5" t="inlineStr">
        <is>
          <t>México</t>
        </is>
      </c>
      <c r="C2323" s="5" t="n">
        <v>2007</v>
      </c>
      <c r="D2323" s="5" t="inlineStr">
        <is>
          <t>No sabe; no responde</t>
        </is>
      </c>
      <c r="E2323" s="6" t="n">
        <v>0.024</v>
      </c>
      <c r="F2323" s="7" t="n">
        <v>1200</v>
      </c>
    </row>
    <row r="2324">
      <c r="A2324" s="5" t="inlineStr">
        <is>
          <t>Grupos poderosos</t>
        </is>
      </c>
      <c r="B2324" s="5" t="inlineStr">
        <is>
          <t>México</t>
        </is>
      </c>
      <c r="C2324" s="5" t="n">
        <v>2008</v>
      </c>
      <c r="D2324" s="5" t="inlineStr">
        <is>
          <t>Grupos poderosos en su propio beneficio</t>
        </is>
      </c>
      <c r="E2324" s="6" t="n">
        <v>0.7909999999999999</v>
      </c>
      <c r="F2324" s="7" t="n">
        <v>1200</v>
      </c>
    </row>
    <row r="2325">
      <c r="A2325" s="5" t="inlineStr">
        <is>
          <t>Grupos poderosos</t>
        </is>
      </c>
      <c r="B2325" s="5" t="inlineStr">
        <is>
          <t>México</t>
        </is>
      </c>
      <c r="C2325" s="5" t="n">
        <v>2008</v>
      </c>
      <c r="D2325" s="5" t="inlineStr">
        <is>
          <t>Para el bien de todo el pueblo</t>
        </is>
      </c>
      <c r="E2325" s="6" t="n">
        <v>0.188</v>
      </c>
      <c r="F2325" s="7" t="n">
        <v>1200</v>
      </c>
    </row>
    <row r="2326">
      <c r="A2326" s="5" t="inlineStr">
        <is>
          <t>Grupos poderosos</t>
        </is>
      </c>
      <c r="B2326" s="5" t="inlineStr">
        <is>
          <t>México</t>
        </is>
      </c>
      <c r="C2326" s="5" t="n">
        <v>2008</v>
      </c>
      <c r="D2326" s="5" t="inlineStr">
        <is>
          <t>No sabe; no responde</t>
        </is>
      </c>
      <c r="E2326" s="6" t="n">
        <v>0.022</v>
      </c>
      <c r="F2326" s="7" t="n">
        <v>1200</v>
      </c>
    </row>
    <row r="2327">
      <c r="A2327" s="5" t="inlineStr">
        <is>
          <t>Grupos poderosos</t>
        </is>
      </c>
      <c r="B2327" s="5" t="inlineStr">
        <is>
          <t>México</t>
        </is>
      </c>
      <c r="C2327" s="5" t="n">
        <v>2009</v>
      </c>
      <c r="D2327" s="5" t="inlineStr">
        <is>
          <t>Grupos poderosos en su propio beneficio</t>
        </is>
      </c>
      <c r="E2327" s="6" t="n">
        <v>0.753</v>
      </c>
      <c r="F2327" s="7" t="n">
        <v>1200</v>
      </c>
    </row>
    <row r="2328">
      <c r="A2328" s="5" t="inlineStr">
        <is>
          <t>Grupos poderosos</t>
        </is>
      </c>
      <c r="B2328" s="5" t="inlineStr">
        <is>
          <t>México</t>
        </is>
      </c>
      <c r="C2328" s="5" t="n">
        <v>2009</v>
      </c>
      <c r="D2328" s="5" t="inlineStr">
        <is>
          <t>Para el bien de todo el pueblo</t>
        </is>
      </c>
      <c r="E2328" s="6" t="n">
        <v>0.208</v>
      </c>
      <c r="F2328" s="7" t="n">
        <v>1200</v>
      </c>
    </row>
    <row r="2329">
      <c r="A2329" s="5" t="inlineStr">
        <is>
          <t>Grupos poderosos</t>
        </is>
      </c>
      <c r="B2329" s="5" t="inlineStr">
        <is>
          <t>México</t>
        </is>
      </c>
      <c r="C2329" s="5" t="n">
        <v>2009</v>
      </c>
      <c r="D2329" s="5" t="inlineStr">
        <is>
          <t>No sabe; no responde</t>
        </is>
      </c>
      <c r="E2329" s="6" t="n">
        <v>0.039</v>
      </c>
      <c r="F2329" s="7" t="n">
        <v>1200</v>
      </c>
    </row>
    <row r="2330">
      <c r="A2330" s="5" t="inlineStr">
        <is>
          <t>Grupos poderosos</t>
        </is>
      </c>
      <c r="B2330" s="5" t="inlineStr">
        <is>
          <t>México</t>
        </is>
      </c>
      <c r="C2330" s="5" t="n">
        <v>2010</v>
      </c>
      <c r="D2330" s="5" t="inlineStr">
        <is>
          <t>Grupos poderosos en su propio beneficio</t>
        </is>
      </c>
      <c r="E2330" s="6" t="n">
        <v>0.758</v>
      </c>
      <c r="F2330" s="7" t="n">
        <v>1200</v>
      </c>
    </row>
    <row r="2331">
      <c r="A2331" s="5" t="inlineStr">
        <is>
          <t>Grupos poderosos</t>
        </is>
      </c>
      <c r="B2331" s="5" t="inlineStr">
        <is>
          <t>México</t>
        </is>
      </c>
      <c r="C2331" s="5" t="n">
        <v>2010</v>
      </c>
      <c r="D2331" s="5" t="inlineStr">
        <is>
          <t>Para el bien de todo el pueblo</t>
        </is>
      </c>
      <c r="E2331" s="6" t="n">
        <v>0.214</v>
      </c>
      <c r="F2331" s="7" t="n">
        <v>1200</v>
      </c>
    </row>
    <row r="2332">
      <c r="A2332" s="5" t="inlineStr">
        <is>
          <t>Grupos poderosos</t>
        </is>
      </c>
      <c r="B2332" s="5" t="inlineStr">
        <is>
          <t>México</t>
        </is>
      </c>
      <c r="C2332" s="5" t="n">
        <v>2010</v>
      </c>
      <c r="D2332" s="5" t="inlineStr">
        <is>
          <t>No sabe; no responde</t>
        </is>
      </c>
      <c r="E2332" s="6" t="n">
        <v>0.028</v>
      </c>
      <c r="F2332" s="7" t="n">
        <v>1200</v>
      </c>
    </row>
    <row r="2333">
      <c r="A2333" s="5" t="inlineStr">
        <is>
          <t>Grupos poderosos</t>
        </is>
      </c>
      <c r="B2333" s="5" t="inlineStr">
        <is>
          <t>México</t>
        </is>
      </c>
      <c r="C2333" s="5" t="n">
        <v>2011</v>
      </c>
      <c r="D2333" s="5" t="inlineStr">
        <is>
          <t>Grupos poderosos en su propio beneficio</t>
        </is>
      </c>
      <c r="E2333" s="6" t="n">
        <v>0.8029999999999999</v>
      </c>
      <c r="F2333" s="7" t="n">
        <v>1200</v>
      </c>
    </row>
    <row r="2334">
      <c r="A2334" s="5" t="inlineStr">
        <is>
          <t>Grupos poderosos</t>
        </is>
      </c>
      <c r="B2334" s="5" t="inlineStr">
        <is>
          <t>México</t>
        </is>
      </c>
      <c r="C2334" s="5" t="n">
        <v>2011</v>
      </c>
      <c r="D2334" s="5" t="inlineStr">
        <is>
          <t>Para el bien de todo el pueblo</t>
        </is>
      </c>
      <c r="E2334" s="6" t="n">
        <v>0.172</v>
      </c>
      <c r="F2334" s="7" t="n">
        <v>1200</v>
      </c>
    </row>
    <row r="2335">
      <c r="A2335" s="5" t="inlineStr">
        <is>
          <t>Grupos poderosos</t>
        </is>
      </c>
      <c r="B2335" s="5" t="inlineStr">
        <is>
          <t>México</t>
        </is>
      </c>
      <c r="C2335" s="5" t="n">
        <v>2011</v>
      </c>
      <c r="D2335" s="5" t="inlineStr">
        <is>
          <t>No sabe; no responde</t>
        </is>
      </c>
      <c r="E2335" s="6" t="n">
        <v>0.026</v>
      </c>
      <c r="F2335" s="7" t="n">
        <v>1200</v>
      </c>
    </row>
    <row r="2336">
      <c r="A2336" s="5" t="inlineStr">
        <is>
          <t>Grupos poderosos</t>
        </is>
      </c>
      <c r="B2336" s="5" t="inlineStr">
        <is>
          <t>México</t>
        </is>
      </c>
      <c r="C2336" s="5" t="n">
        <v>2015</v>
      </c>
      <c r="D2336" s="5" t="inlineStr">
        <is>
          <t>Grupos poderosos en su propio beneficio</t>
        </is>
      </c>
      <c r="E2336" s="6" t="n">
        <v>0.77</v>
      </c>
      <c r="F2336" s="7" t="n">
        <v>1200</v>
      </c>
    </row>
    <row r="2337">
      <c r="A2337" s="5" t="inlineStr">
        <is>
          <t>Grupos poderosos</t>
        </is>
      </c>
      <c r="B2337" s="5" t="inlineStr">
        <is>
          <t>México</t>
        </is>
      </c>
      <c r="C2337" s="5" t="n">
        <v>2015</v>
      </c>
      <c r="D2337" s="5" t="inlineStr">
        <is>
          <t>Para el bien de todo el pueblo</t>
        </is>
      </c>
      <c r="E2337" s="6" t="n">
        <v>0.213</v>
      </c>
      <c r="F2337" s="7" t="n">
        <v>1200</v>
      </c>
    </row>
    <row r="2338">
      <c r="A2338" s="5" t="inlineStr">
        <is>
          <t>Grupos poderosos</t>
        </is>
      </c>
      <c r="B2338" s="5" t="inlineStr">
        <is>
          <t>México</t>
        </is>
      </c>
      <c r="C2338" s="5" t="n">
        <v>2015</v>
      </c>
      <c r="D2338" s="5" t="inlineStr">
        <is>
          <t>No sabe; no responde</t>
        </is>
      </c>
      <c r="E2338" s="6" t="n">
        <v>0.018</v>
      </c>
      <c r="F2338" s="7" t="n">
        <v>1200</v>
      </c>
    </row>
    <row r="2339">
      <c r="A2339" s="5" t="inlineStr">
        <is>
          <t>Grupos poderosos</t>
        </is>
      </c>
      <c r="B2339" s="5" t="inlineStr">
        <is>
          <t>México</t>
        </is>
      </c>
      <c r="C2339" s="5" t="n">
        <v>2016</v>
      </c>
      <c r="D2339" s="5" t="inlineStr">
        <is>
          <t>Grupos poderosos en su propio beneficio</t>
        </is>
      </c>
      <c r="E2339" s="6" t="n">
        <v>0.7559999999999999</v>
      </c>
      <c r="F2339" s="7" t="n">
        <v>1200</v>
      </c>
    </row>
    <row r="2340">
      <c r="A2340" s="5" t="inlineStr">
        <is>
          <t>Grupos poderosos</t>
        </is>
      </c>
      <c r="B2340" s="5" t="inlineStr">
        <is>
          <t>México</t>
        </is>
      </c>
      <c r="C2340" s="5" t="n">
        <v>2016</v>
      </c>
      <c r="D2340" s="5" t="inlineStr">
        <is>
          <t>Para el bien de todo el pueblo</t>
        </is>
      </c>
      <c r="E2340" s="6" t="n">
        <v>0.177</v>
      </c>
      <c r="F2340" s="7" t="n">
        <v>1200</v>
      </c>
    </row>
    <row r="2341">
      <c r="A2341" s="5" t="inlineStr">
        <is>
          <t>Grupos poderosos</t>
        </is>
      </c>
      <c r="B2341" s="5" t="inlineStr">
        <is>
          <t>México</t>
        </is>
      </c>
      <c r="C2341" s="5" t="n">
        <v>2016</v>
      </c>
      <c r="D2341" s="5" t="inlineStr">
        <is>
          <t>No sabe; no responde</t>
        </is>
      </c>
      <c r="E2341" s="6" t="n">
        <v>0.067</v>
      </c>
      <c r="F2341" s="7" t="n">
        <v>1200</v>
      </c>
    </row>
    <row r="2342">
      <c r="A2342" s="5" t="inlineStr">
        <is>
          <t>Grupos poderosos</t>
        </is>
      </c>
      <c r="B2342" s="5" t="inlineStr">
        <is>
          <t>México</t>
        </is>
      </c>
      <c r="C2342" s="5" t="n">
        <v>2017</v>
      </c>
      <c r="D2342" s="5" t="inlineStr">
        <is>
          <t>Grupos poderosos en su propio beneficio</t>
        </is>
      </c>
      <c r="E2342" s="6" t="n">
        <v>0.895</v>
      </c>
      <c r="F2342" s="7" t="n">
        <v>1200</v>
      </c>
    </row>
    <row r="2343">
      <c r="A2343" s="5" t="inlineStr">
        <is>
          <t>Grupos poderosos</t>
        </is>
      </c>
      <c r="B2343" s="5" t="inlineStr">
        <is>
          <t>México</t>
        </is>
      </c>
      <c r="C2343" s="5" t="n">
        <v>2017</v>
      </c>
      <c r="D2343" s="5" t="inlineStr">
        <is>
          <t>Para el bien de todo el pueblo</t>
        </is>
      </c>
      <c r="E2343" s="6" t="n">
        <v>0.08199999999999999</v>
      </c>
      <c r="F2343" s="7" t="n">
        <v>1200</v>
      </c>
    </row>
    <row r="2344">
      <c r="A2344" s="5" t="inlineStr">
        <is>
          <t>Grupos poderosos</t>
        </is>
      </c>
      <c r="B2344" s="5" t="inlineStr">
        <is>
          <t>México</t>
        </is>
      </c>
      <c r="C2344" s="5" t="n">
        <v>2017</v>
      </c>
      <c r="D2344" s="5" t="inlineStr">
        <is>
          <t>No sabe; no responde</t>
        </is>
      </c>
      <c r="E2344" s="6" t="n">
        <v>0.023</v>
      </c>
      <c r="F2344" s="7" t="n">
        <v>1200</v>
      </c>
    </row>
    <row r="2345">
      <c r="A2345" s="5" t="inlineStr">
        <is>
          <t>Grupos poderosos</t>
        </is>
      </c>
      <c r="B2345" s="5" t="inlineStr">
        <is>
          <t>México</t>
        </is>
      </c>
      <c r="C2345" s="5" t="n">
        <v>2018</v>
      </c>
      <c r="D2345" s="5" t="inlineStr">
        <is>
          <t>Grupos poderosos en su propio beneficio</t>
        </is>
      </c>
      <c r="E2345" s="6" t="n">
        <v>0.88</v>
      </c>
      <c r="F2345" s="7" t="n">
        <v>1200</v>
      </c>
    </row>
    <row r="2346">
      <c r="A2346" s="5" t="inlineStr">
        <is>
          <t>Grupos poderosos</t>
        </is>
      </c>
      <c r="B2346" s="5" t="inlineStr">
        <is>
          <t>México</t>
        </is>
      </c>
      <c r="C2346" s="5" t="n">
        <v>2018</v>
      </c>
      <c r="D2346" s="5" t="inlineStr">
        <is>
          <t>Para el bien de todo el pueblo</t>
        </is>
      </c>
      <c r="E2346" s="6" t="n">
        <v>0.09300000000000001</v>
      </c>
      <c r="F2346" s="7" t="n">
        <v>1200</v>
      </c>
    </row>
    <row r="2347">
      <c r="A2347" s="5" t="inlineStr">
        <is>
          <t>Grupos poderosos</t>
        </is>
      </c>
      <c r="B2347" s="5" t="inlineStr">
        <is>
          <t>México</t>
        </is>
      </c>
      <c r="C2347" s="5" t="n">
        <v>2018</v>
      </c>
      <c r="D2347" s="5" t="inlineStr">
        <is>
          <t>No sabe; no responde</t>
        </is>
      </c>
      <c r="E2347" s="6" t="n">
        <v>0.028</v>
      </c>
      <c r="F2347" s="7" t="n">
        <v>1200</v>
      </c>
    </row>
    <row r="2348">
      <c r="A2348" s="5" t="inlineStr">
        <is>
          <t>Grupos poderosos</t>
        </is>
      </c>
      <c r="B2348" s="5" t="inlineStr">
        <is>
          <t>México</t>
        </is>
      </c>
      <c r="C2348" s="5" t="n">
        <v>2020</v>
      </c>
      <c r="D2348" s="5" t="inlineStr">
        <is>
          <t>Grupos poderosos en su propio beneficio</t>
        </is>
      </c>
      <c r="E2348" s="6" t="n">
        <v>0.672</v>
      </c>
      <c r="F2348" s="7" t="n">
        <v>1202</v>
      </c>
    </row>
    <row r="2349">
      <c r="A2349" s="5" t="inlineStr">
        <is>
          <t>Grupos poderosos</t>
        </is>
      </c>
      <c r="B2349" s="5" t="inlineStr">
        <is>
          <t>México</t>
        </is>
      </c>
      <c r="C2349" s="5" t="n">
        <v>2020</v>
      </c>
      <c r="D2349" s="5" t="inlineStr">
        <is>
          <t>Para el bien de todo el pueblo</t>
        </is>
      </c>
      <c r="E2349" s="6" t="n">
        <v>0.291</v>
      </c>
      <c r="F2349" s="7" t="n">
        <v>1202</v>
      </c>
    </row>
    <row r="2350">
      <c r="A2350" s="5" t="inlineStr">
        <is>
          <t>Grupos poderosos</t>
        </is>
      </c>
      <c r="B2350" s="5" t="inlineStr">
        <is>
          <t>México</t>
        </is>
      </c>
      <c r="C2350" s="5" t="n">
        <v>2020</v>
      </c>
      <c r="D2350" s="5" t="inlineStr">
        <is>
          <t>No sabe; no responde</t>
        </is>
      </c>
      <c r="E2350" s="6" t="n">
        <v>0.03700000000000001</v>
      </c>
      <c r="F2350" s="7" t="n">
        <v>1202</v>
      </c>
    </row>
    <row r="2351">
      <c r="A2351" s="5" t="inlineStr">
        <is>
          <t>Grupos poderosos</t>
        </is>
      </c>
      <c r="B2351" s="5" t="inlineStr">
        <is>
          <t>México</t>
        </is>
      </c>
      <c r="C2351" s="5" t="n">
        <v>2024</v>
      </c>
      <c r="D2351" s="5" t="inlineStr">
        <is>
          <t>Grupos poderosos en su propio beneficio</t>
        </is>
      </c>
      <c r="E2351" s="6" t="n">
        <v>0.499</v>
      </c>
      <c r="F2351" s="7" t="n">
        <v>1200</v>
      </c>
    </row>
    <row r="2352">
      <c r="A2352" s="5" t="inlineStr">
        <is>
          <t>Grupos poderosos</t>
        </is>
      </c>
      <c r="B2352" s="5" t="inlineStr">
        <is>
          <t>México</t>
        </is>
      </c>
      <c r="C2352" s="5" t="n">
        <v>2024</v>
      </c>
      <c r="D2352" s="5" t="inlineStr">
        <is>
          <t>Para el bien de todo el pueblo</t>
        </is>
      </c>
      <c r="E2352" s="6" t="n">
        <v>0.47</v>
      </c>
      <c r="F2352" s="7" t="n">
        <v>1200</v>
      </c>
    </row>
    <row r="2353">
      <c r="A2353" s="5" t="inlineStr">
        <is>
          <t>Grupos poderosos</t>
        </is>
      </c>
      <c r="B2353" s="5" t="inlineStr">
        <is>
          <t>México</t>
        </is>
      </c>
      <c r="C2353" s="5" t="n">
        <v>2024</v>
      </c>
      <c r="D2353" s="5" t="inlineStr">
        <is>
          <t>No sabe; no responde</t>
        </is>
      </c>
      <c r="E2353" s="6" t="n">
        <v>0.03</v>
      </c>
      <c r="F2353" s="7" t="n">
        <v>1200</v>
      </c>
    </row>
    <row r="2354">
      <c r="A2354" s="5" t="inlineStr">
        <is>
          <t>Grupos poderosos</t>
        </is>
      </c>
      <c r="B2354" s="5" t="inlineStr">
        <is>
          <t>Nicaragua</t>
        </is>
      </c>
      <c r="C2354" s="5" t="n">
        <v>2004</v>
      </c>
      <c r="D2354" s="5" t="inlineStr">
        <is>
          <t>Grupos poderosos en su propio beneficio</t>
        </is>
      </c>
      <c r="E2354" s="6" t="n">
        <v>0.741</v>
      </c>
      <c r="F2354" s="7" t="n">
        <v>1000</v>
      </c>
    </row>
    <row r="2355">
      <c r="A2355" s="5" t="inlineStr">
        <is>
          <t>Grupos poderosos</t>
        </is>
      </c>
      <c r="B2355" s="5" t="inlineStr">
        <is>
          <t>Nicaragua</t>
        </is>
      </c>
      <c r="C2355" s="5" t="n">
        <v>2004</v>
      </c>
      <c r="D2355" s="5" t="inlineStr">
        <is>
          <t>Para el bien de todo el pueblo</t>
        </is>
      </c>
      <c r="E2355" s="6" t="n">
        <v>0.199</v>
      </c>
      <c r="F2355" s="7" t="n">
        <v>1000</v>
      </c>
    </row>
    <row r="2356">
      <c r="A2356" s="5" t="inlineStr">
        <is>
          <t>Grupos poderosos</t>
        </is>
      </c>
      <c r="B2356" s="5" t="inlineStr">
        <is>
          <t>Nicaragua</t>
        </is>
      </c>
      <c r="C2356" s="5" t="n">
        <v>2004</v>
      </c>
      <c r="D2356" s="5" t="inlineStr">
        <is>
          <t>No sabe; no responde</t>
        </is>
      </c>
      <c r="E2356" s="6" t="n">
        <v>0.06</v>
      </c>
      <c r="F2356" s="7" t="n">
        <v>1000</v>
      </c>
    </row>
    <row r="2357">
      <c r="A2357" s="5" t="inlineStr">
        <is>
          <t>Grupos poderosos</t>
        </is>
      </c>
      <c r="B2357" s="5" t="inlineStr">
        <is>
          <t>Nicaragua</t>
        </is>
      </c>
      <c r="C2357" s="5" t="n">
        <v>2005</v>
      </c>
      <c r="D2357" s="5" t="inlineStr">
        <is>
          <t>Grupos poderosos en su propio beneficio</t>
        </is>
      </c>
      <c r="E2357" s="6" t="n">
        <v>0.797</v>
      </c>
      <c r="F2357" s="7" t="n">
        <v>1000</v>
      </c>
    </row>
    <row r="2358">
      <c r="A2358" s="5" t="inlineStr">
        <is>
          <t>Grupos poderosos</t>
        </is>
      </c>
      <c r="B2358" s="5" t="inlineStr">
        <is>
          <t>Nicaragua</t>
        </is>
      </c>
      <c r="C2358" s="5" t="n">
        <v>2005</v>
      </c>
      <c r="D2358" s="5" t="inlineStr">
        <is>
          <t>Para el bien de todo el pueblo</t>
        </is>
      </c>
      <c r="E2358" s="6" t="n">
        <v>0.162</v>
      </c>
      <c r="F2358" s="7" t="n">
        <v>1000</v>
      </c>
    </row>
    <row r="2359">
      <c r="A2359" s="5" t="inlineStr">
        <is>
          <t>Grupos poderosos</t>
        </is>
      </c>
      <c r="B2359" s="5" t="inlineStr">
        <is>
          <t>Nicaragua</t>
        </is>
      </c>
      <c r="C2359" s="5" t="n">
        <v>2005</v>
      </c>
      <c r="D2359" s="5" t="inlineStr">
        <is>
          <t>No sabe; no responde</t>
        </is>
      </c>
      <c r="E2359" s="6" t="n">
        <v>0.04</v>
      </c>
      <c r="F2359" s="7" t="n">
        <v>1000</v>
      </c>
    </row>
    <row r="2360">
      <c r="A2360" s="5" t="inlineStr">
        <is>
          <t>Grupos poderosos</t>
        </is>
      </c>
      <c r="B2360" s="5" t="inlineStr">
        <is>
          <t>Nicaragua</t>
        </is>
      </c>
      <c r="C2360" s="5" t="n">
        <v>2006</v>
      </c>
      <c r="D2360" s="5" t="inlineStr">
        <is>
          <t>Grupos poderosos en su propio beneficio</t>
        </is>
      </c>
      <c r="E2360" s="6" t="n">
        <v>0.82</v>
      </c>
      <c r="F2360" s="7" t="n">
        <v>1000</v>
      </c>
    </row>
    <row r="2361">
      <c r="A2361" s="5" t="inlineStr">
        <is>
          <t>Grupos poderosos</t>
        </is>
      </c>
      <c r="B2361" s="5" t="inlineStr">
        <is>
          <t>Nicaragua</t>
        </is>
      </c>
      <c r="C2361" s="5" t="n">
        <v>2006</v>
      </c>
      <c r="D2361" s="5" t="inlineStr">
        <is>
          <t>Para el bien de todo el pueblo</t>
        </is>
      </c>
      <c r="E2361" s="6" t="n">
        <v>0.146</v>
      </c>
      <c r="F2361" s="7" t="n">
        <v>1000</v>
      </c>
    </row>
    <row r="2362">
      <c r="A2362" s="5" t="inlineStr">
        <is>
          <t>Grupos poderosos</t>
        </is>
      </c>
      <c r="B2362" s="5" t="inlineStr">
        <is>
          <t>Nicaragua</t>
        </is>
      </c>
      <c r="C2362" s="5" t="n">
        <v>2006</v>
      </c>
      <c r="D2362" s="5" t="inlineStr">
        <is>
          <t>No sabe; no responde</t>
        </is>
      </c>
      <c r="E2362" s="6" t="n">
        <v>0.034</v>
      </c>
      <c r="F2362" s="7" t="n">
        <v>1000</v>
      </c>
    </row>
    <row r="2363">
      <c r="A2363" s="5" t="inlineStr">
        <is>
          <t>Grupos poderosos</t>
        </is>
      </c>
      <c r="B2363" s="5" t="inlineStr">
        <is>
          <t>Nicaragua</t>
        </is>
      </c>
      <c r="C2363" s="5" t="n">
        <v>2007</v>
      </c>
      <c r="D2363" s="5" t="inlineStr">
        <is>
          <t>Grupos poderosos en su propio beneficio</t>
        </is>
      </c>
      <c r="E2363" s="6" t="n">
        <v>0.647</v>
      </c>
      <c r="F2363" s="7" t="n">
        <v>1000</v>
      </c>
    </row>
    <row r="2364">
      <c r="A2364" s="5" t="inlineStr">
        <is>
          <t>Grupos poderosos</t>
        </is>
      </c>
      <c r="B2364" s="5" t="inlineStr">
        <is>
          <t>Nicaragua</t>
        </is>
      </c>
      <c r="C2364" s="5" t="n">
        <v>2007</v>
      </c>
      <c r="D2364" s="5" t="inlineStr">
        <is>
          <t>Para el bien de todo el pueblo</t>
        </is>
      </c>
      <c r="E2364" s="6" t="n">
        <v>0.334</v>
      </c>
      <c r="F2364" s="7" t="n">
        <v>1000</v>
      </c>
    </row>
    <row r="2365">
      <c r="A2365" s="5" t="inlineStr">
        <is>
          <t>Grupos poderosos</t>
        </is>
      </c>
      <c r="B2365" s="5" t="inlineStr">
        <is>
          <t>Nicaragua</t>
        </is>
      </c>
      <c r="C2365" s="5" t="n">
        <v>2007</v>
      </c>
      <c r="D2365" s="5" t="inlineStr">
        <is>
          <t>No sabe; no responde</t>
        </is>
      </c>
      <c r="E2365" s="6" t="n">
        <v>0.019</v>
      </c>
      <c r="F2365" s="7" t="n">
        <v>1000</v>
      </c>
    </row>
    <row r="2366">
      <c r="A2366" s="5" t="inlineStr">
        <is>
          <t>Grupos poderosos</t>
        </is>
      </c>
      <c r="B2366" s="5" t="inlineStr">
        <is>
          <t>Nicaragua</t>
        </is>
      </c>
      <c r="C2366" s="5" t="n">
        <v>2008</v>
      </c>
      <c r="D2366" s="5" t="inlineStr">
        <is>
          <t>Grupos poderosos en su propio beneficio</t>
        </is>
      </c>
      <c r="E2366" s="6" t="n">
        <v>0.6890000000000001</v>
      </c>
      <c r="F2366" s="7" t="n">
        <v>1000</v>
      </c>
    </row>
    <row r="2367">
      <c r="A2367" s="5" t="inlineStr">
        <is>
          <t>Grupos poderosos</t>
        </is>
      </c>
      <c r="B2367" s="5" t="inlineStr">
        <is>
          <t>Nicaragua</t>
        </is>
      </c>
      <c r="C2367" s="5" t="n">
        <v>2008</v>
      </c>
      <c r="D2367" s="5" t="inlineStr">
        <is>
          <t>Para el bien de todo el pueblo</t>
        </is>
      </c>
      <c r="E2367" s="6" t="n">
        <v>0.27</v>
      </c>
      <c r="F2367" s="7" t="n">
        <v>1000</v>
      </c>
    </row>
    <row r="2368">
      <c r="A2368" s="5" t="inlineStr">
        <is>
          <t>Grupos poderosos</t>
        </is>
      </c>
      <c r="B2368" s="5" t="inlineStr">
        <is>
          <t>Nicaragua</t>
        </is>
      </c>
      <c r="C2368" s="5" t="n">
        <v>2008</v>
      </c>
      <c r="D2368" s="5" t="inlineStr">
        <is>
          <t>No sabe; no responde</t>
        </is>
      </c>
      <c r="E2368" s="6" t="n">
        <v>0.042</v>
      </c>
      <c r="F2368" s="7" t="n">
        <v>1000</v>
      </c>
    </row>
    <row r="2369">
      <c r="A2369" s="5" t="inlineStr">
        <is>
          <t>Grupos poderosos</t>
        </is>
      </c>
      <c r="B2369" s="5" t="inlineStr">
        <is>
          <t>Nicaragua</t>
        </is>
      </c>
      <c r="C2369" s="5" t="n">
        <v>2009</v>
      </c>
      <c r="D2369" s="5" t="inlineStr">
        <is>
          <t>Grupos poderosos en su propio beneficio</t>
        </is>
      </c>
      <c r="E2369" s="6" t="n">
        <v>0.655</v>
      </c>
      <c r="F2369" s="7" t="n">
        <v>1000</v>
      </c>
    </row>
    <row r="2370">
      <c r="A2370" s="5" t="inlineStr">
        <is>
          <t>Grupos poderosos</t>
        </is>
      </c>
      <c r="B2370" s="5" t="inlineStr">
        <is>
          <t>Nicaragua</t>
        </is>
      </c>
      <c r="C2370" s="5" t="n">
        <v>2009</v>
      </c>
      <c r="D2370" s="5" t="inlineStr">
        <is>
          <t>Para el bien de todo el pueblo</t>
        </is>
      </c>
      <c r="E2370" s="6" t="n">
        <v>0.264</v>
      </c>
      <c r="F2370" s="7" t="n">
        <v>1000</v>
      </c>
    </row>
    <row r="2371">
      <c r="A2371" s="5" t="inlineStr">
        <is>
          <t>Grupos poderosos</t>
        </is>
      </c>
      <c r="B2371" s="5" t="inlineStr">
        <is>
          <t>Nicaragua</t>
        </is>
      </c>
      <c r="C2371" s="5" t="n">
        <v>2009</v>
      </c>
      <c r="D2371" s="5" t="inlineStr">
        <is>
          <t>No sabe; no responde</t>
        </is>
      </c>
      <c r="E2371" s="6" t="n">
        <v>0.081</v>
      </c>
      <c r="F2371" s="7" t="n">
        <v>1000</v>
      </c>
    </row>
    <row r="2372">
      <c r="A2372" s="5" t="inlineStr">
        <is>
          <t>Grupos poderosos</t>
        </is>
      </c>
      <c r="B2372" s="5" t="inlineStr">
        <is>
          <t>Nicaragua</t>
        </is>
      </c>
      <c r="C2372" s="5" t="n">
        <v>2010</v>
      </c>
      <c r="D2372" s="5" t="inlineStr">
        <is>
          <t>Grupos poderosos en su propio beneficio</t>
        </is>
      </c>
      <c r="E2372" s="6" t="n">
        <v>0.5920000000000001</v>
      </c>
      <c r="F2372" s="7" t="n">
        <v>1000</v>
      </c>
    </row>
    <row r="2373">
      <c r="A2373" s="5" t="inlineStr">
        <is>
          <t>Grupos poderosos</t>
        </is>
      </c>
      <c r="B2373" s="5" t="inlineStr">
        <is>
          <t>Nicaragua</t>
        </is>
      </c>
      <c r="C2373" s="5" t="n">
        <v>2010</v>
      </c>
      <c r="D2373" s="5" t="inlineStr">
        <is>
          <t>Para el bien de todo el pueblo</t>
        </is>
      </c>
      <c r="E2373" s="6" t="n">
        <v>0.321</v>
      </c>
      <c r="F2373" s="7" t="n">
        <v>1000</v>
      </c>
    </row>
    <row r="2374">
      <c r="A2374" s="5" t="inlineStr">
        <is>
          <t>Grupos poderosos</t>
        </is>
      </c>
      <c r="B2374" s="5" t="inlineStr">
        <is>
          <t>Nicaragua</t>
        </is>
      </c>
      <c r="C2374" s="5" t="n">
        <v>2010</v>
      </c>
      <c r="D2374" s="5" t="inlineStr">
        <is>
          <t>No sabe; no responde</t>
        </is>
      </c>
      <c r="E2374" s="6" t="n">
        <v>0.08699999999999999</v>
      </c>
      <c r="F2374" s="7" t="n">
        <v>1000</v>
      </c>
    </row>
    <row r="2375">
      <c r="A2375" s="5" t="inlineStr">
        <is>
          <t>Grupos poderosos</t>
        </is>
      </c>
      <c r="B2375" s="5" t="inlineStr">
        <is>
          <t>Nicaragua</t>
        </is>
      </c>
      <c r="C2375" s="5" t="n">
        <v>2011</v>
      </c>
      <c r="D2375" s="5" t="inlineStr">
        <is>
          <t>Grupos poderosos en su propio beneficio</t>
        </is>
      </c>
      <c r="E2375" s="6" t="n">
        <v>0.501</v>
      </c>
      <c r="F2375" s="7" t="n">
        <v>1000</v>
      </c>
    </row>
    <row r="2376">
      <c r="A2376" s="5" t="inlineStr">
        <is>
          <t>Grupos poderosos</t>
        </is>
      </c>
      <c r="B2376" s="5" t="inlineStr">
        <is>
          <t>Nicaragua</t>
        </is>
      </c>
      <c r="C2376" s="5" t="n">
        <v>2011</v>
      </c>
      <c r="D2376" s="5" t="inlineStr">
        <is>
          <t>Para el bien de todo el pueblo</t>
        </is>
      </c>
      <c r="E2376" s="6" t="n">
        <v>0.419</v>
      </c>
      <c r="F2376" s="7" t="n">
        <v>1000</v>
      </c>
    </row>
    <row r="2377">
      <c r="A2377" s="5" t="inlineStr">
        <is>
          <t>Grupos poderosos</t>
        </is>
      </c>
      <c r="B2377" s="5" t="inlineStr">
        <is>
          <t>Nicaragua</t>
        </is>
      </c>
      <c r="C2377" s="5" t="n">
        <v>2011</v>
      </c>
      <c r="D2377" s="5" t="inlineStr">
        <is>
          <t>No sabe; no responde</t>
        </is>
      </c>
      <c r="E2377" s="6" t="n">
        <v>0.081</v>
      </c>
      <c r="F2377" s="7" t="n">
        <v>1000</v>
      </c>
    </row>
    <row r="2378">
      <c r="A2378" s="5" t="inlineStr">
        <is>
          <t>Grupos poderosos</t>
        </is>
      </c>
      <c r="B2378" s="5" t="inlineStr">
        <is>
          <t>Nicaragua</t>
        </is>
      </c>
      <c r="C2378" s="5" t="n">
        <v>2016</v>
      </c>
      <c r="D2378" s="5" t="inlineStr">
        <is>
          <t>Grupos poderosos en su propio beneficio</t>
        </is>
      </c>
      <c r="E2378" s="6" t="n">
        <v>0.479</v>
      </c>
      <c r="F2378" s="7" t="n">
        <v>1000</v>
      </c>
    </row>
    <row r="2379">
      <c r="A2379" s="5" t="inlineStr">
        <is>
          <t>Grupos poderosos</t>
        </is>
      </c>
      <c r="B2379" s="5" t="inlineStr">
        <is>
          <t>Nicaragua</t>
        </is>
      </c>
      <c r="C2379" s="5" t="n">
        <v>2016</v>
      </c>
      <c r="D2379" s="5" t="inlineStr">
        <is>
          <t>Para el bien de todo el pueblo</t>
        </is>
      </c>
      <c r="E2379" s="6" t="n">
        <v>0.459</v>
      </c>
      <c r="F2379" s="7" t="n">
        <v>1000</v>
      </c>
    </row>
    <row r="2380">
      <c r="A2380" s="5" t="inlineStr">
        <is>
          <t>Grupos poderosos</t>
        </is>
      </c>
      <c r="B2380" s="5" t="inlineStr">
        <is>
          <t>Nicaragua</t>
        </is>
      </c>
      <c r="C2380" s="5" t="n">
        <v>2016</v>
      </c>
      <c r="D2380" s="5" t="inlineStr">
        <is>
          <t>No sabe; no responde</t>
        </is>
      </c>
      <c r="E2380" s="6" t="n">
        <v>0.063</v>
      </c>
      <c r="F2380" s="7" t="n">
        <v>1000</v>
      </c>
    </row>
    <row r="2381">
      <c r="A2381" s="5" t="inlineStr">
        <is>
          <t>Grupos poderosos</t>
        </is>
      </c>
      <c r="B2381" s="5" t="inlineStr">
        <is>
          <t>Nicaragua</t>
        </is>
      </c>
      <c r="C2381" s="5" t="n">
        <v>2017</v>
      </c>
      <c r="D2381" s="5" t="inlineStr">
        <is>
          <t>Grupos poderosos en su propio beneficio</t>
        </is>
      </c>
      <c r="E2381" s="6" t="n">
        <v>0.43</v>
      </c>
      <c r="F2381" s="7" t="n">
        <v>1000</v>
      </c>
    </row>
    <row r="2382">
      <c r="A2382" s="5" t="inlineStr">
        <is>
          <t>Grupos poderosos</t>
        </is>
      </c>
      <c r="B2382" s="5" t="inlineStr">
        <is>
          <t>Nicaragua</t>
        </is>
      </c>
      <c r="C2382" s="5" t="n">
        <v>2017</v>
      </c>
      <c r="D2382" s="5" t="inlineStr">
        <is>
          <t>Para el bien de todo el pueblo</t>
        </is>
      </c>
      <c r="E2382" s="6" t="n">
        <v>0.519</v>
      </c>
      <c r="F2382" s="7" t="n">
        <v>1000</v>
      </c>
    </row>
    <row r="2383">
      <c r="A2383" s="5" t="inlineStr">
        <is>
          <t>Grupos poderosos</t>
        </is>
      </c>
      <c r="B2383" s="5" t="inlineStr">
        <is>
          <t>Nicaragua</t>
        </is>
      </c>
      <c r="C2383" s="5" t="n">
        <v>2017</v>
      </c>
      <c r="D2383" s="5" t="inlineStr">
        <is>
          <t>No sabe; no responde</t>
        </is>
      </c>
      <c r="E2383" s="6" t="n">
        <v>0.051</v>
      </c>
      <c r="F2383" s="7" t="n">
        <v>1000</v>
      </c>
    </row>
    <row r="2384">
      <c r="A2384" s="5" t="inlineStr">
        <is>
          <t>Grupos poderosos</t>
        </is>
      </c>
      <c r="B2384" s="5" t="inlineStr">
        <is>
          <t>Nicaragua</t>
        </is>
      </c>
      <c r="C2384" s="5" t="n">
        <v>2018</v>
      </c>
      <c r="D2384" s="5" t="inlineStr">
        <is>
          <t>Grupos poderosos en su propio beneficio</t>
        </is>
      </c>
      <c r="E2384" s="6" t="n">
        <v>0.662</v>
      </c>
      <c r="F2384" s="7" t="n">
        <v>1000</v>
      </c>
    </row>
    <row r="2385">
      <c r="A2385" s="5" t="inlineStr">
        <is>
          <t>Grupos poderosos</t>
        </is>
      </c>
      <c r="B2385" s="5" t="inlineStr">
        <is>
          <t>Nicaragua</t>
        </is>
      </c>
      <c r="C2385" s="5" t="n">
        <v>2018</v>
      </c>
      <c r="D2385" s="5" t="inlineStr">
        <is>
          <t>Para el bien de todo el pueblo</t>
        </is>
      </c>
      <c r="E2385" s="6" t="n">
        <v>0.249</v>
      </c>
      <c r="F2385" s="7" t="n">
        <v>1000</v>
      </c>
    </row>
    <row r="2386">
      <c r="A2386" s="5" t="inlineStr">
        <is>
          <t>Grupos poderosos</t>
        </is>
      </c>
      <c r="B2386" s="5" t="inlineStr">
        <is>
          <t>Nicaragua</t>
        </is>
      </c>
      <c r="C2386" s="5" t="n">
        <v>2018</v>
      </c>
      <c r="D2386" s="5" t="inlineStr">
        <is>
          <t>No sabe; no responde</t>
        </is>
      </c>
      <c r="E2386" s="6" t="n">
        <v>0.08900000000000001</v>
      </c>
      <c r="F2386" s="7" t="n">
        <v>1000</v>
      </c>
    </row>
    <row r="2387">
      <c r="A2387" s="5" t="inlineStr">
        <is>
          <t>Grupos poderosos</t>
        </is>
      </c>
      <c r="B2387" s="5" t="inlineStr">
        <is>
          <t>Nicaragua</t>
        </is>
      </c>
      <c r="C2387" s="5" t="n">
        <v>2020</v>
      </c>
      <c r="D2387" s="5" t="inlineStr">
        <is>
          <t>Grupos poderosos en su propio beneficio</t>
        </is>
      </c>
      <c r="E2387" s="6" t="n">
        <v>0.479</v>
      </c>
      <c r="F2387" s="7" t="n">
        <v>1004</v>
      </c>
    </row>
    <row r="2388">
      <c r="A2388" s="5" t="inlineStr">
        <is>
          <t>Grupos poderosos</t>
        </is>
      </c>
      <c r="B2388" s="5" t="inlineStr">
        <is>
          <t>Nicaragua</t>
        </is>
      </c>
      <c r="C2388" s="5" t="n">
        <v>2020</v>
      </c>
      <c r="D2388" s="5" t="inlineStr">
        <is>
          <t>Para el bien de todo el pueblo</t>
        </is>
      </c>
      <c r="E2388" s="6" t="n">
        <v>0.392</v>
      </c>
      <c r="F2388" s="7" t="n">
        <v>1004</v>
      </c>
    </row>
    <row r="2389">
      <c r="A2389" s="5" t="inlineStr">
        <is>
          <t>Grupos poderosos</t>
        </is>
      </c>
      <c r="B2389" s="5" t="inlineStr">
        <is>
          <t>Nicaragua</t>
        </is>
      </c>
      <c r="C2389" s="5" t="n">
        <v>2020</v>
      </c>
      <c r="D2389" s="5" t="inlineStr">
        <is>
          <t>No sabe; no responde</t>
        </is>
      </c>
      <c r="E2389" s="6" t="n">
        <v>0.129</v>
      </c>
      <c r="F2389" s="7" t="n">
        <v>1004</v>
      </c>
    </row>
    <row r="2390">
      <c r="A2390" s="5" t="inlineStr">
        <is>
          <t>Grupos poderosos</t>
        </is>
      </c>
      <c r="B2390" s="5" t="inlineStr">
        <is>
          <t>Panamá</t>
        </is>
      </c>
      <c r="C2390" s="5" t="n">
        <v>2004</v>
      </c>
      <c r="D2390" s="5" t="inlineStr">
        <is>
          <t>Grupos poderosos en su propio beneficio</t>
        </is>
      </c>
      <c r="E2390" s="6" t="n">
        <v>0.6729999999999999</v>
      </c>
      <c r="F2390" s="7" t="n">
        <v>1000</v>
      </c>
    </row>
    <row r="2391">
      <c r="A2391" s="5" t="inlineStr">
        <is>
          <t>Grupos poderosos</t>
        </is>
      </c>
      <c r="B2391" s="5" t="inlineStr">
        <is>
          <t>Panamá</t>
        </is>
      </c>
      <c r="C2391" s="5" t="n">
        <v>2004</v>
      </c>
      <c r="D2391" s="5" t="inlineStr">
        <is>
          <t>Para el bien de todo el pueblo</t>
        </is>
      </c>
      <c r="E2391" s="6" t="n">
        <v>0.205</v>
      </c>
      <c r="F2391" s="7" t="n">
        <v>1000</v>
      </c>
    </row>
    <row r="2392">
      <c r="A2392" s="5" t="inlineStr">
        <is>
          <t>Grupos poderosos</t>
        </is>
      </c>
      <c r="B2392" s="5" t="inlineStr">
        <is>
          <t>Panamá</t>
        </is>
      </c>
      <c r="C2392" s="5" t="n">
        <v>2004</v>
      </c>
      <c r="D2392" s="5" t="inlineStr">
        <is>
          <t>No sabe; no responde</t>
        </is>
      </c>
      <c r="E2392" s="6" t="n">
        <v>0.122</v>
      </c>
      <c r="F2392" s="7" t="n">
        <v>1000</v>
      </c>
    </row>
    <row r="2393">
      <c r="A2393" s="5" t="inlineStr">
        <is>
          <t>Grupos poderosos</t>
        </is>
      </c>
      <c r="B2393" s="5" t="inlineStr">
        <is>
          <t>Panamá</t>
        </is>
      </c>
      <c r="C2393" s="5" t="n">
        <v>2005</v>
      </c>
      <c r="D2393" s="5" t="inlineStr">
        <is>
          <t>Grupos poderosos en su propio beneficio</t>
        </is>
      </c>
      <c r="E2393" s="6" t="n">
        <v>0.8100000000000001</v>
      </c>
      <c r="F2393" s="7" t="n">
        <v>1008</v>
      </c>
    </row>
    <row r="2394">
      <c r="A2394" s="5" t="inlineStr">
        <is>
          <t>Grupos poderosos</t>
        </is>
      </c>
      <c r="B2394" s="5" t="inlineStr">
        <is>
          <t>Panamá</t>
        </is>
      </c>
      <c r="C2394" s="5" t="n">
        <v>2005</v>
      </c>
      <c r="D2394" s="5" t="inlineStr">
        <is>
          <t>Para el bien de todo el pueblo</t>
        </is>
      </c>
      <c r="E2394" s="6" t="n">
        <v>0.173</v>
      </c>
      <c r="F2394" s="7" t="n">
        <v>1008</v>
      </c>
    </row>
    <row r="2395">
      <c r="A2395" s="5" t="inlineStr">
        <is>
          <t>Grupos poderosos</t>
        </is>
      </c>
      <c r="B2395" s="5" t="inlineStr">
        <is>
          <t>Panamá</t>
        </is>
      </c>
      <c r="C2395" s="5" t="n">
        <v>2005</v>
      </c>
      <c r="D2395" s="5" t="inlineStr">
        <is>
          <t>No sabe; no responde</t>
        </is>
      </c>
      <c r="E2395" s="6" t="n">
        <v>0.018</v>
      </c>
      <c r="F2395" s="7" t="n">
        <v>1008</v>
      </c>
    </row>
    <row r="2396">
      <c r="A2396" s="5" t="inlineStr">
        <is>
          <t>Grupos poderosos</t>
        </is>
      </c>
      <c r="B2396" s="5" t="inlineStr">
        <is>
          <t>Panamá</t>
        </is>
      </c>
      <c r="C2396" s="5" t="n">
        <v>2006</v>
      </c>
      <c r="D2396" s="5" t="inlineStr">
        <is>
          <t>Grupos poderosos en su propio beneficio</t>
        </is>
      </c>
      <c r="E2396" s="6" t="n">
        <v>0.8090000000000001</v>
      </c>
      <c r="F2396" s="7" t="n">
        <v>1008</v>
      </c>
    </row>
    <row r="2397">
      <c r="A2397" s="5" t="inlineStr">
        <is>
          <t>Grupos poderosos</t>
        </is>
      </c>
      <c r="B2397" s="5" t="inlineStr">
        <is>
          <t>Panamá</t>
        </is>
      </c>
      <c r="C2397" s="5" t="n">
        <v>2006</v>
      </c>
      <c r="D2397" s="5" t="inlineStr">
        <is>
          <t>Para el bien de todo el pueblo</t>
        </is>
      </c>
      <c r="E2397" s="6" t="n">
        <v>0.168</v>
      </c>
      <c r="F2397" s="7" t="n">
        <v>1008</v>
      </c>
    </row>
    <row r="2398">
      <c r="A2398" s="5" t="inlineStr">
        <is>
          <t>Grupos poderosos</t>
        </is>
      </c>
      <c r="B2398" s="5" t="inlineStr">
        <is>
          <t>Panamá</t>
        </is>
      </c>
      <c r="C2398" s="5" t="n">
        <v>2006</v>
      </c>
      <c r="D2398" s="5" t="inlineStr">
        <is>
          <t>No sabe; no responde</t>
        </is>
      </c>
      <c r="E2398" s="6" t="n">
        <v>0.024</v>
      </c>
      <c r="F2398" s="7" t="n">
        <v>1008</v>
      </c>
    </row>
    <row r="2399">
      <c r="A2399" s="5" t="inlineStr">
        <is>
          <t>Grupos poderosos</t>
        </is>
      </c>
      <c r="B2399" s="5" t="inlineStr">
        <is>
          <t>Panamá</t>
        </is>
      </c>
      <c r="C2399" s="5" t="n">
        <v>2007</v>
      </c>
      <c r="D2399" s="5" t="inlineStr">
        <is>
          <t>Grupos poderosos en su propio beneficio</t>
        </is>
      </c>
      <c r="E2399" s="6" t="n">
        <v>0.8129999999999999</v>
      </c>
      <c r="F2399" s="7" t="n">
        <v>1008</v>
      </c>
    </row>
    <row r="2400">
      <c r="A2400" s="5" t="inlineStr">
        <is>
          <t>Grupos poderosos</t>
        </is>
      </c>
      <c r="B2400" s="5" t="inlineStr">
        <is>
          <t>Panamá</t>
        </is>
      </c>
      <c r="C2400" s="5" t="n">
        <v>2007</v>
      </c>
      <c r="D2400" s="5" t="inlineStr">
        <is>
          <t>Para el bien de todo el pueblo</t>
        </is>
      </c>
      <c r="E2400" s="6" t="n">
        <v>0.133</v>
      </c>
      <c r="F2400" s="7" t="n">
        <v>1008</v>
      </c>
    </row>
    <row r="2401">
      <c r="A2401" s="5" t="inlineStr">
        <is>
          <t>Grupos poderosos</t>
        </is>
      </c>
      <c r="B2401" s="5" t="inlineStr">
        <is>
          <t>Panamá</t>
        </is>
      </c>
      <c r="C2401" s="5" t="n">
        <v>2007</v>
      </c>
      <c r="D2401" s="5" t="inlineStr">
        <is>
          <t>No sabe; no responde</t>
        </is>
      </c>
      <c r="E2401" s="6" t="n">
        <v>0.05400000000000001</v>
      </c>
      <c r="F2401" s="7" t="n">
        <v>1008</v>
      </c>
    </row>
    <row r="2402">
      <c r="A2402" s="5" t="inlineStr">
        <is>
          <t>Grupos poderosos</t>
        </is>
      </c>
      <c r="B2402" s="5" t="inlineStr">
        <is>
          <t>Panamá</t>
        </is>
      </c>
      <c r="C2402" s="5" t="n">
        <v>2008</v>
      </c>
      <c r="D2402" s="5" t="inlineStr">
        <is>
          <t>Grupos poderosos en su propio beneficio</t>
        </is>
      </c>
      <c r="E2402" s="6" t="n">
        <v>0.8420000000000001</v>
      </c>
      <c r="F2402" s="7" t="n">
        <v>1000</v>
      </c>
    </row>
    <row r="2403">
      <c r="A2403" s="5" t="inlineStr">
        <is>
          <t>Grupos poderosos</t>
        </is>
      </c>
      <c r="B2403" s="5" t="inlineStr">
        <is>
          <t>Panamá</t>
        </is>
      </c>
      <c r="C2403" s="5" t="n">
        <v>2008</v>
      </c>
      <c r="D2403" s="5" t="inlineStr">
        <is>
          <t>Para el bien de todo el pueblo</t>
        </is>
      </c>
      <c r="E2403" s="6" t="n">
        <v>0.124</v>
      </c>
      <c r="F2403" s="7" t="n">
        <v>1000</v>
      </c>
    </row>
    <row r="2404">
      <c r="A2404" s="5" t="inlineStr">
        <is>
          <t>Grupos poderosos</t>
        </is>
      </c>
      <c r="B2404" s="5" t="inlineStr">
        <is>
          <t>Panamá</t>
        </is>
      </c>
      <c r="C2404" s="5" t="n">
        <v>2008</v>
      </c>
      <c r="D2404" s="5" t="inlineStr">
        <is>
          <t>No sabe; no responde</t>
        </is>
      </c>
      <c r="E2404" s="6" t="n">
        <v>0.034</v>
      </c>
      <c r="F2404" s="7" t="n">
        <v>1000</v>
      </c>
    </row>
    <row r="2405">
      <c r="A2405" s="5" t="inlineStr">
        <is>
          <t>Grupos poderosos</t>
        </is>
      </c>
      <c r="B2405" s="5" t="inlineStr">
        <is>
          <t>Panamá</t>
        </is>
      </c>
      <c r="C2405" s="5" t="n">
        <v>2009</v>
      </c>
      <c r="D2405" s="5" t="inlineStr">
        <is>
          <t>Grupos poderosos en su propio beneficio</t>
        </is>
      </c>
      <c r="E2405" s="6" t="n">
        <v>0.403</v>
      </c>
      <c r="F2405" s="7" t="n">
        <v>1000</v>
      </c>
    </row>
    <row r="2406">
      <c r="A2406" s="5" t="inlineStr">
        <is>
          <t>Grupos poderosos</t>
        </is>
      </c>
      <c r="B2406" s="5" t="inlineStr">
        <is>
          <t>Panamá</t>
        </is>
      </c>
      <c r="C2406" s="5" t="n">
        <v>2009</v>
      </c>
      <c r="D2406" s="5" t="inlineStr">
        <is>
          <t>Para el bien de todo el pueblo</t>
        </is>
      </c>
      <c r="E2406" s="6" t="n">
        <v>0.4970000000000001</v>
      </c>
      <c r="F2406" s="7" t="n">
        <v>1000</v>
      </c>
    </row>
    <row r="2407">
      <c r="A2407" s="5" t="inlineStr">
        <is>
          <t>Grupos poderosos</t>
        </is>
      </c>
      <c r="B2407" s="5" t="inlineStr">
        <is>
          <t>Panamá</t>
        </is>
      </c>
      <c r="C2407" s="5" t="n">
        <v>2009</v>
      </c>
      <c r="D2407" s="5" t="inlineStr">
        <is>
          <t>No sabe; no responde</t>
        </is>
      </c>
      <c r="E2407" s="6" t="n">
        <v>0.1</v>
      </c>
      <c r="F2407" s="7" t="n">
        <v>1000</v>
      </c>
    </row>
    <row r="2408">
      <c r="A2408" s="5" t="inlineStr">
        <is>
          <t>Grupos poderosos</t>
        </is>
      </c>
      <c r="B2408" s="5" t="inlineStr">
        <is>
          <t>Panamá</t>
        </is>
      </c>
      <c r="C2408" s="5" t="n">
        <v>2010</v>
      </c>
      <c r="D2408" s="5" t="inlineStr">
        <is>
          <t>Grupos poderosos en su propio beneficio</t>
        </is>
      </c>
      <c r="E2408" s="6" t="n">
        <v>0.599</v>
      </c>
      <c r="F2408" s="7" t="n">
        <v>1000</v>
      </c>
    </row>
    <row r="2409">
      <c r="A2409" s="5" t="inlineStr">
        <is>
          <t>Grupos poderosos</t>
        </is>
      </c>
      <c r="B2409" s="5" t="inlineStr">
        <is>
          <t>Panamá</t>
        </is>
      </c>
      <c r="C2409" s="5" t="n">
        <v>2010</v>
      </c>
      <c r="D2409" s="5" t="inlineStr">
        <is>
          <t>Para el bien de todo el pueblo</t>
        </is>
      </c>
      <c r="E2409" s="6" t="n">
        <v>0.335</v>
      </c>
      <c r="F2409" s="7" t="n">
        <v>1000</v>
      </c>
    </row>
    <row r="2410">
      <c r="A2410" s="5" t="inlineStr">
        <is>
          <t>Grupos poderosos</t>
        </is>
      </c>
      <c r="B2410" s="5" t="inlineStr">
        <is>
          <t>Panamá</t>
        </is>
      </c>
      <c r="C2410" s="5" t="n">
        <v>2010</v>
      </c>
      <c r="D2410" s="5" t="inlineStr">
        <is>
          <t>No sabe; no responde</t>
        </is>
      </c>
      <c r="E2410" s="6" t="n">
        <v>0.066</v>
      </c>
      <c r="F2410" s="7" t="n">
        <v>1000</v>
      </c>
    </row>
    <row r="2411">
      <c r="A2411" s="5" t="inlineStr">
        <is>
          <t>Grupos poderosos</t>
        </is>
      </c>
      <c r="B2411" s="5" t="inlineStr">
        <is>
          <t>Panamá</t>
        </is>
      </c>
      <c r="C2411" s="5" t="n">
        <v>2011</v>
      </c>
      <c r="D2411" s="5" t="inlineStr">
        <is>
          <t>Grupos poderosos en su propio beneficio</t>
        </is>
      </c>
      <c r="E2411" s="6" t="n">
        <v>0.655</v>
      </c>
      <c r="F2411" s="7" t="n">
        <v>1000</v>
      </c>
    </row>
    <row r="2412">
      <c r="A2412" s="5" t="inlineStr">
        <is>
          <t>Grupos poderosos</t>
        </is>
      </c>
      <c r="B2412" s="5" t="inlineStr">
        <is>
          <t>Panamá</t>
        </is>
      </c>
      <c r="C2412" s="5" t="n">
        <v>2011</v>
      </c>
      <c r="D2412" s="5" t="inlineStr">
        <is>
          <t>Para el bien de todo el pueblo</t>
        </is>
      </c>
      <c r="E2412" s="6" t="n">
        <v>0.297</v>
      </c>
      <c r="F2412" s="7" t="n">
        <v>1000</v>
      </c>
    </row>
    <row r="2413">
      <c r="A2413" s="5" t="inlineStr">
        <is>
          <t>Grupos poderosos</t>
        </is>
      </c>
      <c r="B2413" s="5" t="inlineStr">
        <is>
          <t>Panamá</t>
        </is>
      </c>
      <c r="C2413" s="5" t="n">
        <v>2011</v>
      </c>
      <c r="D2413" s="5" t="inlineStr">
        <is>
          <t>No sabe; no responde</t>
        </is>
      </c>
      <c r="E2413" s="6" t="n">
        <v>0.048</v>
      </c>
      <c r="F2413" s="7" t="n">
        <v>1000</v>
      </c>
    </row>
    <row r="2414">
      <c r="A2414" s="5" t="inlineStr">
        <is>
          <t>Grupos poderosos</t>
        </is>
      </c>
      <c r="B2414" s="5" t="inlineStr">
        <is>
          <t>Panamá</t>
        </is>
      </c>
      <c r="C2414" s="5" t="n">
        <v>2016</v>
      </c>
      <c r="D2414" s="5" t="inlineStr">
        <is>
          <t>Grupos poderosos en su propio beneficio</t>
        </is>
      </c>
      <c r="E2414" s="6" t="n">
        <v>0.799</v>
      </c>
      <c r="F2414" s="7" t="n">
        <v>1000</v>
      </c>
    </row>
    <row r="2415">
      <c r="A2415" s="5" t="inlineStr">
        <is>
          <t>Grupos poderosos</t>
        </is>
      </c>
      <c r="B2415" s="5" t="inlineStr">
        <is>
          <t>Panamá</t>
        </is>
      </c>
      <c r="C2415" s="5" t="n">
        <v>2016</v>
      </c>
      <c r="D2415" s="5" t="inlineStr">
        <is>
          <t>Para el bien de todo el pueblo</t>
        </is>
      </c>
      <c r="E2415" s="6" t="n">
        <v>0.167</v>
      </c>
      <c r="F2415" s="7" t="n">
        <v>1000</v>
      </c>
    </row>
    <row r="2416">
      <c r="A2416" s="5" t="inlineStr">
        <is>
          <t>Grupos poderosos</t>
        </is>
      </c>
      <c r="B2416" s="5" t="inlineStr">
        <is>
          <t>Panamá</t>
        </is>
      </c>
      <c r="C2416" s="5" t="n">
        <v>2016</v>
      </c>
      <c r="D2416" s="5" t="inlineStr">
        <is>
          <t>No sabe; no responde</t>
        </is>
      </c>
      <c r="E2416" s="6" t="n">
        <v>0.034</v>
      </c>
      <c r="F2416" s="7" t="n">
        <v>1000</v>
      </c>
    </row>
    <row r="2417">
      <c r="A2417" s="5" t="inlineStr">
        <is>
          <t>Grupos poderosos</t>
        </is>
      </c>
      <c r="B2417" s="5" t="inlineStr">
        <is>
          <t>Panamá</t>
        </is>
      </c>
      <c r="C2417" s="5" t="n">
        <v>2017</v>
      </c>
      <c r="D2417" s="5" t="inlineStr">
        <is>
          <t>Grupos poderosos en su propio beneficio</t>
        </is>
      </c>
      <c r="E2417" s="6" t="n">
        <v>0.8140000000000001</v>
      </c>
      <c r="F2417" s="7" t="n">
        <v>1000</v>
      </c>
    </row>
    <row r="2418">
      <c r="A2418" s="5" t="inlineStr">
        <is>
          <t>Grupos poderosos</t>
        </is>
      </c>
      <c r="B2418" s="5" t="inlineStr">
        <is>
          <t>Panamá</t>
        </is>
      </c>
      <c r="C2418" s="5" t="n">
        <v>2017</v>
      </c>
      <c r="D2418" s="5" t="inlineStr">
        <is>
          <t>Para el bien de todo el pueblo</t>
        </is>
      </c>
      <c r="E2418" s="6" t="n">
        <v>0.152</v>
      </c>
      <c r="F2418" s="7" t="n">
        <v>1000</v>
      </c>
    </row>
    <row r="2419">
      <c r="A2419" s="5" t="inlineStr">
        <is>
          <t>Grupos poderosos</t>
        </is>
      </c>
      <c r="B2419" s="5" t="inlineStr">
        <is>
          <t>Panamá</t>
        </is>
      </c>
      <c r="C2419" s="5" t="n">
        <v>2017</v>
      </c>
      <c r="D2419" s="5" t="inlineStr">
        <is>
          <t>No sabe; no responde</t>
        </is>
      </c>
      <c r="E2419" s="6" t="n">
        <v>0.034</v>
      </c>
      <c r="F2419" s="7" t="n">
        <v>1000</v>
      </c>
    </row>
    <row r="2420">
      <c r="A2420" s="5" t="inlineStr">
        <is>
          <t>Grupos poderosos</t>
        </is>
      </c>
      <c r="B2420" s="5" t="inlineStr">
        <is>
          <t>Panamá</t>
        </is>
      </c>
      <c r="C2420" s="5" t="n">
        <v>2018</v>
      </c>
      <c r="D2420" s="5" t="inlineStr">
        <is>
          <t>Grupos poderosos en su propio beneficio</t>
        </is>
      </c>
      <c r="E2420" s="6" t="n">
        <v>0.8270000000000001</v>
      </c>
      <c r="F2420" s="7" t="n">
        <v>1000</v>
      </c>
    </row>
    <row r="2421">
      <c r="A2421" s="5" t="inlineStr">
        <is>
          <t>Grupos poderosos</t>
        </is>
      </c>
      <c r="B2421" s="5" t="inlineStr">
        <is>
          <t>Panamá</t>
        </is>
      </c>
      <c r="C2421" s="5" t="n">
        <v>2018</v>
      </c>
      <c r="D2421" s="5" t="inlineStr">
        <is>
          <t>Para el bien de todo el pueblo</t>
        </is>
      </c>
      <c r="E2421" s="6" t="n">
        <v>0.147</v>
      </c>
      <c r="F2421" s="7" t="n">
        <v>1000</v>
      </c>
    </row>
    <row r="2422">
      <c r="A2422" s="5" t="inlineStr">
        <is>
          <t>Grupos poderosos</t>
        </is>
      </c>
      <c r="B2422" s="5" t="inlineStr">
        <is>
          <t>Panamá</t>
        </is>
      </c>
      <c r="C2422" s="5" t="n">
        <v>2018</v>
      </c>
      <c r="D2422" s="5" t="inlineStr">
        <is>
          <t>No sabe; no responde</t>
        </is>
      </c>
      <c r="E2422" s="6" t="n">
        <v>0.026</v>
      </c>
      <c r="F2422" s="7" t="n">
        <v>1000</v>
      </c>
    </row>
    <row r="2423">
      <c r="A2423" s="5" t="inlineStr">
        <is>
          <t>Grupos poderosos</t>
        </is>
      </c>
      <c r="B2423" s="5" t="inlineStr">
        <is>
          <t>Panamá</t>
        </is>
      </c>
      <c r="C2423" s="5" t="n">
        <v>2020</v>
      </c>
      <c r="D2423" s="5" t="inlineStr">
        <is>
          <t>Grupos poderosos en su propio beneficio</t>
        </is>
      </c>
      <c r="E2423" s="6" t="n">
        <v>0.794</v>
      </c>
      <c r="F2423" s="7" t="n">
        <v>1000</v>
      </c>
    </row>
    <row r="2424">
      <c r="A2424" s="5" t="inlineStr">
        <is>
          <t>Grupos poderosos</t>
        </is>
      </c>
      <c r="B2424" s="5" t="inlineStr">
        <is>
          <t>Panamá</t>
        </is>
      </c>
      <c r="C2424" s="5" t="n">
        <v>2020</v>
      </c>
      <c r="D2424" s="5" t="inlineStr">
        <is>
          <t>Para el bien de todo el pueblo</t>
        </is>
      </c>
      <c r="E2424" s="6" t="n">
        <v>0.188</v>
      </c>
      <c r="F2424" s="7" t="n">
        <v>1000</v>
      </c>
    </row>
    <row r="2425">
      <c r="A2425" s="5" t="inlineStr">
        <is>
          <t>Grupos poderosos</t>
        </is>
      </c>
      <c r="B2425" s="5" t="inlineStr">
        <is>
          <t>Panamá</t>
        </is>
      </c>
      <c r="C2425" s="5" t="n">
        <v>2020</v>
      </c>
      <c r="D2425" s="5" t="inlineStr">
        <is>
          <t>No sabe; no responde</t>
        </is>
      </c>
      <c r="E2425" s="6" t="n">
        <v>0.018</v>
      </c>
      <c r="F2425" s="7" t="n">
        <v>1000</v>
      </c>
    </row>
    <row r="2426">
      <c r="A2426" s="5" t="inlineStr">
        <is>
          <t>Grupos poderosos</t>
        </is>
      </c>
      <c r="B2426" s="5" t="inlineStr">
        <is>
          <t>Panamá</t>
        </is>
      </c>
      <c r="C2426" s="5" t="n">
        <v>2024</v>
      </c>
      <c r="D2426" s="5" t="inlineStr">
        <is>
          <t>Grupos poderosos en su propio beneficio</t>
        </is>
      </c>
      <c r="E2426" s="6" t="n">
        <v>0.6779999999999999</v>
      </c>
      <c r="F2426" s="7" t="n">
        <v>1000</v>
      </c>
    </row>
    <row r="2427">
      <c r="A2427" s="5" t="inlineStr">
        <is>
          <t>Grupos poderosos</t>
        </is>
      </c>
      <c r="B2427" s="5" t="inlineStr">
        <is>
          <t>Panamá</t>
        </is>
      </c>
      <c r="C2427" s="5" t="n">
        <v>2024</v>
      </c>
      <c r="D2427" s="5" t="inlineStr">
        <is>
          <t>Para el bien de todo el pueblo</t>
        </is>
      </c>
      <c r="E2427" s="6" t="n">
        <v>0.281</v>
      </c>
      <c r="F2427" s="7" t="n">
        <v>1000</v>
      </c>
    </row>
    <row r="2428">
      <c r="A2428" s="5" t="inlineStr">
        <is>
          <t>Grupos poderosos</t>
        </is>
      </c>
      <c r="B2428" s="5" t="inlineStr">
        <is>
          <t>Panamá</t>
        </is>
      </c>
      <c r="C2428" s="5" t="n">
        <v>2024</v>
      </c>
      <c r="D2428" s="5" t="inlineStr">
        <is>
          <t>No sabe; no responde</t>
        </is>
      </c>
      <c r="E2428" s="6" t="n">
        <v>0.04099999999999999</v>
      </c>
      <c r="F2428" s="7" t="n">
        <v>1000</v>
      </c>
    </row>
    <row r="2429">
      <c r="A2429" s="5" t="inlineStr">
        <is>
          <t>Grupos poderosos</t>
        </is>
      </c>
      <c r="B2429" s="5" t="inlineStr">
        <is>
          <t>Paraguay</t>
        </is>
      </c>
      <c r="C2429" s="5" t="n">
        <v>2004</v>
      </c>
      <c r="D2429" s="5" t="inlineStr">
        <is>
          <t>Grupos poderosos en su propio beneficio</t>
        </is>
      </c>
      <c r="E2429" s="6" t="n">
        <v>0.778</v>
      </c>
      <c r="F2429" s="7" t="n">
        <v>600</v>
      </c>
    </row>
    <row r="2430">
      <c r="A2430" s="5" t="inlineStr">
        <is>
          <t>Grupos poderosos</t>
        </is>
      </c>
      <c r="B2430" s="5" t="inlineStr">
        <is>
          <t>Paraguay</t>
        </is>
      </c>
      <c r="C2430" s="5" t="n">
        <v>2004</v>
      </c>
      <c r="D2430" s="5" t="inlineStr">
        <is>
          <t>Para el bien de todo el pueblo</t>
        </is>
      </c>
      <c r="E2430" s="6" t="n">
        <v>0.177</v>
      </c>
      <c r="F2430" s="7" t="n">
        <v>600</v>
      </c>
    </row>
    <row r="2431">
      <c r="A2431" s="5" t="inlineStr">
        <is>
          <t>Grupos poderosos</t>
        </is>
      </c>
      <c r="B2431" s="5" t="inlineStr">
        <is>
          <t>Paraguay</t>
        </is>
      </c>
      <c r="C2431" s="5" t="n">
        <v>2004</v>
      </c>
      <c r="D2431" s="5" t="inlineStr">
        <is>
          <t>No sabe; no responde</t>
        </is>
      </c>
      <c r="E2431" s="6" t="n">
        <v>0.045</v>
      </c>
      <c r="F2431" s="7" t="n">
        <v>600</v>
      </c>
    </row>
    <row r="2432">
      <c r="A2432" s="5" t="inlineStr">
        <is>
          <t>Grupos poderosos</t>
        </is>
      </c>
      <c r="B2432" s="5" t="inlineStr">
        <is>
          <t>Paraguay</t>
        </is>
      </c>
      <c r="C2432" s="5" t="n">
        <v>2005</v>
      </c>
      <c r="D2432" s="5" t="inlineStr">
        <is>
          <t>Grupos poderosos en su propio beneficio</t>
        </is>
      </c>
      <c r="E2432" s="6" t="n">
        <v>0.8140000000000001</v>
      </c>
      <c r="F2432" s="7" t="n">
        <v>1200</v>
      </c>
    </row>
    <row r="2433">
      <c r="A2433" s="5" t="inlineStr">
        <is>
          <t>Grupos poderosos</t>
        </is>
      </c>
      <c r="B2433" s="5" t="inlineStr">
        <is>
          <t>Paraguay</t>
        </is>
      </c>
      <c r="C2433" s="5" t="n">
        <v>2005</v>
      </c>
      <c r="D2433" s="5" t="inlineStr">
        <is>
          <t>Para el bien de todo el pueblo</t>
        </is>
      </c>
      <c r="E2433" s="6" t="n">
        <v>0.138</v>
      </c>
      <c r="F2433" s="7" t="n">
        <v>1200</v>
      </c>
    </row>
    <row r="2434">
      <c r="A2434" s="5" t="inlineStr">
        <is>
          <t>Grupos poderosos</t>
        </is>
      </c>
      <c r="B2434" s="5" t="inlineStr">
        <is>
          <t>Paraguay</t>
        </is>
      </c>
      <c r="C2434" s="5" t="n">
        <v>2005</v>
      </c>
      <c r="D2434" s="5" t="inlineStr">
        <is>
          <t>No sabe; no responde</t>
        </is>
      </c>
      <c r="E2434" s="6" t="n">
        <v>0.048</v>
      </c>
      <c r="F2434" s="7" t="n">
        <v>1200</v>
      </c>
    </row>
    <row r="2435">
      <c r="A2435" s="5" t="inlineStr">
        <is>
          <t>Grupos poderosos</t>
        </is>
      </c>
      <c r="B2435" s="5" t="inlineStr">
        <is>
          <t>Paraguay</t>
        </is>
      </c>
      <c r="C2435" s="5" t="n">
        <v>2006</v>
      </c>
      <c r="D2435" s="5" t="inlineStr">
        <is>
          <t>Grupos poderosos en su propio beneficio</t>
        </is>
      </c>
      <c r="E2435" s="6" t="n">
        <v>0.779</v>
      </c>
      <c r="F2435" s="7" t="n">
        <v>1200</v>
      </c>
    </row>
    <row r="2436">
      <c r="A2436" s="5" t="inlineStr">
        <is>
          <t>Grupos poderosos</t>
        </is>
      </c>
      <c r="B2436" s="5" t="inlineStr">
        <is>
          <t>Paraguay</t>
        </is>
      </c>
      <c r="C2436" s="5" t="n">
        <v>2006</v>
      </c>
      <c r="D2436" s="5" t="inlineStr">
        <is>
          <t>Para el bien de todo el pueblo</t>
        </is>
      </c>
      <c r="E2436" s="6" t="n">
        <v>0.156</v>
      </c>
      <c r="F2436" s="7" t="n">
        <v>1200</v>
      </c>
    </row>
    <row r="2437">
      <c r="A2437" s="5" t="inlineStr">
        <is>
          <t>Grupos poderosos</t>
        </is>
      </c>
      <c r="B2437" s="5" t="inlineStr">
        <is>
          <t>Paraguay</t>
        </is>
      </c>
      <c r="C2437" s="5" t="n">
        <v>2006</v>
      </c>
      <c r="D2437" s="5" t="inlineStr">
        <is>
          <t>No sabe; no responde</t>
        </is>
      </c>
      <c r="E2437" s="6" t="n">
        <v>0.065</v>
      </c>
      <c r="F2437" s="7" t="n">
        <v>1200</v>
      </c>
    </row>
    <row r="2438">
      <c r="A2438" s="5" t="inlineStr">
        <is>
          <t>Grupos poderosos</t>
        </is>
      </c>
      <c r="B2438" s="5" t="inlineStr">
        <is>
          <t>Paraguay</t>
        </is>
      </c>
      <c r="C2438" s="5" t="n">
        <v>2007</v>
      </c>
      <c r="D2438" s="5" t="inlineStr">
        <is>
          <t>Grupos poderosos en su propio beneficio</t>
        </is>
      </c>
      <c r="E2438" s="6" t="n">
        <v>0.9009999999999999</v>
      </c>
      <c r="F2438" s="7" t="n">
        <v>1200</v>
      </c>
    </row>
    <row r="2439">
      <c r="A2439" s="5" t="inlineStr">
        <is>
          <t>Grupos poderosos</t>
        </is>
      </c>
      <c r="B2439" s="5" t="inlineStr">
        <is>
          <t>Paraguay</t>
        </is>
      </c>
      <c r="C2439" s="5" t="n">
        <v>2007</v>
      </c>
      <c r="D2439" s="5" t="inlineStr">
        <is>
          <t>Para el bien de todo el pueblo</t>
        </is>
      </c>
      <c r="E2439" s="6" t="n">
        <v>0.065</v>
      </c>
      <c r="F2439" s="7" t="n">
        <v>1200</v>
      </c>
    </row>
    <row r="2440">
      <c r="A2440" s="5" t="inlineStr">
        <is>
          <t>Grupos poderosos</t>
        </is>
      </c>
      <c r="B2440" s="5" t="inlineStr">
        <is>
          <t>Paraguay</t>
        </is>
      </c>
      <c r="C2440" s="5" t="n">
        <v>2007</v>
      </c>
      <c r="D2440" s="5" t="inlineStr">
        <is>
          <t>No sabe; no responde</t>
        </is>
      </c>
      <c r="E2440" s="6" t="n">
        <v>0.034</v>
      </c>
      <c r="F2440" s="7" t="n">
        <v>1200</v>
      </c>
    </row>
    <row r="2441">
      <c r="A2441" s="5" t="inlineStr">
        <is>
          <t>Grupos poderosos</t>
        </is>
      </c>
      <c r="B2441" s="5" t="inlineStr">
        <is>
          <t>Paraguay</t>
        </is>
      </c>
      <c r="C2441" s="5" t="n">
        <v>2008</v>
      </c>
      <c r="D2441" s="5" t="inlineStr">
        <is>
          <t>Grupos poderosos en su propio beneficio</t>
        </is>
      </c>
      <c r="E2441" s="6" t="n">
        <v>0.467</v>
      </c>
      <c r="F2441" s="7" t="n">
        <v>1200</v>
      </c>
    </row>
    <row r="2442">
      <c r="A2442" s="5" t="inlineStr">
        <is>
          <t>Grupos poderosos</t>
        </is>
      </c>
      <c r="B2442" s="5" t="inlineStr">
        <is>
          <t>Paraguay</t>
        </is>
      </c>
      <c r="C2442" s="5" t="n">
        <v>2008</v>
      </c>
      <c r="D2442" s="5" t="inlineStr">
        <is>
          <t>Para el bien de todo el pueblo</t>
        </is>
      </c>
      <c r="E2442" s="6" t="n">
        <v>0.431</v>
      </c>
      <c r="F2442" s="7" t="n">
        <v>1200</v>
      </c>
    </row>
    <row r="2443">
      <c r="A2443" s="5" t="inlineStr">
        <is>
          <t>Grupos poderosos</t>
        </is>
      </c>
      <c r="B2443" s="5" t="inlineStr">
        <is>
          <t>Paraguay</t>
        </is>
      </c>
      <c r="C2443" s="5" t="n">
        <v>2008</v>
      </c>
      <c r="D2443" s="5" t="inlineStr">
        <is>
          <t>No sabe; no responde</t>
        </is>
      </c>
      <c r="E2443" s="6" t="n">
        <v>0.103</v>
      </c>
      <c r="F2443" s="7" t="n">
        <v>1200</v>
      </c>
    </row>
    <row r="2444">
      <c r="A2444" s="5" t="inlineStr">
        <is>
          <t>Grupos poderosos</t>
        </is>
      </c>
      <c r="B2444" s="5" t="inlineStr">
        <is>
          <t>Paraguay</t>
        </is>
      </c>
      <c r="C2444" s="5" t="n">
        <v>2009</v>
      </c>
      <c r="D2444" s="5" t="inlineStr">
        <is>
          <t>Grupos poderosos en su propio beneficio</t>
        </is>
      </c>
      <c r="E2444" s="6" t="n">
        <v>0.629</v>
      </c>
      <c r="F2444" s="7" t="n">
        <v>1200</v>
      </c>
    </row>
    <row r="2445">
      <c r="A2445" s="5" t="inlineStr">
        <is>
          <t>Grupos poderosos</t>
        </is>
      </c>
      <c r="B2445" s="5" t="inlineStr">
        <is>
          <t>Paraguay</t>
        </is>
      </c>
      <c r="C2445" s="5" t="n">
        <v>2009</v>
      </c>
      <c r="D2445" s="5" t="inlineStr">
        <is>
          <t>Para el bien de todo el pueblo</t>
        </is>
      </c>
      <c r="E2445" s="6" t="n">
        <v>0.3</v>
      </c>
      <c r="F2445" s="7" t="n">
        <v>1200</v>
      </c>
    </row>
    <row r="2446">
      <c r="A2446" s="5" t="inlineStr">
        <is>
          <t>Grupos poderosos</t>
        </is>
      </c>
      <c r="B2446" s="5" t="inlineStr">
        <is>
          <t>Paraguay</t>
        </is>
      </c>
      <c r="C2446" s="5" t="n">
        <v>2009</v>
      </c>
      <c r="D2446" s="5" t="inlineStr">
        <is>
          <t>No sabe; no responde</t>
        </is>
      </c>
      <c r="E2446" s="6" t="n">
        <v>0.07099999999999999</v>
      </c>
      <c r="F2446" s="7" t="n">
        <v>1200</v>
      </c>
    </row>
    <row r="2447">
      <c r="A2447" s="5" t="inlineStr">
        <is>
          <t>Grupos poderosos</t>
        </is>
      </c>
      <c r="B2447" s="5" t="inlineStr">
        <is>
          <t>Paraguay</t>
        </is>
      </c>
      <c r="C2447" s="5" t="n">
        <v>2010</v>
      </c>
      <c r="D2447" s="5" t="inlineStr">
        <is>
          <t>Grupos poderosos en su propio beneficio</t>
        </is>
      </c>
      <c r="E2447" s="6" t="n">
        <v>0.7190000000000001</v>
      </c>
      <c r="F2447" s="7" t="n">
        <v>1200</v>
      </c>
    </row>
    <row r="2448">
      <c r="A2448" s="5" t="inlineStr">
        <is>
          <t>Grupos poderosos</t>
        </is>
      </c>
      <c r="B2448" s="5" t="inlineStr">
        <is>
          <t>Paraguay</t>
        </is>
      </c>
      <c r="C2448" s="5" t="n">
        <v>2010</v>
      </c>
      <c r="D2448" s="5" t="inlineStr">
        <is>
          <t>Para el bien de todo el pueblo</t>
        </is>
      </c>
      <c r="E2448" s="6" t="n">
        <v>0.216</v>
      </c>
      <c r="F2448" s="7" t="n">
        <v>1200</v>
      </c>
    </row>
    <row r="2449">
      <c r="A2449" s="5" t="inlineStr">
        <is>
          <t>Grupos poderosos</t>
        </is>
      </c>
      <c r="B2449" s="5" t="inlineStr">
        <is>
          <t>Paraguay</t>
        </is>
      </c>
      <c r="C2449" s="5" t="n">
        <v>2010</v>
      </c>
      <c r="D2449" s="5" t="inlineStr">
        <is>
          <t>No sabe; no responde</t>
        </is>
      </c>
      <c r="E2449" s="6" t="n">
        <v>0.065</v>
      </c>
      <c r="F2449" s="7" t="n">
        <v>1200</v>
      </c>
    </row>
    <row r="2450">
      <c r="A2450" s="5" t="inlineStr">
        <is>
          <t>Grupos poderosos</t>
        </is>
      </c>
      <c r="B2450" s="5" t="inlineStr">
        <is>
          <t>Paraguay</t>
        </is>
      </c>
      <c r="C2450" s="5" t="n">
        <v>2011</v>
      </c>
      <c r="D2450" s="5" t="inlineStr">
        <is>
          <t>Grupos poderosos en su propio beneficio</t>
        </is>
      </c>
      <c r="E2450" s="6" t="n">
        <v>0.782</v>
      </c>
      <c r="F2450" s="7" t="n">
        <v>1200</v>
      </c>
    </row>
    <row r="2451">
      <c r="A2451" s="5" t="inlineStr">
        <is>
          <t>Grupos poderosos</t>
        </is>
      </c>
      <c r="B2451" s="5" t="inlineStr">
        <is>
          <t>Paraguay</t>
        </is>
      </c>
      <c r="C2451" s="5" t="n">
        <v>2011</v>
      </c>
      <c r="D2451" s="5" t="inlineStr">
        <is>
          <t>Para el bien de todo el pueblo</t>
        </is>
      </c>
      <c r="E2451" s="6" t="n">
        <v>0.183</v>
      </c>
      <c r="F2451" s="7" t="n">
        <v>1200</v>
      </c>
    </row>
    <row r="2452">
      <c r="A2452" s="5" t="inlineStr">
        <is>
          <t>Grupos poderosos</t>
        </is>
      </c>
      <c r="B2452" s="5" t="inlineStr">
        <is>
          <t>Paraguay</t>
        </is>
      </c>
      <c r="C2452" s="5" t="n">
        <v>2011</v>
      </c>
      <c r="D2452" s="5" t="inlineStr">
        <is>
          <t>No sabe; no responde</t>
        </is>
      </c>
      <c r="E2452" s="6" t="n">
        <v>0.035</v>
      </c>
      <c r="F2452" s="7" t="n">
        <v>1200</v>
      </c>
    </row>
    <row r="2453">
      <c r="A2453" s="5" t="inlineStr">
        <is>
          <t>Grupos poderosos</t>
        </is>
      </c>
      <c r="B2453" s="5" t="inlineStr">
        <is>
          <t>Paraguay</t>
        </is>
      </c>
      <c r="C2453" s="5" t="n">
        <v>2016</v>
      </c>
      <c r="D2453" s="5" t="inlineStr">
        <is>
          <t>Grupos poderosos en su propio beneficio</t>
        </is>
      </c>
      <c r="E2453" s="6" t="n">
        <v>0.88</v>
      </c>
      <c r="F2453" s="7" t="n">
        <v>1200</v>
      </c>
    </row>
    <row r="2454">
      <c r="A2454" s="5" t="inlineStr">
        <is>
          <t>Grupos poderosos</t>
        </is>
      </c>
      <c r="B2454" s="5" t="inlineStr">
        <is>
          <t>Paraguay</t>
        </is>
      </c>
      <c r="C2454" s="5" t="n">
        <v>2016</v>
      </c>
      <c r="D2454" s="5" t="inlineStr">
        <is>
          <t>Para el bien de todo el pueblo</t>
        </is>
      </c>
      <c r="E2454" s="6" t="n">
        <v>0.099</v>
      </c>
      <c r="F2454" s="7" t="n">
        <v>1200</v>
      </c>
    </row>
    <row r="2455">
      <c r="A2455" s="5" t="inlineStr">
        <is>
          <t>Grupos poderosos</t>
        </is>
      </c>
      <c r="B2455" s="5" t="inlineStr">
        <is>
          <t>Paraguay</t>
        </is>
      </c>
      <c r="C2455" s="5" t="n">
        <v>2016</v>
      </c>
      <c r="D2455" s="5" t="inlineStr">
        <is>
          <t>No sabe; no responde</t>
        </is>
      </c>
      <c r="E2455" s="6" t="n">
        <v>0.021</v>
      </c>
      <c r="F2455" s="7" t="n">
        <v>1200</v>
      </c>
    </row>
    <row r="2456">
      <c r="A2456" s="5" t="inlineStr">
        <is>
          <t>Grupos poderosos</t>
        </is>
      </c>
      <c r="B2456" s="5" t="inlineStr">
        <is>
          <t>Paraguay</t>
        </is>
      </c>
      <c r="C2456" s="5" t="n">
        <v>2017</v>
      </c>
      <c r="D2456" s="5" t="inlineStr">
        <is>
          <t>Grupos poderosos en su propio beneficio</t>
        </is>
      </c>
      <c r="E2456" s="6" t="n">
        <v>0.889</v>
      </c>
      <c r="F2456" s="7" t="n">
        <v>1200</v>
      </c>
    </row>
    <row r="2457">
      <c r="A2457" s="5" t="inlineStr">
        <is>
          <t>Grupos poderosos</t>
        </is>
      </c>
      <c r="B2457" s="5" t="inlineStr">
        <is>
          <t>Paraguay</t>
        </is>
      </c>
      <c r="C2457" s="5" t="n">
        <v>2017</v>
      </c>
      <c r="D2457" s="5" t="inlineStr">
        <is>
          <t>Para el bien de todo el pueblo</t>
        </is>
      </c>
      <c r="E2457" s="6" t="n">
        <v>0.064</v>
      </c>
      <c r="F2457" s="7" t="n">
        <v>1200</v>
      </c>
    </row>
    <row r="2458">
      <c r="A2458" s="5" t="inlineStr">
        <is>
          <t>Grupos poderosos</t>
        </is>
      </c>
      <c r="B2458" s="5" t="inlineStr">
        <is>
          <t>Paraguay</t>
        </is>
      </c>
      <c r="C2458" s="5" t="n">
        <v>2017</v>
      </c>
      <c r="D2458" s="5" t="inlineStr">
        <is>
          <t>No sabe; no responde</t>
        </is>
      </c>
      <c r="E2458" s="6" t="n">
        <v>0.047</v>
      </c>
      <c r="F2458" s="7" t="n">
        <v>1200</v>
      </c>
    </row>
    <row r="2459">
      <c r="A2459" s="5" t="inlineStr">
        <is>
          <t>Grupos poderosos</t>
        </is>
      </c>
      <c r="B2459" s="5" t="inlineStr">
        <is>
          <t>Paraguay</t>
        </is>
      </c>
      <c r="C2459" s="5" t="n">
        <v>2018</v>
      </c>
      <c r="D2459" s="5" t="inlineStr">
        <is>
          <t>Grupos poderosos en su propio beneficio</t>
        </is>
      </c>
      <c r="E2459" s="6" t="n">
        <v>0.872</v>
      </c>
      <c r="F2459" s="7" t="n">
        <v>1200</v>
      </c>
    </row>
    <row r="2460">
      <c r="A2460" s="5" t="inlineStr">
        <is>
          <t>Grupos poderosos</t>
        </is>
      </c>
      <c r="B2460" s="5" t="inlineStr">
        <is>
          <t>Paraguay</t>
        </is>
      </c>
      <c r="C2460" s="5" t="n">
        <v>2018</v>
      </c>
      <c r="D2460" s="5" t="inlineStr">
        <is>
          <t>Para el bien de todo el pueblo</t>
        </is>
      </c>
      <c r="E2460" s="6" t="n">
        <v>0.09699999999999999</v>
      </c>
      <c r="F2460" s="7" t="n">
        <v>1200</v>
      </c>
    </row>
    <row r="2461">
      <c r="A2461" s="5" t="inlineStr">
        <is>
          <t>Grupos poderosos</t>
        </is>
      </c>
      <c r="B2461" s="5" t="inlineStr">
        <is>
          <t>Paraguay</t>
        </is>
      </c>
      <c r="C2461" s="5" t="n">
        <v>2018</v>
      </c>
      <c r="D2461" s="5" t="inlineStr">
        <is>
          <t>No sabe; no responde</t>
        </is>
      </c>
      <c r="E2461" s="6" t="n">
        <v>0.03</v>
      </c>
      <c r="F2461" s="7" t="n">
        <v>1200</v>
      </c>
    </row>
    <row r="2462">
      <c r="A2462" s="5" t="inlineStr">
        <is>
          <t>Grupos poderosos</t>
        </is>
      </c>
      <c r="B2462" s="5" t="inlineStr">
        <is>
          <t>Paraguay</t>
        </is>
      </c>
      <c r="C2462" s="5" t="n">
        <v>2020</v>
      </c>
      <c r="D2462" s="5" t="inlineStr">
        <is>
          <t>Grupos poderosos en su propio beneficio</t>
        </is>
      </c>
      <c r="E2462" s="6" t="n">
        <v>0.9279999999999999</v>
      </c>
      <c r="F2462" s="7" t="n">
        <v>1200</v>
      </c>
    </row>
    <row r="2463">
      <c r="A2463" s="5" t="inlineStr">
        <is>
          <t>Grupos poderosos</t>
        </is>
      </c>
      <c r="B2463" s="5" t="inlineStr">
        <is>
          <t>Paraguay</t>
        </is>
      </c>
      <c r="C2463" s="5" t="n">
        <v>2020</v>
      </c>
      <c r="D2463" s="5" t="inlineStr">
        <is>
          <t>Para el bien de todo el pueblo</t>
        </is>
      </c>
      <c r="E2463" s="6" t="n">
        <v>0.048</v>
      </c>
      <c r="F2463" s="7" t="n">
        <v>1200</v>
      </c>
    </row>
    <row r="2464">
      <c r="A2464" s="5" t="inlineStr">
        <is>
          <t>Grupos poderosos</t>
        </is>
      </c>
      <c r="B2464" s="5" t="inlineStr">
        <is>
          <t>Paraguay</t>
        </is>
      </c>
      <c r="C2464" s="5" t="n">
        <v>2020</v>
      </c>
      <c r="D2464" s="5" t="inlineStr">
        <is>
          <t>No sabe; no responde</t>
        </is>
      </c>
      <c r="E2464" s="6" t="n">
        <v>0.024</v>
      </c>
      <c r="F2464" s="7" t="n">
        <v>1200</v>
      </c>
    </row>
    <row r="2465">
      <c r="A2465" s="5" t="inlineStr">
        <is>
          <t>Grupos poderosos</t>
        </is>
      </c>
      <c r="B2465" s="5" t="inlineStr">
        <is>
          <t>Paraguay</t>
        </is>
      </c>
      <c r="C2465" s="5" t="n">
        <v>2024</v>
      </c>
      <c r="D2465" s="5" t="inlineStr">
        <is>
          <t>Grupos poderosos en su propio beneficio</t>
        </is>
      </c>
      <c r="E2465" s="6" t="n">
        <v>0.857</v>
      </c>
      <c r="F2465" s="7" t="n">
        <v>1200</v>
      </c>
    </row>
    <row r="2466">
      <c r="A2466" s="5" t="inlineStr">
        <is>
          <t>Grupos poderosos</t>
        </is>
      </c>
      <c r="B2466" s="5" t="inlineStr">
        <is>
          <t>Paraguay</t>
        </is>
      </c>
      <c r="C2466" s="5" t="n">
        <v>2024</v>
      </c>
      <c r="D2466" s="5" t="inlineStr">
        <is>
          <t>Para el bien de todo el pueblo</t>
        </is>
      </c>
      <c r="E2466" s="6" t="n">
        <v>0.121</v>
      </c>
      <c r="F2466" s="7" t="n">
        <v>1200</v>
      </c>
    </row>
    <row r="2467">
      <c r="A2467" s="5" t="inlineStr">
        <is>
          <t>Grupos poderosos</t>
        </is>
      </c>
      <c r="B2467" s="5" t="inlineStr">
        <is>
          <t>Paraguay</t>
        </is>
      </c>
      <c r="C2467" s="5" t="n">
        <v>2024</v>
      </c>
      <c r="D2467" s="5" t="inlineStr">
        <is>
          <t>No sabe; no responde</t>
        </is>
      </c>
      <c r="E2467" s="6" t="n">
        <v>0.023</v>
      </c>
      <c r="F2467" s="7" t="n">
        <v>1200</v>
      </c>
    </row>
    <row r="2468">
      <c r="A2468" s="5" t="inlineStr">
        <is>
          <t>Grupos poderosos</t>
        </is>
      </c>
      <c r="B2468" s="5" t="inlineStr">
        <is>
          <t>Perú</t>
        </is>
      </c>
      <c r="C2468" s="5" t="n">
        <v>2004</v>
      </c>
      <c r="D2468" s="5" t="inlineStr">
        <is>
          <t>Grupos poderosos en su propio beneficio</t>
        </is>
      </c>
      <c r="E2468" s="6" t="n">
        <v>0.845</v>
      </c>
      <c r="F2468" s="7" t="n">
        <v>1200</v>
      </c>
    </row>
    <row r="2469">
      <c r="A2469" s="5" t="inlineStr">
        <is>
          <t>Grupos poderosos</t>
        </is>
      </c>
      <c r="B2469" s="5" t="inlineStr">
        <is>
          <t>Perú</t>
        </is>
      </c>
      <c r="C2469" s="5" t="n">
        <v>2004</v>
      </c>
      <c r="D2469" s="5" t="inlineStr">
        <is>
          <t>Para el bien de todo el pueblo</t>
        </is>
      </c>
      <c r="E2469" s="6" t="n">
        <v>0.128</v>
      </c>
      <c r="F2469" s="7" t="n">
        <v>1200</v>
      </c>
    </row>
    <row r="2470">
      <c r="A2470" s="5" t="inlineStr">
        <is>
          <t>Grupos poderosos</t>
        </is>
      </c>
      <c r="B2470" s="5" t="inlineStr">
        <is>
          <t>Perú</t>
        </is>
      </c>
      <c r="C2470" s="5" t="n">
        <v>2004</v>
      </c>
      <c r="D2470" s="5" t="inlineStr">
        <is>
          <t>No sabe; no responde</t>
        </is>
      </c>
      <c r="E2470" s="6" t="n">
        <v>0.027</v>
      </c>
      <c r="F2470" s="7" t="n">
        <v>1200</v>
      </c>
    </row>
    <row r="2471">
      <c r="A2471" s="5" t="inlineStr">
        <is>
          <t>Grupos poderosos</t>
        </is>
      </c>
      <c r="B2471" s="5" t="inlineStr">
        <is>
          <t>Perú</t>
        </is>
      </c>
      <c r="C2471" s="5" t="n">
        <v>2005</v>
      </c>
      <c r="D2471" s="5" t="inlineStr">
        <is>
          <t>Grupos poderosos en su propio beneficio</t>
        </is>
      </c>
      <c r="E2471" s="6" t="n">
        <v>0.774</v>
      </c>
      <c r="F2471" s="7" t="n">
        <v>1200</v>
      </c>
    </row>
    <row r="2472">
      <c r="A2472" s="5" t="inlineStr">
        <is>
          <t>Grupos poderosos</t>
        </is>
      </c>
      <c r="B2472" s="5" t="inlineStr">
        <is>
          <t>Perú</t>
        </is>
      </c>
      <c r="C2472" s="5" t="n">
        <v>2005</v>
      </c>
      <c r="D2472" s="5" t="inlineStr">
        <is>
          <t>Para el bien de todo el pueblo</t>
        </is>
      </c>
      <c r="E2472" s="6" t="n">
        <v>0.198</v>
      </c>
      <c r="F2472" s="7" t="n">
        <v>1200</v>
      </c>
    </row>
    <row r="2473">
      <c r="A2473" s="5" t="inlineStr">
        <is>
          <t>Grupos poderosos</t>
        </is>
      </c>
      <c r="B2473" s="5" t="inlineStr">
        <is>
          <t>Perú</t>
        </is>
      </c>
      <c r="C2473" s="5" t="n">
        <v>2005</v>
      </c>
      <c r="D2473" s="5" t="inlineStr">
        <is>
          <t>No sabe; no responde</t>
        </is>
      </c>
      <c r="E2473" s="6" t="n">
        <v>0.029</v>
      </c>
      <c r="F2473" s="7" t="n">
        <v>1200</v>
      </c>
    </row>
    <row r="2474">
      <c r="A2474" s="5" t="inlineStr">
        <is>
          <t>Grupos poderosos</t>
        </is>
      </c>
      <c r="B2474" s="5" t="inlineStr">
        <is>
          <t>Perú</t>
        </is>
      </c>
      <c r="C2474" s="5" t="n">
        <v>2006</v>
      </c>
      <c r="D2474" s="5" t="inlineStr">
        <is>
          <t>Grupos poderosos en su propio beneficio</t>
        </is>
      </c>
      <c r="E2474" s="6" t="n">
        <v>0.753</v>
      </c>
      <c r="F2474" s="7" t="n">
        <v>1200</v>
      </c>
    </row>
    <row r="2475">
      <c r="A2475" s="5" t="inlineStr">
        <is>
          <t>Grupos poderosos</t>
        </is>
      </c>
      <c r="B2475" s="5" t="inlineStr">
        <is>
          <t>Perú</t>
        </is>
      </c>
      <c r="C2475" s="5" t="n">
        <v>2006</v>
      </c>
      <c r="D2475" s="5" t="inlineStr">
        <is>
          <t>Para el bien de todo el pueblo</t>
        </is>
      </c>
      <c r="E2475" s="6" t="n">
        <v>0.196</v>
      </c>
      <c r="F2475" s="7" t="n">
        <v>1200</v>
      </c>
    </row>
    <row r="2476">
      <c r="A2476" s="5" t="inlineStr">
        <is>
          <t>Grupos poderosos</t>
        </is>
      </c>
      <c r="B2476" s="5" t="inlineStr">
        <is>
          <t>Perú</t>
        </is>
      </c>
      <c r="C2476" s="5" t="n">
        <v>2006</v>
      </c>
      <c r="D2476" s="5" t="inlineStr">
        <is>
          <t>No sabe; no responde</t>
        </is>
      </c>
      <c r="E2476" s="6" t="n">
        <v>0.052</v>
      </c>
      <c r="F2476" s="7" t="n">
        <v>1200</v>
      </c>
    </row>
    <row r="2477">
      <c r="A2477" s="5" t="inlineStr">
        <is>
          <t>Grupos poderosos</t>
        </is>
      </c>
      <c r="B2477" s="5" t="inlineStr">
        <is>
          <t>Perú</t>
        </is>
      </c>
      <c r="C2477" s="5" t="n">
        <v>2007</v>
      </c>
      <c r="D2477" s="5" t="inlineStr">
        <is>
          <t>Grupos poderosos en su propio beneficio</t>
        </is>
      </c>
      <c r="E2477" s="6" t="n">
        <v>0.8170000000000001</v>
      </c>
      <c r="F2477" s="7" t="n">
        <v>1200</v>
      </c>
    </row>
    <row r="2478">
      <c r="A2478" s="5" t="inlineStr">
        <is>
          <t>Grupos poderosos</t>
        </is>
      </c>
      <c r="B2478" s="5" t="inlineStr">
        <is>
          <t>Perú</t>
        </is>
      </c>
      <c r="C2478" s="5" t="n">
        <v>2007</v>
      </c>
      <c r="D2478" s="5" t="inlineStr">
        <is>
          <t>Para el bien de todo el pueblo</t>
        </is>
      </c>
      <c r="E2478" s="6" t="n">
        <v>0.161</v>
      </c>
      <c r="F2478" s="7" t="n">
        <v>1200</v>
      </c>
    </row>
    <row r="2479">
      <c r="A2479" s="5" t="inlineStr">
        <is>
          <t>Grupos poderosos</t>
        </is>
      </c>
      <c r="B2479" s="5" t="inlineStr">
        <is>
          <t>Perú</t>
        </is>
      </c>
      <c r="C2479" s="5" t="n">
        <v>2007</v>
      </c>
      <c r="D2479" s="5" t="inlineStr">
        <is>
          <t>No sabe; no responde</t>
        </is>
      </c>
      <c r="E2479" s="6" t="n">
        <v>0.023</v>
      </c>
      <c r="F2479" s="7" t="n">
        <v>1200</v>
      </c>
    </row>
    <row r="2480">
      <c r="A2480" s="5" t="inlineStr">
        <is>
          <t>Grupos poderosos</t>
        </is>
      </c>
      <c r="B2480" s="5" t="inlineStr">
        <is>
          <t>Perú</t>
        </is>
      </c>
      <c r="C2480" s="5" t="n">
        <v>2008</v>
      </c>
      <c r="D2480" s="5" t="inlineStr">
        <is>
          <t>Grupos poderosos en su propio beneficio</t>
        </is>
      </c>
      <c r="E2480" s="6" t="n">
        <v>0.884</v>
      </c>
      <c r="F2480" s="7" t="n">
        <v>1200</v>
      </c>
    </row>
    <row r="2481">
      <c r="A2481" s="5" t="inlineStr">
        <is>
          <t>Grupos poderosos</t>
        </is>
      </c>
      <c r="B2481" s="5" t="inlineStr">
        <is>
          <t>Perú</t>
        </is>
      </c>
      <c r="C2481" s="5" t="n">
        <v>2008</v>
      </c>
      <c r="D2481" s="5" t="inlineStr">
        <is>
          <t>Para el bien de todo el pueblo</t>
        </is>
      </c>
      <c r="E2481" s="6" t="n">
        <v>0.08400000000000001</v>
      </c>
      <c r="F2481" s="7" t="n">
        <v>1200</v>
      </c>
    </row>
    <row r="2482">
      <c r="A2482" s="5" t="inlineStr">
        <is>
          <t>Grupos poderosos</t>
        </is>
      </c>
      <c r="B2482" s="5" t="inlineStr">
        <is>
          <t>Perú</t>
        </is>
      </c>
      <c r="C2482" s="5" t="n">
        <v>2008</v>
      </c>
      <c r="D2482" s="5" t="inlineStr">
        <is>
          <t>No sabe; no responde</t>
        </is>
      </c>
      <c r="E2482" s="6" t="n">
        <v>0.032</v>
      </c>
      <c r="F2482" s="7" t="n">
        <v>1200</v>
      </c>
    </row>
    <row r="2483">
      <c r="A2483" s="5" t="inlineStr">
        <is>
          <t>Grupos poderosos</t>
        </is>
      </c>
      <c r="B2483" s="5" t="inlineStr">
        <is>
          <t>Perú</t>
        </is>
      </c>
      <c r="C2483" s="5" t="n">
        <v>2009</v>
      </c>
      <c r="D2483" s="5" t="inlineStr">
        <is>
          <t>Grupos poderosos en su propio beneficio</t>
        </is>
      </c>
      <c r="E2483" s="6" t="n">
        <v>0.805</v>
      </c>
      <c r="F2483" s="7" t="n">
        <v>1200</v>
      </c>
    </row>
    <row r="2484">
      <c r="A2484" s="5" t="inlineStr">
        <is>
          <t>Grupos poderosos</t>
        </is>
      </c>
      <c r="B2484" s="5" t="inlineStr">
        <is>
          <t>Perú</t>
        </is>
      </c>
      <c r="C2484" s="5" t="n">
        <v>2009</v>
      </c>
      <c r="D2484" s="5" t="inlineStr">
        <is>
          <t>Para el bien de todo el pueblo</t>
        </is>
      </c>
      <c r="E2484" s="6" t="n">
        <v>0.147</v>
      </c>
      <c r="F2484" s="7" t="n">
        <v>1200</v>
      </c>
    </row>
    <row r="2485">
      <c r="A2485" s="5" t="inlineStr">
        <is>
          <t>Grupos poderosos</t>
        </is>
      </c>
      <c r="B2485" s="5" t="inlineStr">
        <is>
          <t>Perú</t>
        </is>
      </c>
      <c r="C2485" s="5" t="n">
        <v>2009</v>
      </c>
      <c r="D2485" s="5" t="inlineStr">
        <is>
          <t>No sabe; no responde</t>
        </is>
      </c>
      <c r="E2485" s="6" t="n">
        <v>0.048</v>
      </c>
      <c r="F2485" s="7" t="n">
        <v>1200</v>
      </c>
    </row>
    <row r="2486">
      <c r="A2486" s="5" t="inlineStr">
        <is>
          <t>Grupos poderosos</t>
        </is>
      </c>
      <c r="B2486" s="5" t="inlineStr">
        <is>
          <t>Perú</t>
        </is>
      </c>
      <c r="C2486" s="5" t="n">
        <v>2010</v>
      </c>
      <c r="D2486" s="5" t="inlineStr">
        <is>
          <t>Grupos poderosos en su propio beneficio</t>
        </is>
      </c>
      <c r="E2486" s="6" t="n">
        <v>0.7829999999999999</v>
      </c>
      <c r="F2486" s="7" t="n">
        <v>1200</v>
      </c>
    </row>
    <row r="2487">
      <c r="A2487" s="5" t="inlineStr">
        <is>
          <t>Grupos poderosos</t>
        </is>
      </c>
      <c r="B2487" s="5" t="inlineStr">
        <is>
          <t>Perú</t>
        </is>
      </c>
      <c r="C2487" s="5" t="n">
        <v>2010</v>
      </c>
      <c r="D2487" s="5" t="inlineStr">
        <is>
          <t>Para el bien de todo el pueblo</t>
        </is>
      </c>
      <c r="E2487" s="6" t="n">
        <v>0.163</v>
      </c>
      <c r="F2487" s="7" t="n">
        <v>1200</v>
      </c>
    </row>
    <row r="2488">
      <c r="A2488" s="5" t="inlineStr">
        <is>
          <t>Grupos poderosos</t>
        </is>
      </c>
      <c r="B2488" s="5" t="inlineStr">
        <is>
          <t>Perú</t>
        </is>
      </c>
      <c r="C2488" s="5" t="n">
        <v>2010</v>
      </c>
      <c r="D2488" s="5" t="inlineStr">
        <is>
          <t>No sabe; no responde</t>
        </is>
      </c>
      <c r="E2488" s="6" t="n">
        <v>0.05400000000000001</v>
      </c>
      <c r="F2488" s="7" t="n">
        <v>1200</v>
      </c>
    </row>
    <row r="2489">
      <c r="A2489" s="5" t="inlineStr">
        <is>
          <t>Grupos poderosos</t>
        </is>
      </c>
      <c r="B2489" s="5" t="inlineStr">
        <is>
          <t>Perú</t>
        </is>
      </c>
      <c r="C2489" s="5" t="n">
        <v>2011</v>
      </c>
      <c r="D2489" s="5" t="inlineStr">
        <is>
          <t>Grupos poderosos en su propio beneficio</t>
        </is>
      </c>
      <c r="E2489" s="6" t="n">
        <v>0.8190000000000001</v>
      </c>
      <c r="F2489" s="7" t="n">
        <v>1200</v>
      </c>
    </row>
    <row r="2490">
      <c r="A2490" s="5" t="inlineStr">
        <is>
          <t>Grupos poderosos</t>
        </is>
      </c>
      <c r="B2490" s="5" t="inlineStr">
        <is>
          <t>Perú</t>
        </is>
      </c>
      <c r="C2490" s="5" t="n">
        <v>2011</v>
      </c>
      <c r="D2490" s="5" t="inlineStr">
        <is>
          <t>Para el bien de todo el pueblo</t>
        </is>
      </c>
      <c r="E2490" s="6" t="n">
        <v>0.145</v>
      </c>
      <c r="F2490" s="7" t="n">
        <v>1200</v>
      </c>
    </row>
    <row r="2491">
      <c r="A2491" s="5" t="inlineStr">
        <is>
          <t>Grupos poderosos</t>
        </is>
      </c>
      <c r="B2491" s="5" t="inlineStr">
        <is>
          <t>Perú</t>
        </is>
      </c>
      <c r="C2491" s="5" t="n">
        <v>2011</v>
      </c>
      <c r="D2491" s="5" t="inlineStr">
        <is>
          <t>No sabe; no responde</t>
        </is>
      </c>
      <c r="E2491" s="6" t="n">
        <v>0.036</v>
      </c>
      <c r="F2491" s="7" t="n">
        <v>1200</v>
      </c>
    </row>
    <row r="2492">
      <c r="A2492" s="5" t="inlineStr">
        <is>
          <t>Grupos poderosos</t>
        </is>
      </c>
      <c r="B2492" s="5" t="inlineStr">
        <is>
          <t>Perú</t>
        </is>
      </c>
      <c r="C2492" s="5" t="n">
        <v>2015</v>
      </c>
      <c r="D2492" s="5" t="inlineStr">
        <is>
          <t>Grupos poderosos en su propio beneficio</t>
        </is>
      </c>
      <c r="E2492" s="6" t="n">
        <v>0.752</v>
      </c>
      <c r="F2492" s="7" t="n">
        <v>1200</v>
      </c>
    </row>
    <row r="2493">
      <c r="A2493" s="5" t="inlineStr">
        <is>
          <t>Grupos poderosos</t>
        </is>
      </c>
      <c r="B2493" s="5" t="inlineStr">
        <is>
          <t>Perú</t>
        </is>
      </c>
      <c r="C2493" s="5" t="n">
        <v>2015</v>
      </c>
      <c r="D2493" s="5" t="inlineStr">
        <is>
          <t>Para el bien de todo el pueblo</t>
        </is>
      </c>
      <c r="E2493" s="6" t="n">
        <v>0.205</v>
      </c>
      <c r="F2493" s="7" t="n">
        <v>1200</v>
      </c>
    </row>
    <row r="2494">
      <c r="A2494" s="5" t="inlineStr">
        <is>
          <t>Grupos poderosos</t>
        </is>
      </c>
      <c r="B2494" s="5" t="inlineStr">
        <is>
          <t>Perú</t>
        </is>
      </c>
      <c r="C2494" s="5" t="n">
        <v>2015</v>
      </c>
      <c r="D2494" s="5" t="inlineStr">
        <is>
          <t>No sabe; no responde</t>
        </is>
      </c>
      <c r="E2494" s="6" t="n">
        <v>0.043</v>
      </c>
      <c r="F2494" s="7" t="n">
        <v>1200</v>
      </c>
    </row>
    <row r="2495">
      <c r="A2495" s="5" t="inlineStr">
        <is>
          <t>Grupos poderosos</t>
        </is>
      </c>
      <c r="B2495" s="5" t="inlineStr">
        <is>
          <t>Perú</t>
        </is>
      </c>
      <c r="C2495" s="5" t="n">
        <v>2016</v>
      </c>
      <c r="D2495" s="5" t="inlineStr">
        <is>
          <t>Grupos poderosos en su propio beneficio</t>
        </is>
      </c>
      <c r="E2495" s="6" t="n">
        <v>0.84</v>
      </c>
      <c r="F2495" s="7" t="n">
        <v>1200</v>
      </c>
    </row>
    <row r="2496">
      <c r="A2496" s="5" t="inlineStr">
        <is>
          <t>Grupos poderosos</t>
        </is>
      </c>
      <c r="B2496" s="5" t="inlineStr">
        <is>
          <t>Perú</t>
        </is>
      </c>
      <c r="C2496" s="5" t="n">
        <v>2016</v>
      </c>
      <c r="D2496" s="5" t="inlineStr">
        <is>
          <t>Para el bien de todo el pueblo</t>
        </is>
      </c>
      <c r="E2496" s="6" t="n">
        <v>0.125</v>
      </c>
      <c r="F2496" s="7" t="n">
        <v>1200</v>
      </c>
    </row>
    <row r="2497">
      <c r="A2497" s="5" t="inlineStr">
        <is>
          <t>Grupos poderosos</t>
        </is>
      </c>
      <c r="B2497" s="5" t="inlineStr">
        <is>
          <t>Perú</t>
        </is>
      </c>
      <c r="C2497" s="5" t="n">
        <v>2016</v>
      </c>
      <c r="D2497" s="5" t="inlineStr">
        <is>
          <t>No sabe; no responde</t>
        </is>
      </c>
      <c r="E2497" s="6" t="n">
        <v>0.035</v>
      </c>
      <c r="F2497" s="7" t="n">
        <v>1200</v>
      </c>
    </row>
    <row r="2498">
      <c r="A2498" s="5" t="inlineStr">
        <is>
          <t>Grupos poderosos</t>
        </is>
      </c>
      <c r="B2498" s="5" t="inlineStr">
        <is>
          <t>Perú</t>
        </is>
      </c>
      <c r="C2498" s="5" t="n">
        <v>2017</v>
      </c>
      <c r="D2498" s="5" t="inlineStr">
        <is>
          <t>Grupos poderosos en su propio beneficio</t>
        </is>
      </c>
      <c r="E2498" s="6" t="n">
        <v>0.7959999999999999</v>
      </c>
      <c r="F2498" s="7" t="n">
        <v>1200</v>
      </c>
    </row>
    <row r="2499">
      <c r="A2499" s="5" t="inlineStr">
        <is>
          <t>Grupos poderosos</t>
        </is>
      </c>
      <c r="B2499" s="5" t="inlineStr">
        <is>
          <t>Perú</t>
        </is>
      </c>
      <c r="C2499" s="5" t="n">
        <v>2017</v>
      </c>
      <c r="D2499" s="5" t="inlineStr">
        <is>
          <t>Para el bien de todo el pueblo</t>
        </is>
      </c>
      <c r="E2499" s="6" t="n">
        <v>0.168</v>
      </c>
      <c r="F2499" s="7" t="n">
        <v>1200</v>
      </c>
    </row>
    <row r="2500">
      <c r="A2500" s="5" t="inlineStr">
        <is>
          <t>Grupos poderosos</t>
        </is>
      </c>
      <c r="B2500" s="5" t="inlineStr">
        <is>
          <t>Perú</t>
        </is>
      </c>
      <c r="C2500" s="5" t="n">
        <v>2017</v>
      </c>
      <c r="D2500" s="5" t="inlineStr">
        <is>
          <t>No sabe; no responde</t>
        </is>
      </c>
      <c r="E2500" s="6" t="n">
        <v>0.03700000000000001</v>
      </c>
      <c r="F2500" s="7" t="n">
        <v>1200</v>
      </c>
    </row>
    <row r="2501">
      <c r="A2501" s="5" t="inlineStr">
        <is>
          <t>Grupos poderosos</t>
        </is>
      </c>
      <c r="B2501" s="5" t="inlineStr">
        <is>
          <t>Perú</t>
        </is>
      </c>
      <c r="C2501" s="5" t="n">
        <v>2018</v>
      </c>
      <c r="D2501" s="5" t="inlineStr">
        <is>
          <t>Grupos poderosos en su propio beneficio</t>
        </is>
      </c>
      <c r="E2501" s="6" t="n">
        <v>0.846</v>
      </c>
      <c r="F2501" s="7" t="n">
        <v>1200</v>
      </c>
    </row>
    <row r="2502">
      <c r="A2502" s="5" t="inlineStr">
        <is>
          <t>Grupos poderosos</t>
        </is>
      </c>
      <c r="B2502" s="5" t="inlineStr">
        <is>
          <t>Perú</t>
        </is>
      </c>
      <c r="C2502" s="5" t="n">
        <v>2018</v>
      </c>
      <c r="D2502" s="5" t="inlineStr">
        <is>
          <t>Para el bien de todo el pueblo</t>
        </is>
      </c>
      <c r="E2502" s="6" t="n">
        <v>0.121</v>
      </c>
      <c r="F2502" s="7" t="n">
        <v>1200</v>
      </c>
    </row>
    <row r="2503">
      <c r="A2503" s="5" t="inlineStr">
        <is>
          <t>Grupos poderosos</t>
        </is>
      </c>
      <c r="B2503" s="5" t="inlineStr">
        <is>
          <t>Perú</t>
        </is>
      </c>
      <c r="C2503" s="5" t="n">
        <v>2018</v>
      </c>
      <c r="D2503" s="5" t="inlineStr">
        <is>
          <t>No sabe; no responde</t>
        </is>
      </c>
      <c r="E2503" s="6" t="n">
        <v>0.033</v>
      </c>
      <c r="F2503" s="7" t="n">
        <v>1200</v>
      </c>
    </row>
    <row r="2504">
      <c r="A2504" s="5" t="inlineStr">
        <is>
          <t>Grupos poderosos</t>
        </is>
      </c>
      <c r="B2504" s="5" t="inlineStr">
        <is>
          <t>Perú</t>
        </is>
      </c>
      <c r="C2504" s="5" t="n">
        <v>2020</v>
      </c>
      <c r="D2504" s="5" t="inlineStr">
        <is>
          <t>Grupos poderosos en su propio beneficio</t>
        </is>
      </c>
      <c r="E2504" s="6" t="n">
        <v>0.8590000000000001</v>
      </c>
      <c r="F2504" s="7" t="n">
        <v>1200</v>
      </c>
    </row>
    <row r="2505">
      <c r="A2505" s="5" t="inlineStr">
        <is>
          <t>Grupos poderosos</t>
        </is>
      </c>
      <c r="B2505" s="5" t="inlineStr">
        <is>
          <t>Perú</t>
        </is>
      </c>
      <c r="C2505" s="5" t="n">
        <v>2020</v>
      </c>
      <c r="D2505" s="5" t="inlineStr">
        <is>
          <t>Para el bien de todo el pueblo</t>
        </is>
      </c>
      <c r="E2505" s="6" t="n">
        <v>0.109</v>
      </c>
      <c r="F2505" s="7" t="n">
        <v>1200</v>
      </c>
    </row>
    <row r="2506">
      <c r="A2506" s="5" t="inlineStr">
        <is>
          <t>Grupos poderosos</t>
        </is>
      </c>
      <c r="B2506" s="5" t="inlineStr">
        <is>
          <t>Perú</t>
        </is>
      </c>
      <c r="C2506" s="5" t="n">
        <v>2020</v>
      </c>
      <c r="D2506" s="5" t="inlineStr">
        <is>
          <t>No sabe; no responde</t>
        </is>
      </c>
      <c r="E2506" s="6" t="n">
        <v>0.032</v>
      </c>
      <c r="F2506" s="7" t="n">
        <v>1200</v>
      </c>
    </row>
    <row r="2507">
      <c r="A2507" s="5" t="inlineStr">
        <is>
          <t>Grupos poderosos</t>
        </is>
      </c>
      <c r="B2507" s="5" t="inlineStr">
        <is>
          <t>Perú</t>
        </is>
      </c>
      <c r="C2507" s="5" t="n">
        <v>2024</v>
      </c>
      <c r="D2507" s="5" t="inlineStr">
        <is>
          <t>Grupos poderosos en su propio beneficio</t>
        </is>
      </c>
      <c r="E2507" s="6" t="n">
        <v>0.9</v>
      </c>
      <c r="F2507" s="7" t="n">
        <v>1200</v>
      </c>
    </row>
    <row r="2508">
      <c r="A2508" s="5" t="inlineStr">
        <is>
          <t>Grupos poderosos</t>
        </is>
      </c>
      <c r="B2508" s="5" t="inlineStr">
        <is>
          <t>Perú</t>
        </is>
      </c>
      <c r="C2508" s="5" t="n">
        <v>2024</v>
      </c>
      <c r="D2508" s="5" t="inlineStr">
        <is>
          <t>Para el bien de todo el pueblo</t>
        </is>
      </c>
      <c r="E2508" s="6" t="n">
        <v>0.08500000000000001</v>
      </c>
      <c r="F2508" s="7" t="n">
        <v>1200</v>
      </c>
    </row>
    <row r="2509">
      <c r="A2509" s="5" t="inlineStr">
        <is>
          <t>Grupos poderosos</t>
        </is>
      </c>
      <c r="B2509" s="5" t="inlineStr">
        <is>
          <t>Perú</t>
        </is>
      </c>
      <c r="C2509" s="5" t="n">
        <v>2024</v>
      </c>
      <c r="D2509" s="5" t="inlineStr">
        <is>
          <t>No sabe; no responde</t>
        </is>
      </c>
      <c r="E2509" s="6" t="n">
        <v>0.015</v>
      </c>
      <c r="F2509" s="7" t="n">
        <v>1200</v>
      </c>
    </row>
    <row r="2510">
      <c r="A2510" s="5" t="inlineStr">
        <is>
          <t>Grupos poderosos</t>
        </is>
      </c>
      <c r="B2510" s="5" t="inlineStr">
        <is>
          <t>Uruguay</t>
        </is>
      </c>
      <c r="C2510" s="5" t="n">
        <v>2004</v>
      </c>
      <c r="D2510" s="5" t="inlineStr">
        <is>
          <t>Grupos poderosos en su propio beneficio</t>
        </is>
      </c>
      <c r="E2510" s="6" t="n">
        <v>0.7759999999999999</v>
      </c>
      <c r="F2510" s="7" t="n">
        <v>1200</v>
      </c>
    </row>
    <row r="2511">
      <c r="A2511" s="5" t="inlineStr">
        <is>
          <t>Grupos poderosos</t>
        </is>
      </c>
      <c r="B2511" s="5" t="inlineStr">
        <is>
          <t>Uruguay</t>
        </is>
      </c>
      <c r="C2511" s="5" t="n">
        <v>2004</v>
      </c>
      <c r="D2511" s="5" t="inlineStr">
        <is>
          <t>Para el bien de todo el pueblo</t>
        </is>
      </c>
      <c r="E2511" s="6" t="n">
        <v>0.147</v>
      </c>
      <c r="F2511" s="7" t="n">
        <v>1200</v>
      </c>
    </row>
    <row r="2512">
      <c r="A2512" s="5" t="inlineStr">
        <is>
          <t>Grupos poderosos</t>
        </is>
      </c>
      <c r="B2512" s="5" t="inlineStr">
        <is>
          <t>Uruguay</t>
        </is>
      </c>
      <c r="C2512" s="5" t="n">
        <v>2004</v>
      </c>
      <c r="D2512" s="5" t="inlineStr">
        <is>
          <t>No sabe; no responde</t>
        </is>
      </c>
      <c r="E2512" s="6" t="n">
        <v>0.076</v>
      </c>
      <c r="F2512" s="7" t="n">
        <v>1200</v>
      </c>
    </row>
    <row r="2513">
      <c r="A2513" s="5" t="inlineStr">
        <is>
          <t>Grupos poderosos</t>
        </is>
      </c>
      <c r="B2513" s="5" t="inlineStr">
        <is>
          <t>Uruguay</t>
        </is>
      </c>
      <c r="C2513" s="5" t="n">
        <v>2005</v>
      </c>
      <c r="D2513" s="5" t="inlineStr">
        <is>
          <t>Grupos poderosos en su propio beneficio</t>
        </is>
      </c>
      <c r="E2513" s="6" t="n">
        <v>0.388</v>
      </c>
      <c r="F2513" s="7" t="n">
        <v>1200</v>
      </c>
    </row>
    <row r="2514">
      <c r="A2514" s="5" t="inlineStr">
        <is>
          <t>Grupos poderosos</t>
        </is>
      </c>
      <c r="B2514" s="5" t="inlineStr">
        <is>
          <t>Uruguay</t>
        </is>
      </c>
      <c r="C2514" s="5" t="n">
        <v>2005</v>
      </c>
      <c r="D2514" s="5" t="inlineStr">
        <is>
          <t>Para el bien de todo el pueblo</t>
        </is>
      </c>
      <c r="E2514" s="6" t="n">
        <v>0.502</v>
      </c>
      <c r="F2514" s="7" t="n">
        <v>1200</v>
      </c>
    </row>
    <row r="2515">
      <c r="A2515" s="5" t="inlineStr">
        <is>
          <t>Grupos poderosos</t>
        </is>
      </c>
      <c r="B2515" s="5" t="inlineStr">
        <is>
          <t>Uruguay</t>
        </is>
      </c>
      <c r="C2515" s="5" t="n">
        <v>2005</v>
      </c>
      <c r="D2515" s="5" t="inlineStr">
        <is>
          <t>No sabe; no responde</t>
        </is>
      </c>
      <c r="E2515" s="6" t="n">
        <v>0.11</v>
      </c>
      <c r="F2515" s="7" t="n">
        <v>1200</v>
      </c>
    </row>
    <row r="2516">
      <c r="A2516" s="5" t="inlineStr">
        <is>
          <t>Grupos poderosos</t>
        </is>
      </c>
      <c r="B2516" s="5" t="inlineStr">
        <is>
          <t>Uruguay</t>
        </is>
      </c>
      <c r="C2516" s="5" t="n">
        <v>2006</v>
      </c>
      <c r="D2516" s="5" t="inlineStr">
        <is>
          <t>Grupos poderosos en su propio beneficio</t>
        </is>
      </c>
      <c r="E2516" s="6" t="n">
        <v>0.446</v>
      </c>
      <c r="F2516" s="7" t="n">
        <v>1200</v>
      </c>
    </row>
    <row r="2517">
      <c r="A2517" s="5" t="inlineStr">
        <is>
          <t>Grupos poderosos</t>
        </is>
      </c>
      <c r="B2517" s="5" t="inlineStr">
        <is>
          <t>Uruguay</t>
        </is>
      </c>
      <c r="C2517" s="5" t="n">
        <v>2006</v>
      </c>
      <c r="D2517" s="5" t="inlineStr">
        <is>
          <t>Para el bien de todo el pueblo</t>
        </is>
      </c>
      <c r="E2517" s="6" t="n">
        <v>0.444</v>
      </c>
      <c r="F2517" s="7" t="n">
        <v>1200</v>
      </c>
    </row>
    <row r="2518">
      <c r="A2518" s="5" t="inlineStr">
        <is>
          <t>Grupos poderosos</t>
        </is>
      </c>
      <c r="B2518" s="5" t="inlineStr">
        <is>
          <t>Uruguay</t>
        </is>
      </c>
      <c r="C2518" s="5" t="n">
        <v>2006</v>
      </c>
      <c r="D2518" s="5" t="inlineStr">
        <is>
          <t>No sabe; no responde</t>
        </is>
      </c>
      <c r="E2518" s="6" t="n">
        <v>0.109</v>
      </c>
      <c r="F2518" s="7" t="n">
        <v>1200</v>
      </c>
    </row>
    <row r="2519">
      <c r="A2519" s="5" t="inlineStr">
        <is>
          <t>Grupos poderosos</t>
        </is>
      </c>
      <c r="B2519" s="5" t="inlineStr">
        <is>
          <t>Uruguay</t>
        </is>
      </c>
      <c r="C2519" s="5" t="n">
        <v>2007</v>
      </c>
      <c r="D2519" s="5" t="inlineStr">
        <is>
          <t>Grupos poderosos en su propio beneficio</t>
        </is>
      </c>
      <c r="E2519" s="6" t="n">
        <v>0.445</v>
      </c>
      <c r="F2519" s="7" t="n">
        <v>1200</v>
      </c>
    </row>
    <row r="2520">
      <c r="A2520" s="5" t="inlineStr">
        <is>
          <t>Grupos poderosos</t>
        </is>
      </c>
      <c r="B2520" s="5" t="inlineStr">
        <is>
          <t>Uruguay</t>
        </is>
      </c>
      <c r="C2520" s="5" t="n">
        <v>2007</v>
      </c>
      <c r="D2520" s="5" t="inlineStr">
        <is>
          <t>Para el bien de todo el pueblo</t>
        </is>
      </c>
      <c r="E2520" s="6" t="n">
        <v>0.425</v>
      </c>
      <c r="F2520" s="7" t="n">
        <v>1200</v>
      </c>
    </row>
    <row r="2521">
      <c r="A2521" s="5" t="inlineStr">
        <is>
          <t>Grupos poderosos</t>
        </is>
      </c>
      <c r="B2521" s="5" t="inlineStr">
        <is>
          <t>Uruguay</t>
        </is>
      </c>
      <c r="C2521" s="5" t="n">
        <v>2007</v>
      </c>
      <c r="D2521" s="5" t="inlineStr">
        <is>
          <t>No sabe; no responde</t>
        </is>
      </c>
      <c r="E2521" s="6" t="n">
        <v>0.13</v>
      </c>
      <c r="F2521" s="7" t="n">
        <v>1200</v>
      </c>
    </row>
    <row r="2522">
      <c r="A2522" s="5" t="inlineStr">
        <is>
          <t>Grupos poderosos</t>
        </is>
      </c>
      <c r="B2522" s="5" t="inlineStr">
        <is>
          <t>Uruguay</t>
        </is>
      </c>
      <c r="C2522" s="5" t="n">
        <v>2008</v>
      </c>
      <c r="D2522" s="5" t="inlineStr">
        <is>
          <t>Grupos poderosos en su propio beneficio</t>
        </is>
      </c>
      <c r="E2522" s="6" t="n">
        <v>0.404</v>
      </c>
      <c r="F2522" s="7" t="n">
        <v>1200</v>
      </c>
    </row>
    <row r="2523">
      <c r="A2523" s="5" t="inlineStr">
        <is>
          <t>Grupos poderosos</t>
        </is>
      </c>
      <c r="B2523" s="5" t="inlineStr">
        <is>
          <t>Uruguay</t>
        </is>
      </c>
      <c r="C2523" s="5" t="n">
        <v>2008</v>
      </c>
      <c r="D2523" s="5" t="inlineStr">
        <is>
          <t>Para el bien de todo el pueblo</t>
        </is>
      </c>
      <c r="E2523" s="6" t="n">
        <v>0.492</v>
      </c>
      <c r="F2523" s="7" t="n">
        <v>1200</v>
      </c>
    </row>
    <row r="2524">
      <c r="A2524" s="5" t="inlineStr">
        <is>
          <t>Grupos poderosos</t>
        </is>
      </c>
      <c r="B2524" s="5" t="inlineStr">
        <is>
          <t>Uruguay</t>
        </is>
      </c>
      <c r="C2524" s="5" t="n">
        <v>2008</v>
      </c>
      <c r="D2524" s="5" t="inlineStr">
        <is>
          <t>No sabe; no responde</t>
        </is>
      </c>
      <c r="E2524" s="6" t="n">
        <v>0.104</v>
      </c>
      <c r="F2524" s="7" t="n">
        <v>1200</v>
      </c>
    </row>
    <row r="2525">
      <c r="A2525" s="5" t="inlineStr">
        <is>
          <t>Grupos poderosos</t>
        </is>
      </c>
      <c r="B2525" s="5" t="inlineStr">
        <is>
          <t>Uruguay</t>
        </is>
      </c>
      <c r="C2525" s="5" t="n">
        <v>2009</v>
      </c>
      <c r="D2525" s="5" t="inlineStr">
        <is>
          <t>Grupos poderosos en su propio beneficio</t>
        </is>
      </c>
      <c r="E2525" s="6" t="n">
        <v>0.283</v>
      </c>
      <c r="F2525" s="7" t="n">
        <v>1200</v>
      </c>
    </row>
    <row r="2526">
      <c r="A2526" s="5" t="inlineStr">
        <is>
          <t>Grupos poderosos</t>
        </is>
      </c>
      <c r="B2526" s="5" t="inlineStr">
        <is>
          <t>Uruguay</t>
        </is>
      </c>
      <c r="C2526" s="5" t="n">
        <v>2009</v>
      </c>
      <c r="D2526" s="5" t="inlineStr">
        <is>
          <t>Para el bien de todo el pueblo</t>
        </is>
      </c>
      <c r="E2526" s="6" t="n">
        <v>0.5770000000000001</v>
      </c>
      <c r="F2526" s="7" t="n">
        <v>1200</v>
      </c>
    </row>
    <row r="2527">
      <c r="A2527" s="5" t="inlineStr">
        <is>
          <t>Grupos poderosos</t>
        </is>
      </c>
      <c r="B2527" s="5" t="inlineStr">
        <is>
          <t>Uruguay</t>
        </is>
      </c>
      <c r="C2527" s="5" t="n">
        <v>2009</v>
      </c>
      <c r="D2527" s="5" t="inlineStr">
        <is>
          <t>No sabe; no responde</t>
        </is>
      </c>
      <c r="E2527" s="6" t="n">
        <v>0.141</v>
      </c>
      <c r="F2527" s="7" t="n">
        <v>1200</v>
      </c>
    </row>
    <row r="2528">
      <c r="A2528" s="5" t="inlineStr">
        <is>
          <t>Grupos poderosos</t>
        </is>
      </c>
      <c r="B2528" s="5" t="inlineStr">
        <is>
          <t>Uruguay</t>
        </is>
      </c>
      <c r="C2528" s="5" t="n">
        <v>2010</v>
      </c>
      <c r="D2528" s="5" t="inlineStr">
        <is>
          <t>Grupos poderosos en su propio beneficio</t>
        </is>
      </c>
      <c r="E2528" s="6" t="n">
        <v>0.28</v>
      </c>
      <c r="F2528" s="7" t="n">
        <v>1200</v>
      </c>
    </row>
    <row r="2529">
      <c r="A2529" s="5" t="inlineStr">
        <is>
          <t>Grupos poderosos</t>
        </is>
      </c>
      <c r="B2529" s="5" t="inlineStr">
        <is>
          <t>Uruguay</t>
        </is>
      </c>
      <c r="C2529" s="5" t="n">
        <v>2010</v>
      </c>
      <c r="D2529" s="5" t="inlineStr">
        <is>
          <t>Para el bien de todo el pueblo</t>
        </is>
      </c>
      <c r="E2529" s="6" t="n">
        <v>0.593</v>
      </c>
      <c r="F2529" s="7" t="n">
        <v>1200</v>
      </c>
    </row>
    <row r="2530">
      <c r="A2530" s="5" t="inlineStr">
        <is>
          <t>Grupos poderosos</t>
        </is>
      </c>
      <c r="B2530" s="5" t="inlineStr">
        <is>
          <t>Uruguay</t>
        </is>
      </c>
      <c r="C2530" s="5" t="n">
        <v>2010</v>
      </c>
      <c r="D2530" s="5" t="inlineStr">
        <is>
          <t>No sabe; no responde</t>
        </is>
      </c>
      <c r="E2530" s="6" t="n">
        <v>0.128</v>
      </c>
      <c r="F2530" s="7" t="n">
        <v>1200</v>
      </c>
    </row>
    <row r="2531">
      <c r="A2531" s="5" t="inlineStr">
        <is>
          <t>Grupos poderosos</t>
        </is>
      </c>
      <c r="B2531" s="5" t="inlineStr">
        <is>
          <t>Uruguay</t>
        </is>
      </c>
      <c r="C2531" s="5" t="n">
        <v>2011</v>
      </c>
      <c r="D2531" s="5" t="inlineStr">
        <is>
          <t>Grupos poderosos en su propio beneficio</t>
        </is>
      </c>
      <c r="E2531" s="6" t="n">
        <v>0.313</v>
      </c>
      <c r="F2531" s="7" t="n">
        <v>1200</v>
      </c>
    </row>
    <row r="2532">
      <c r="A2532" s="5" t="inlineStr">
        <is>
          <t>Grupos poderosos</t>
        </is>
      </c>
      <c r="B2532" s="5" t="inlineStr">
        <is>
          <t>Uruguay</t>
        </is>
      </c>
      <c r="C2532" s="5" t="n">
        <v>2011</v>
      </c>
      <c r="D2532" s="5" t="inlineStr">
        <is>
          <t>Para el bien de todo el pueblo</t>
        </is>
      </c>
      <c r="E2532" s="6" t="n">
        <v>0.541</v>
      </c>
      <c r="F2532" s="7" t="n">
        <v>1200</v>
      </c>
    </row>
    <row r="2533">
      <c r="A2533" s="5" t="inlineStr">
        <is>
          <t>Grupos poderosos</t>
        </is>
      </c>
      <c r="B2533" s="5" t="inlineStr">
        <is>
          <t>Uruguay</t>
        </is>
      </c>
      <c r="C2533" s="5" t="n">
        <v>2011</v>
      </c>
      <c r="D2533" s="5" t="inlineStr">
        <is>
          <t>No sabe; no responde</t>
        </is>
      </c>
      <c r="E2533" s="6" t="n">
        <v>0.146</v>
      </c>
      <c r="F2533" s="7" t="n">
        <v>1200</v>
      </c>
    </row>
    <row r="2534">
      <c r="A2534" s="5" t="inlineStr">
        <is>
          <t>Grupos poderosos</t>
        </is>
      </c>
      <c r="B2534" s="5" t="inlineStr">
        <is>
          <t>Uruguay</t>
        </is>
      </c>
      <c r="C2534" s="5" t="n">
        <v>2016</v>
      </c>
      <c r="D2534" s="5" t="inlineStr">
        <is>
          <t>Grupos poderosos en su propio beneficio</t>
        </is>
      </c>
      <c r="E2534" s="6" t="n">
        <v>0.5600000000000001</v>
      </c>
      <c r="F2534" s="7" t="n">
        <v>1200</v>
      </c>
    </row>
    <row r="2535">
      <c r="A2535" s="5" t="inlineStr">
        <is>
          <t>Grupos poderosos</t>
        </is>
      </c>
      <c r="B2535" s="5" t="inlineStr">
        <is>
          <t>Uruguay</t>
        </is>
      </c>
      <c r="C2535" s="5" t="n">
        <v>2016</v>
      </c>
      <c r="D2535" s="5" t="inlineStr">
        <is>
          <t>Para el bien de todo el pueblo</t>
        </is>
      </c>
      <c r="E2535" s="6" t="n">
        <v>0.333</v>
      </c>
      <c r="F2535" s="7" t="n">
        <v>1200</v>
      </c>
    </row>
    <row r="2536">
      <c r="A2536" s="5" t="inlineStr">
        <is>
          <t>Grupos poderosos</t>
        </is>
      </c>
      <c r="B2536" s="5" t="inlineStr">
        <is>
          <t>Uruguay</t>
        </is>
      </c>
      <c r="C2536" s="5" t="n">
        <v>2016</v>
      </c>
      <c r="D2536" s="5" t="inlineStr">
        <is>
          <t>No sabe; no responde</t>
        </is>
      </c>
      <c r="E2536" s="6" t="n">
        <v>0.107</v>
      </c>
      <c r="F2536" s="7" t="n">
        <v>1200</v>
      </c>
    </row>
    <row r="2537">
      <c r="A2537" s="5" t="inlineStr">
        <is>
          <t>Grupos poderosos</t>
        </is>
      </c>
      <c r="B2537" s="5" t="inlineStr">
        <is>
          <t>Uruguay</t>
        </is>
      </c>
      <c r="C2537" s="5" t="n">
        <v>2017</v>
      </c>
      <c r="D2537" s="5" t="inlineStr">
        <is>
          <t>Grupos poderosos en su propio beneficio</t>
        </is>
      </c>
      <c r="E2537" s="6" t="n">
        <v>0.623</v>
      </c>
      <c r="F2537" s="7" t="n">
        <v>1200</v>
      </c>
    </row>
    <row r="2538">
      <c r="A2538" s="5" t="inlineStr">
        <is>
          <t>Grupos poderosos</t>
        </is>
      </c>
      <c r="B2538" s="5" t="inlineStr">
        <is>
          <t>Uruguay</t>
        </is>
      </c>
      <c r="C2538" s="5" t="n">
        <v>2017</v>
      </c>
      <c r="D2538" s="5" t="inlineStr">
        <is>
          <t>Para el bien de todo el pueblo</t>
        </is>
      </c>
      <c r="E2538" s="6" t="n">
        <v>0.315</v>
      </c>
      <c r="F2538" s="7" t="n">
        <v>1200</v>
      </c>
    </row>
    <row r="2539">
      <c r="A2539" s="5" t="inlineStr">
        <is>
          <t>Grupos poderosos</t>
        </is>
      </c>
      <c r="B2539" s="5" t="inlineStr">
        <is>
          <t>Uruguay</t>
        </is>
      </c>
      <c r="C2539" s="5" t="n">
        <v>2017</v>
      </c>
      <c r="D2539" s="5" t="inlineStr">
        <is>
          <t>No sabe; no responde</t>
        </is>
      </c>
      <c r="E2539" s="6" t="n">
        <v>0.063</v>
      </c>
      <c r="F2539" s="7" t="n">
        <v>1200</v>
      </c>
    </row>
    <row r="2540">
      <c r="A2540" s="5" t="inlineStr">
        <is>
          <t>Grupos poderosos</t>
        </is>
      </c>
      <c r="B2540" s="5" t="inlineStr">
        <is>
          <t>Uruguay</t>
        </is>
      </c>
      <c r="C2540" s="5" t="n">
        <v>2018</v>
      </c>
      <c r="D2540" s="5" t="inlineStr">
        <is>
          <t>Grupos poderosos en su propio beneficio</t>
        </is>
      </c>
      <c r="E2540" s="6" t="n">
        <v>0.645</v>
      </c>
      <c r="F2540" s="7" t="n">
        <v>1200</v>
      </c>
    </row>
    <row r="2541">
      <c r="A2541" s="5" t="inlineStr">
        <is>
          <t>Grupos poderosos</t>
        </is>
      </c>
      <c r="B2541" s="5" t="inlineStr">
        <is>
          <t>Uruguay</t>
        </is>
      </c>
      <c r="C2541" s="5" t="n">
        <v>2018</v>
      </c>
      <c r="D2541" s="5" t="inlineStr">
        <is>
          <t>Para el bien de todo el pueblo</t>
        </is>
      </c>
      <c r="E2541" s="6" t="n">
        <v>0.272</v>
      </c>
      <c r="F2541" s="7" t="n">
        <v>1200</v>
      </c>
    </row>
    <row r="2542">
      <c r="A2542" s="5" t="inlineStr">
        <is>
          <t>Grupos poderosos</t>
        </is>
      </c>
      <c r="B2542" s="5" t="inlineStr">
        <is>
          <t>Uruguay</t>
        </is>
      </c>
      <c r="C2542" s="5" t="n">
        <v>2018</v>
      </c>
      <c r="D2542" s="5" t="inlineStr">
        <is>
          <t>No sabe; no responde</t>
        </is>
      </c>
      <c r="E2542" s="6" t="n">
        <v>0.083</v>
      </c>
      <c r="F2542" s="7" t="n">
        <v>1200</v>
      </c>
    </row>
    <row r="2543">
      <c r="A2543" s="5" t="inlineStr">
        <is>
          <t>Grupos poderosos</t>
        </is>
      </c>
      <c r="B2543" s="5" t="inlineStr">
        <is>
          <t>Uruguay</t>
        </is>
      </c>
      <c r="C2543" s="5" t="n">
        <v>2020</v>
      </c>
      <c r="D2543" s="5" t="inlineStr">
        <is>
          <t>Grupos poderosos en su propio beneficio</t>
        </is>
      </c>
      <c r="E2543" s="6" t="n">
        <v>0.5379999999999999</v>
      </c>
      <c r="F2543" s="7" t="n">
        <v>1200</v>
      </c>
    </row>
    <row r="2544">
      <c r="A2544" s="5" t="inlineStr">
        <is>
          <t>Grupos poderosos</t>
        </is>
      </c>
      <c r="B2544" s="5" t="inlineStr">
        <is>
          <t>Uruguay</t>
        </is>
      </c>
      <c r="C2544" s="5" t="n">
        <v>2020</v>
      </c>
      <c r="D2544" s="5" t="inlineStr">
        <is>
          <t>Para el bien de todo el pueblo</t>
        </is>
      </c>
      <c r="E2544" s="6" t="n">
        <v>0.39</v>
      </c>
      <c r="F2544" s="7" t="n">
        <v>1200</v>
      </c>
    </row>
    <row r="2545">
      <c r="A2545" s="5" t="inlineStr">
        <is>
          <t>Grupos poderosos</t>
        </is>
      </c>
      <c r="B2545" s="5" t="inlineStr">
        <is>
          <t>Uruguay</t>
        </is>
      </c>
      <c r="C2545" s="5" t="n">
        <v>2020</v>
      </c>
      <c r="D2545" s="5" t="inlineStr">
        <is>
          <t>No sabe; no responde</t>
        </is>
      </c>
      <c r="E2545" s="6" t="n">
        <v>0.073</v>
      </c>
      <c r="F2545" s="7" t="n">
        <v>1200</v>
      </c>
    </row>
    <row r="2546">
      <c r="A2546" s="5" t="inlineStr">
        <is>
          <t>Grupos poderosos</t>
        </is>
      </c>
      <c r="B2546" s="5" t="inlineStr">
        <is>
          <t>Uruguay</t>
        </is>
      </c>
      <c r="C2546" s="5" t="n">
        <v>2024</v>
      </c>
      <c r="D2546" s="5" t="inlineStr">
        <is>
          <t>Grupos poderosos en su propio beneficio</t>
        </is>
      </c>
      <c r="E2546" s="6" t="n">
        <v>0.618</v>
      </c>
      <c r="F2546" s="7" t="n">
        <v>1200</v>
      </c>
    </row>
    <row r="2547">
      <c r="A2547" s="5" t="inlineStr">
        <is>
          <t>Grupos poderosos</t>
        </is>
      </c>
      <c r="B2547" s="5" t="inlineStr">
        <is>
          <t>Uruguay</t>
        </is>
      </c>
      <c r="C2547" s="5" t="n">
        <v>2024</v>
      </c>
      <c r="D2547" s="5" t="inlineStr">
        <is>
          <t>Para el bien de todo el pueblo</t>
        </is>
      </c>
      <c r="E2547" s="6" t="n">
        <v>0.328</v>
      </c>
      <c r="F2547" s="7" t="n">
        <v>1200</v>
      </c>
    </row>
    <row r="2548">
      <c r="A2548" s="5" t="inlineStr">
        <is>
          <t>Grupos poderosos</t>
        </is>
      </c>
      <c r="B2548" s="5" t="inlineStr">
        <is>
          <t>Uruguay</t>
        </is>
      </c>
      <c r="C2548" s="5" t="n">
        <v>2024</v>
      </c>
      <c r="D2548" s="5" t="inlineStr">
        <is>
          <t>No sabe; no responde</t>
        </is>
      </c>
      <c r="E2548" s="6" t="n">
        <v>0.05400000000000001</v>
      </c>
      <c r="F2548" s="7" t="n">
        <v>1200</v>
      </c>
    </row>
    <row r="2549">
      <c r="A2549" s="5" t="inlineStr">
        <is>
          <t>Grupos poderosos</t>
        </is>
      </c>
      <c r="B2549" s="5" t="inlineStr">
        <is>
          <t>Venezuela</t>
        </is>
      </c>
      <c r="C2549" s="5" t="n">
        <v>2004</v>
      </c>
      <c r="D2549" s="5" t="inlineStr">
        <is>
          <t>Grupos poderosos en su propio beneficio</t>
        </is>
      </c>
      <c r="E2549" s="6" t="n">
        <v>0.508</v>
      </c>
      <c r="F2549" s="7" t="n">
        <v>1200</v>
      </c>
    </row>
    <row r="2550">
      <c r="A2550" s="5" t="inlineStr">
        <is>
          <t>Grupos poderosos</t>
        </is>
      </c>
      <c r="B2550" s="5" t="inlineStr">
        <is>
          <t>Venezuela</t>
        </is>
      </c>
      <c r="C2550" s="5" t="n">
        <v>2004</v>
      </c>
      <c r="D2550" s="5" t="inlineStr">
        <is>
          <t>Para el bien de todo el pueblo</t>
        </is>
      </c>
      <c r="E2550" s="6" t="n">
        <v>0.425</v>
      </c>
      <c r="F2550" s="7" t="n">
        <v>1200</v>
      </c>
    </row>
    <row r="2551">
      <c r="A2551" s="5" t="inlineStr">
        <is>
          <t>Grupos poderosos</t>
        </is>
      </c>
      <c r="B2551" s="5" t="inlineStr">
        <is>
          <t>Venezuela</t>
        </is>
      </c>
      <c r="C2551" s="5" t="n">
        <v>2004</v>
      </c>
      <c r="D2551" s="5" t="inlineStr">
        <is>
          <t>No sabe; no responde</t>
        </is>
      </c>
      <c r="E2551" s="6" t="n">
        <v>0.067</v>
      </c>
      <c r="F2551" s="7" t="n">
        <v>1200</v>
      </c>
    </row>
    <row r="2552">
      <c r="A2552" s="5" t="inlineStr">
        <is>
          <t>Grupos poderosos</t>
        </is>
      </c>
      <c r="B2552" s="5" t="inlineStr">
        <is>
          <t>Venezuela</t>
        </is>
      </c>
      <c r="C2552" s="5" t="n">
        <v>2005</v>
      </c>
      <c r="D2552" s="5" t="inlineStr">
        <is>
          <t>Grupos poderosos en su propio beneficio</t>
        </is>
      </c>
      <c r="E2552" s="6" t="n">
        <v>0.395</v>
      </c>
      <c r="F2552" s="7" t="n">
        <v>1200</v>
      </c>
    </row>
    <row r="2553">
      <c r="A2553" s="5" t="inlineStr">
        <is>
          <t>Grupos poderosos</t>
        </is>
      </c>
      <c r="B2553" s="5" t="inlineStr">
        <is>
          <t>Venezuela</t>
        </is>
      </c>
      <c r="C2553" s="5" t="n">
        <v>2005</v>
      </c>
      <c r="D2553" s="5" t="inlineStr">
        <is>
          <t>Para el bien de todo el pueblo</t>
        </is>
      </c>
      <c r="E2553" s="6" t="n">
        <v>0.545</v>
      </c>
      <c r="F2553" s="7" t="n">
        <v>1200</v>
      </c>
    </row>
    <row r="2554">
      <c r="A2554" s="5" t="inlineStr">
        <is>
          <t>Grupos poderosos</t>
        </is>
      </c>
      <c r="B2554" s="5" t="inlineStr">
        <is>
          <t>Venezuela</t>
        </is>
      </c>
      <c r="C2554" s="5" t="n">
        <v>2005</v>
      </c>
      <c r="D2554" s="5" t="inlineStr">
        <is>
          <t>No sabe; no responde</t>
        </is>
      </c>
      <c r="E2554" s="6" t="n">
        <v>0.06</v>
      </c>
      <c r="F2554" s="7" t="n">
        <v>1200</v>
      </c>
    </row>
    <row r="2555">
      <c r="A2555" s="5" t="inlineStr">
        <is>
          <t>Grupos poderosos</t>
        </is>
      </c>
      <c r="B2555" s="5" t="inlineStr">
        <is>
          <t>Venezuela</t>
        </is>
      </c>
      <c r="C2555" s="5" t="n">
        <v>2006</v>
      </c>
      <c r="D2555" s="5" t="inlineStr">
        <is>
          <t>Grupos poderosos en su propio beneficio</t>
        </is>
      </c>
      <c r="E2555" s="6" t="n">
        <v>0.421</v>
      </c>
      <c r="F2555" s="7" t="n">
        <v>1200</v>
      </c>
    </row>
    <row r="2556">
      <c r="A2556" s="5" t="inlineStr">
        <is>
          <t>Grupos poderosos</t>
        </is>
      </c>
      <c r="B2556" s="5" t="inlineStr">
        <is>
          <t>Venezuela</t>
        </is>
      </c>
      <c r="C2556" s="5" t="n">
        <v>2006</v>
      </c>
      <c r="D2556" s="5" t="inlineStr">
        <is>
          <t>Para el bien de todo el pueblo</t>
        </is>
      </c>
      <c r="E2556" s="6" t="n">
        <v>0.498</v>
      </c>
      <c r="F2556" s="7" t="n">
        <v>1200</v>
      </c>
    </row>
    <row r="2557">
      <c r="A2557" s="5" t="inlineStr">
        <is>
          <t>Grupos poderosos</t>
        </is>
      </c>
      <c r="B2557" s="5" t="inlineStr">
        <is>
          <t>Venezuela</t>
        </is>
      </c>
      <c r="C2557" s="5" t="n">
        <v>2006</v>
      </c>
      <c r="D2557" s="5" t="inlineStr">
        <is>
          <t>No sabe; no responde</t>
        </is>
      </c>
      <c r="E2557" s="6" t="n">
        <v>0.081</v>
      </c>
      <c r="F2557" s="7" t="n">
        <v>1200</v>
      </c>
    </row>
    <row r="2558">
      <c r="A2558" s="5" t="inlineStr">
        <is>
          <t>Grupos poderosos</t>
        </is>
      </c>
      <c r="B2558" s="5" t="inlineStr">
        <is>
          <t>Venezuela</t>
        </is>
      </c>
      <c r="C2558" s="5" t="n">
        <v>2007</v>
      </c>
      <c r="D2558" s="5" t="inlineStr">
        <is>
          <t>Grupos poderosos en su propio beneficio</t>
        </is>
      </c>
      <c r="E2558" s="6" t="n">
        <v>0.488</v>
      </c>
      <c r="F2558" s="7" t="n">
        <v>1200</v>
      </c>
    </row>
    <row r="2559">
      <c r="A2559" s="5" t="inlineStr">
        <is>
          <t>Grupos poderosos</t>
        </is>
      </c>
      <c r="B2559" s="5" t="inlineStr">
        <is>
          <t>Venezuela</t>
        </is>
      </c>
      <c r="C2559" s="5" t="n">
        <v>2007</v>
      </c>
      <c r="D2559" s="5" t="inlineStr">
        <is>
          <t>Para el bien de todo el pueblo</t>
        </is>
      </c>
      <c r="E2559" s="6" t="n">
        <v>0.476</v>
      </c>
      <c r="F2559" s="7" t="n">
        <v>1200</v>
      </c>
    </row>
    <row r="2560">
      <c r="A2560" s="5" t="inlineStr">
        <is>
          <t>Grupos poderosos</t>
        </is>
      </c>
      <c r="B2560" s="5" t="inlineStr">
        <is>
          <t>Venezuela</t>
        </is>
      </c>
      <c r="C2560" s="5" t="n">
        <v>2007</v>
      </c>
      <c r="D2560" s="5" t="inlineStr">
        <is>
          <t>No sabe; no responde</t>
        </is>
      </c>
      <c r="E2560" s="6" t="n">
        <v>0.036</v>
      </c>
      <c r="F2560" s="7" t="n">
        <v>1200</v>
      </c>
    </row>
    <row r="2561">
      <c r="A2561" s="5" t="inlineStr">
        <is>
          <t>Grupos poderosos</t>
        </is>
      </c>
      <c r="B2561" s="5" t="inlineStr">
        <is>
          <t>Venezuela</t>
        </is>
      </c>
      <c r="C2561" s="5" t="n">
        <v>2008</v>
      </c>
      <c r="D2561" s="5" t="inlineStr">
        <is>
          <t>Grupos poderosos en su propio beneficio</t>
        </is>
      </c>
      <c r="E2561" s="6" t="n">
        <v>0.599</v>
      </c>
      <c r="F2561" s="7" t="n">
        <v>1200</v>
      </c>
    </row>
    <row r="2562">
      <c r="A2562" s="5" t="inlineStr">
        <is>
          <t>Grupos poderosos</t>
        </is>
      </c>
      <c r="B2562" s="5" t="inlineStr">
        <is>
          <t>Venezuela</t>
        </is>
      </c>
      <c r="C2562" s="5" t="n">
        <v>2008</v>
      </c>
      <c r="D2562" s="5" t="inlineStr">
        <is>
          <t>Para el bien de todo el pueblo</t>
        </is>
      </c>
      <c r="E2562" s="6" t="n">
        <v>0.35</v>
      </c>
      <c r="F2562" s="7" t="n">
        <v>1200</v>
      </c>
    </row>
    <row r="2563">
      <c r="A2563" s="5" t="inlineStr">
        <is>
          <t>Grupos poderosos</t>
        </is>
      </c>
      <c r="B2563" s="5" t="inlineStr">
        <is>
          <t>Venezuela</t>
        </is>
      </c>
      <c r="C2563" s="5" t="n">
        <v>2008</v>
      </c>
      <c r="D2563" s="5" t="inlineStr">
        <is>
          <t>No sabe; no responde</t>
        </is>
      </c>
      <c r="E2563" s="6" t="n">
        <v>0.051</v>
      </c>
      <c r="F2563" s="7" t="n">
        <v>1200</v>
      </c>
    </row>
    <row r="2564">
      <c r="A2564" s="5" t="inlineStr">
        <is>
          <t>Grupos poderosos</t>
        </is>
      </c>
      <c r="B2564" s="5" t="inlineStr">
        <is>
          <t>Venezuela</t>
        </is>
      </c>
      <c r="C2564" s="5" t="n">
        <v>2009</v>
      </c>
      <c r="D2564" s="5" t="inlineStr">
        <is>
          <t>Grupos poderosos en su propio beneficio</t>
        </is>
      </c>
      <c r="E2564" s="6" t="n">
        <v>0.527</v>
      </c>
      <c r="F2564" s="7" t="n">
        <v>1200</v>
      </c>
    </row>
    <row r="2565">
      <c r="A2565" s="5" t="inlineStr">
        <is>
          <t>Grupos poderosos</t>
        </is>
      </c>
      <c r="B2565" s="5" t="inlineStr">
        <is>
          <t>Venezuela</t>
        </is>
      </c>
      <c r="C2565" s="5" t="n">
        <v>2009</v>
      </c>
      <c r="D2565" s="5" t="inlineStr">
        <is>
          <t>Para el bien de todo el pueblo</t>
        </is>
      </c>
      <c r="E2565" s="6" t="n">
        <v>0.421</v>
      </c>
      <c r="F2565" s="7" t="n">
        <v>1200</v>
      </c>
    </row>
    <row r="2566">
      <c r="A2566" s="5" t="inlineStr">
        <is>
          <t>Grupos poderosos</t>
        </is>
      </c>
      <c r="B2566" s="5" t="inlineStr">
        <is>
          <t>Venezuela</t>
        </is>
      </c>
      <c r="C2566" s="5" t="n">
        <v>2009</v>
      </c>
      <c r="D2566" s="5" t="inlineStr">
        <is>
          <t>No sabe; no responde</t>
        </is>
      </c>
      <c r="E2566" s="6" t="n">
        <v>0.052</v>
      </c>
      <c r="F2566" s="7" t="n">
        <v>1200</v>
      </c>
    </row>
    <row r="2567">
      <c r="A2567" s="5" t="inlineStr">
        <is>
          <t>Grupos poderosos</t>
        </is>
      </c>
      <c r="B2567" s="5" t="inlineStr">
        <is>
          <t>Venezuela</t>
        </is>
      </c>
      <c r="C2567" s="5" t="n">
        <v>2010</v>
      </c>
      <c r="D2567" s="5" t="inlineStr">
        <is>
          <t>Grupos poderosos en su propio beneficio</t>
        </is>
      </c>
      <c r="E2567" s="6" t="n">
        <v>0.537</v>
      </c>
      <c r="F2567" s="7" t="n">
        <v>1200</v>
      </c>
    </row>
    <row r="2568">
      <c r="A2568" s="5" t="inlineStr">
        <is>
          <t>Grupos poderosos</t>
        </is>
      </c>
      <c r="B2568" s="5" t="inlineStr">
        <is>
          <t>Venezuela</t>
        </is>
      </c>
      <c r="C2568" s="5" t="n">
        <v>2010</v>
      </c>
      <c r="D2568" s="5" t="inlineStr">
        <is>
          <t>Para el bien de todo el pueblo</t>
        </is>
      </c>
      <c r="E2568" s="6" t="n">
        <v>0.404</v>
      </c>
      <c r="F2568" s="7" t="n">
        <v>1200</v>
      </c>
    </row>
    <row r="2569">
      <c r="A2569" s="5" t="inlineStr">
        <is>
          <t>Grupos poderosos</t>
        </is>
      </c>
      <c r="B2569" s="5" t="inlineStr">
        <is>
          <t>Venezuela</t>
        </is>
      </c>
      <c r="C2569" s="5" t="n">
        <v>2010</v>
      </c>
      <c r="D2569" s="5" t="inlineStr">
        <is>
          <t>No sabe; no responde</t>
        </is>
      </c>
      <c r="E2569" s="6" t="n">
        <v>0.058</v>
      </c>
      <c r="F2569" s="7" t="n">
        <v>1200</v>
      </c>
    </row>
    <row r="2570">
      <c r="A2570" s="5" t="inlineStr">
        <is>
          <t>Grupos poderosos</t>
        </is>
      </c>
      <c r="B2570" s="5" t="inlineStr">
        <is>
          <t>Venezuela</t>
        </is>
      </c>
      <c r="C2570" s="5" t="n">
        <v>2011</v>
      </c>
      <c r="D2570" s="5" t="inlineStr">
        <is>
          <t>Grupos poderosos en su propio beneficio</t>
        </is>
      </c>
      <c r="E2570" s="6" t="n">
        <v>0.5539999999999999</v>
      </c>
      <c r="F2570" s="7" t="n">
        <v>1200</v>
      </c>
    </row>
    <row r="2571">
      <c r="A2571" s="5" t="inlineStr">
        <is>
          <t>Grupos poderosos</t>
        </is>
      </c>
      <c r="B2571" s="5" t="inlineStr">
        <is>
          <t>Venezuela</t>
        </is>
      </c>
      <c r="C2571" s="5" t="n">
        <v>2011</v>
      </c>
      <c r="D2571" s="5" t="inlineStr">
        <is>
          <t>Para el bien de todo el pueblo</t>
        </is>
      </c>
      <c r="E2571" s="6" t="n">
        <v>0.39</v>
      </c>
      <c r="F2571" s="7" t="n">
        <v>1200</v>
      </c>
    </row>
    <row r="2572">
      <c r="A2572" s="5" t="inlineStr">
        <is>
          <t>Grupos poderosos</t>
        </is>
      </c>
      <c r="B2572" s="5" t="inlineStr">
        <is>
          <t>Venezuela</t>
        </is>
      </c>
      <c r="C2572" s="5" t="n">
        <v>2011</v>
      </c>
      <c r="D2572" s="5" t="inlineStr">
        <is>
          <t>No sabe; no responde</t>
        </is>
      </c>
      <c r="E2572" s="6" t="n">
        <v>0.05599999999999999</v>
      </c>
      <c r="F2572" s="7" t="n">
        <v>1200</v>
      </c>
    </row>
    <row r="2573">
      <c r="A2573" s="5" t="inlineStr">
        <is>
          <t>Grupos poderosos</t>
        </is>
      </c>
      <c r="B2573" s="5" t="inlineStr">
        <is>
          <t>Venezuela</t>
        </is>
      </c>
      <c r="C2573" s="5" t="n">
        <v>2016</v>
      </c>
      <c r="D2573" s="5" t="inlineStr">
        <is>
          <t>Grupos poderosos en su propio beneficio</t>
        </is>
      </c>
      <c r="E2573" s="6" t="n">
        <v>0.7929999999999999</v>
      </c>
      <c r="F2573" s="7" t="n">
        <v>1200</v>
      </c>
    </row>
    <row r="2574">
      <c r="A2574" s="5" t="inlineStr">
        <is>
          <t>Grupos poderosos</t>
        </is>
      </c>
      <c r="B2574" s="5" t="inlineStr">
        <is>
          <t>Venezuela</t>
        </is>
      </c>
      <c r="C2574" s="5" t="n">
        <v>2016</v>
      </c>
      <c r="D2574" s="5" t="inlineStr">
        <is>
          <t>Para el bien de todo el pueblo</t>
        </is>
      </c>
      <c r="E2574" s="6" t="n">
        <v>0.181</v>
      </c>
      <c r="F2574" s="7" t="n">
        <v>1200</v>
      </c>
    </row>
    <row r="2575">
      <c r="A2575" s="5" t="inlineStr">
        <is>
          <t>Grupos poderosos</t>
        </is>
      </c>
      <c r="B2575" s="5" t="inlineStr">
        <is>
          <t>Venezuela</t>
        </is>
      </c>
      <c r="C2575" s="5" t="n">
        <v>2016</v>
      </c>
      <c r="D2575" s="5" t="inlineStr">
        <is>
          <t>No sabe; no responde</t>
        </is>
      </c>
      <c r="E2575" s="6" t="n">
        <v>0.026</v>
      </c>
      <c r="F2575" s="7" t="n">
        <v>1200</v>
      </c>
    </row>
    <row r="2576">
      <c r="A2576" s="5" t="inlineStr">
        <is>
          <t>Grupos poderosos</t>
        </is>
      </c>
      <c r="B2576" s="5" t="inlineStr">
        <is>
          <t>Venezuela</t>
        </is>
      </c>
      <c r="C2576" s="5" t="n">
        <v>2017</v>
      </c>
      <c r="D2576" s="5" t="inlineStr">
        <is>
          <t>Grupos poderosos en su propio beneficio</t>
        </is>
      </c>
      <c r="E2576" s="6" t="n">
        <v>0.6899999999999999</v>
      </c>
      <c r="F2576" s="7" t="n">
        <v>1200</v>
      </c>
    </row>
    <row r="2577">
      <c r="A2577" s="5" t="inlineStr">
        <is>
          <t>Grupos poderosos</t>
        </is>
      </c>
      <c r="B2577" s="5" t="inlineStr">
        <is>
          <t>Venezuela</t>
        </is>
      </c>
      <c r="C2577" s="5" t="n">
        <v>2017</v>
      </c>
      <c r="D2577" s="5" t="inlineStr">
        <is>
          <t>Para el bien de todo el pueblo</t>
        </is>
      </c>
      <c r="E2577" s="6" t="n">
        <v>0.253</v>
      </c>
      <c r="F2577" s="7" t="n">
        <v>1200</v>
      </c>
    </row>
    <row r="2578">
      <c r="A2578" s="5" t="inlineStr">
        <is>
          <t>Grupos poderosos</t>
        </is>
      </c>
      <c r="B2578" s="5" t="inlineStr">
        <is>
          <t>Venezuela</t>
        </is>
      </c>
      <c r="C2578" s="5" t="n">
        <v>2017</v>
      </c>
      <c r="D2578" s="5" t="inlineStr">
        <is>
          <t>No sabe; no responde</t>
        </is>
      </c>
      <c r="E2578" s="6" t="n">
        <v>0.057</v>
      </c>
      <c r="F2578" s="7" t="n">
        <v>1200</v>
      </c>
    </row>
    <row r="2579">
      <c r="A2579" s="5" t="inlineStr">
        <is>
          <t>Grupos poderosos</t>
        </is>
      </c>
      <c r="B2579" s="5" t="inlineStr">
        <is>
          <t>Venezuela</t>
        </is>
      </c>
      <c r="C2579" s="5" t="n">
        <v>2018</v>
      </c>
      <c r="D2579" s="5" t="inlineStr">
        <is>
          <t>Grupos poderosos en su propio beneficio</t>
        </is>
      </c>
      <c r="E2579" s="6" t="n">
        <v>0.856</v>
      </c>
      <c r="F2579" s="7" t="n">
        <v>1200</v>
      </c>
    </row>
    <row r="2580">
      <c r="A2580" s="5" t="inlineStr">
        <is>
          <t>Grupos poderosos</t>
        </is>
      </c>
      <c r="B2580" s="5" t="inlineStr">
        <is>
          <t>Venezuela</t>
        </is>
      </c>
      <c r="C2580" s="5" t="n">
        <v>2018</v>
      </c>
      <c r="D2580" s="5" t="inlineStr">
        <is>
          <t>Para el bien de todo el pueblo</t>
        </is>
      </c>
      <c r="E2580" s="6" t="n">
        <v>0.118</v>
      </c>
      <c r="F2580" s="7" t="n">
        <v>1200</v>
      </c>
    </row>
    <row r="2581">
      <c r="A2581" s="5" t="inlineStr">
        <is>
          <t>Grupos poderosos</t>
        </is>
      </c>
      <c r="B2581" s="5" t="inlineStr">
        <is>
          <t>Venezuela</t>
        </is>
      </c>
      <c r="C2581" s="5" t="n">
        <v>2018</v>
      </c>
      <c r="D2581" s="5" t="inlineStr">
        <is>
          <t>No sabe; no responde</t>
        </is>
      </c>
      <c r="E2581" s="6" t="n">
        <v>0.026</v>
      </c>
      <c r="F2581" s="7" t="n">
        <v>1200</v>
      </c>
    </row>
    <row r="2582">
      <c r="A2582" s="5" t="inlineStr">
        <is>
          <t>Grupos poderosos</t>
        </is>
      </c>
      <c r="B2582" s="5" t="inlineStr">
        <is>
          <t>Venezuela</t>
        </is>
      </c>
      <c r="C2582" s="5" t="n">
        <v>2020</v>
      </c>
      <c r="D2582" s="5" t="inlineStr">
        <is>
          <t>Grupos poderosos en su propio beneficio</t>
        </is>
      </c>
      <c r="E2582" s="6" t="n">
        <v>0.8009999999999999</v>
      </c>
      <c r="F2582" s="7" t="n">
        <v>1198</v>
      </c>
    </row>
    <row r="2583">
      <c r="A2583" s="5" t="inlineStr">
        <is>
          <t>Grupos poderosos</t>
        </is>
      </c>
      <c r="B2583" s="5" t="inlineStr">
        <is>
          <t>Venezuela</t>
        </is>
      </c>
      <c r="C2583" s="5" t="n">
        <v>2020</v>
      </c>
      <c r="D2583" s="5" t="inlineStr">
        <is>
          <t>Para el bien de todo el pueblo</t>
        </is>
      </c>
      <c r="E2583" s="6" t="n">
        <v>0.155</v>
      </c>
      <c r="F2583" s="7" t="n">
        <v>1198</v>
      </c>
    </row>
    <row r="2584">
      <c r="A2584" s="5" t="inlineStr">
        <is>
          <t>Grupos poderosos</t>
        </is>
      </c>
      <c r="B2584" s="5" t="inlineStr">
        <is>
          <t>Venezuela</t>
        </is>
      </c>
      <c r="C2584" s="5" t="n">
        <v>2020</v>
      </c>
      <c r="D2584" s="5" t="inlineStr">
        <is>
          <t>No sabe; no responde</t>
        </is>
      </c>
      <c r="E2584" s="6" t="n">
        <v>0.045</v>
      </c>
      <c r="F2584" s="7" t="n">
        <v>1198</v>
      </c>
    </row>
    <row r="2585">
      <c r="A2585" s="5" t="inlineStr">
        <is>
          <t>Grupos poderosos</t>
        </is>
      </c>
      <c r="B2585" s="5" t="inlineStr">
        <is>
          <t>Venezuela</t>
        </is>
      </c>
      <c r="C2585" s="5" t="n">
        <v>2024</v>
      </c>
      <c r="D2585" s="5" t="inlineStr">
        <is>
          <t>Grupos poderosos en su propio beneficio</t>
        </is>
      </c>
      <c r="E2585" s="6" t="n">
        <v>0.773</v>
      </c>
      <c r="F2585" s="7" t="n">
        <v>1200</v>
      </c>
    </row>
    <row r="2586">
      <c r="A2586" s="5" t="inlineStr">
        <is>
          <t>Grupos poderosos</t>
        </is>
      </c>
      <c r="B2586" s="5" t="inlineStr">
        <is>
          <t>Venezuela</t>
        </is>
      </c>
      <c r="C2586" s="5" t="n">
        <v>2024</v>
      </c>
      <c r="D2586" s="5" t="inlineStr">
        <is>
          <t>Para el bien de todo el pueblo</t>
        </is>
      </c>
      <c r="E2586" s="6" t="n">
        <v>0.193</v>
      </c>
      <c r="F2586" s="7" t="n">
        <v>1200</v>
      </c>
    </row>
    <row r="2587">
      <c r="A2587" s="5" t="inlineStr">
        <is>
          <t>Grupos poderosos</t>
        </is>
      </c>
      <c r="B2587" s="5" t="inlineStr">
        <is>
          <t>Venezuela</t>
        </is>
      </c>
      <c r="C2587" s="5" t="n">
        <v>2024</v>
      </c>
      <c r="D2587" s="5" t="inlineStr">
        <is>
          <t>No sabe; no responde</t>
        </is>
      </c>
      <c r="E2587" s="6" t="n">
        <v>0.033</v>
      </c>
      <c r="F2587" s="7" t="n">
        <v>1200</v>
      </c>
    </row>
  </sheetData>
  <autoFilter ref="A1:F25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Variable →</t>
        </is>
      </c>
      <c r="B1" s="4" t="inlineStr"/>
      <c r="C1" s="4" t="inlineStr">
        <is>
          <t>Apoyo democracia</t>
        </is>
      </c>
      <c r="D1" s="4" t="inlineStr">
        <is>
          <t>Apoyo democracia</t>
        </is>
      </c>
      <c r="E1" s="4" t="inlineStr">
        <is>
          <t>Apoyo democracia</t>
        </is>
      </c>
      <c r="F1" s="4" t="inlineStr">
        <is>
          <t>Apoyo democracia</t>
        </is>
      </c>
      <c r="G1" s="4" t="inlineStr">
        <is>
          <t>Apoyo democracia</t>
        </is>
      </c>
      <c r="H1" s="4" t="inlineStr">
        <is>
          <t>Grupos poderosos</t>
        </is>
      </c>
      <c r="I1" s="4" t="inlineStr">
        <is>
          <t>Grupos poderosos</t>
        </is>
      </c>
      <c r="J1" s="4" t="inlineStr">
        <is>
          <t>Grupos poderosos</t>
        </is>
      </c>
    </row>
    <row r="2">
      <c r="A2" s="4" t="inlineStr">
        <is>
          <t>País</t>
        </is>
      </c>
      <c r="B2" s="4" t="inlineStr">
        <is>
          <t>Año</t>
        </is>
      </c>
      <c r="C2" s="4" t="inlineStr">
        <is>
          <t>Democracia</t>
        </is>
      </c>
      <c r="D2" s="4" t="inlineStr">
        <is>
          <t>Gobierno Autoritario</t>
        </is>
      </c>
      <c r="E2" s="4" t="inlineStr">
        <is>
          <t>Da lo mismo</t>
        </is>
      </c>
      <c r="F2" s="4" t="inlineStr">
        <is>
          <t>No sabe</t>
        </is>
      </c>
      <c r="G2" s="4" t="inlineStr">
        <is>
          <t>No contesta</t>
        </is>
      </c>
      <c r="H2" s="4" t="inlineStr">
        <is>
          <t>Grupos poderosos en su propio beneficio</t>
        </is>
      </c>
      <c r="I2" s="4" t="inlineStr">
        <is>
          <t>Para el bien de todo el pueblo</t>
        </is>
      </c>
      <c r="J2" s="4" t="inlineStr">
        <is>
          <t>No sabe; no responde</t>
        </is>
      </c>
    </row>
    <row r="3">
      <c r="A3" s="8" t="inlineStr">
        <is>
          <t>Argentina</t>
        </is>
      </c>
      <c r="B3" s="8" t="n">
        <v>1995</v>
      </c>
      <c r="C3" s="9">
        <f>IF(COUNTIFS(Datos!$A$2:$A$5000,C$1,Datos!$B$2:$B$5000,$A3,Datos!$C$2:$C$5000,$B3,Datos!$D$2:$D$5000,C$2)=0,"",SUMIFS(Datos!$E$2:$E$5000,Datos!$A$2:$A$5000,C$1,Datos!$B$2:$B$5000,$A3,Datos!$C$2:$C$5000,$B3,Datos!$D$2:$D$5000,C$2))</f>
        <v/>
      </c>
      <c r="D3" s="9">
        <f>IF(COUNTIFS(Datos!$A$2:$A$5000,D$1,Datos!$B$2:$B$5000,$A3,Datos!$C$2:$C$5000,$B3,Datos!$D$2:$D$5000,D$2)=0,"",SUMIFS(Datos!$E$2:$E$5000,Datos!$A$2:$A$5000,D$1,Datos!$B$2:$B$5000,$A3,Datos!$C$2:$C$5000,$B3,Datos!$D$2:$D$5000,D$2))</f>
        <v/>
      </c>
      <c r="E3" s="9">
        <f>IF(COUNTIFS(Datos!$A$2:$A$5000,E$1,Datos!$B$2:$B$5000,$A3,Datos!$C$2:$C$5000,$B3,Datos!$D$2:$D$5000,E$2)=0,"",SUMIFS(Datos!$E$2:$E$5000,Datos!$A$2:$A$5000,E$1,Datos!$B$2:$B$5000,$A3,Datos!$C$2:$C$5000,$B3,Datos!$D$2:$D$5000,E$2))</f>
        <v/>
      </c>
      <c r="F3" s="9">
        <f>IF(COUNTIFS(Datos!$A$2:$A$5000,F$1,Datos!$B$2:$B$5000,$A3,Datos!$C$2:$C$5000,$B3,Datos!$D$2:$D$5000,F$2)=0,"",SUMIFS(Datos!$E$2:$E$5000,Datos!$A$2:$A$5000,F$1,Datos!$B$2:$B$5000,$A3,Datos!$C$2:$C$5000,$B3,Datos!$D$2:$D$5000,F$2))</f>
        <v/>
      </c>
      <c r="G3" s="9">
        <f>IF(COUNTIFS(Datos!$A$2:$A$5000,G$1,Datos!$B$2:$B$5000,$A3,Datos!$C$2:$C$5000,$B3,Datos!$D$2:$D$5000,G$2)=0,"",SUMIFS(Datos!$E$2:$E$5000,Datos!$A$2:$A$5000,G$1,Datos!$B$2:$B$5000,$A3,Datos!$C$2:$C$5000,$B3,Datos!$D$2:$D$5000,G$2))</f>
        <v/>
      </c>
      <c r="H3" s="9">
        <f>IF(COUNTIFS(Datos!$A$2:$A$5000,H$1,Datos!$B$2:$B$5000,$A3,Datos!$C$2:$C$5000,$B3,Datos!$D$2:$D$5000,H$2)=0,"",SUMIFS(Datos!$E$2:$E$5000,Datos!$A$2:$A$5000,H$1,Datos!$B$2:$B$5000,$A3,Datos!$C$2:$C$5000,$B3,Datos!$D$2:$D$5000,H$2))</f>
        <v/>
      </c>
      <c r="I3" s="9">
        <f>IF(COUNTIFS(Datos!$A$2:$A$5000,I$1,Datos!$B$2:$B$5000,$A3,Datos!$C$2:$C$5000,$B3,Datos!$D$2:$D$5000,I$2)=0,"",SUMIFS(Datos!$E$2:$E$5000,Datos!$A$2:$A$5000,I$1,Datos!$B$2:$B$5000,$A3,Datos!$C$2:$C$5000,$B3,Datos!$D$2:$D$5000,I$2))</f>
        <v/>
      </c>
      <c r="J3" s="9">
        <f>IF(COUNTIFS(Datos!$A$2:$A$5000,J$1,Datos!$B$2:$B$5000,$A3,Datos!$C$2:$C$5000,$B3,Datos!$D$2:$D$5000,J$2)=0,"",SUMIFS(Datos!$E$2:$E$5000,Datos!$A$2:$A$5000,J$1,Datos!$B$2:$B$5000,$A3,Datos!$C$2:$C$5000,$B3,Datos!$D$2:$D$5000,J$2))</f>
        <v/>
      </c>
    </row>
    <row r="4">
      <c r="A4" s="8" t="inlineStr">
        <is>
          <t>Argentina</t>
        </is>
      </c>
      <c r="B4" s="8" t="n">
        <v>1996</v>
      </c>
      <c r="C4" s="9">
        <f>IF(COUNTIFS(Datos!$A$2:$A$5000,C$1,Datos!$B$2:$B$5000,$A4,Datos!$C$2:$C$5000,$B4,Datos!$D$2:$D$5000,C$2)=0,"",SUMIFS(Datos!$E$2:$E$5000,Datos!$A$2:$A$5000,C$1,Datos!$B$2:$B$5000,$A4,Datos!$C$2:$C$5000,$B4,Datos!$D$2:$D$5000,C$2))</f>
        <v/>
      </c>
      <c r="D4" s="9">
        <f>IF(COUNTIFS(Datos!$A$2:$A$5000,D$1,Datos!$B$2:$B$5000,$A4,Datos!$C$2:$C$5000,$B4,Datos!$D$2:$D$5000,D$2)=0,"",SUMIFS(Datos!$E$2:$E$5000,Datos!$A$2:$A$5000,D$1,Datos!$B$2:$B$5000,$A4,Datos!$C$2:$C$5000,$B4,Datos!$D$2:$D$5000,D$2))</f>
        <v/>
      </c>
      <c r="E4" s="9">
        <f>IF(COUNTIFS(Datos!$A$2:$A$5000,E$1,Datos!$B$2:$B$5000,$A4,Datos!$C$2:$C$5000,$B4,Datos!$D$2:$D$5000,E$2)=0,"",SUMIFS(Datos!$E$2:$E$5000,Datos!$A$2:$A$5000,E$1,Datos!$B$2:$B$5000,$A4,Datos!$C$2:$C$5000,$B4,Datos!$D$2:$D$5000,E$2))</f>
        <v/>
      </c>
      <c r="F4" s="9">
        <f>IF(COUNTIFS(Datos!$A$2:$A$5000,F$1,Datos!$B$2:$B$5000,$A4,Datos!$C$2:$C$5000,$B4,Datos!$D$2:$D$5000,F$2)=0,"",SUMIFS(Datos!$E$2:$E$5000,Datos!$A$2:$A$5000,F$1,Datos!$B$2:$B$5000,$A4,Datos!$C$2:$C$5000,$B4,Datos!$D$2:$D$5000,F$2))</f>
        <v/>
      </c>
      <c r="G4" s="9">
        <f>IF(COUNTIFS(Datos!$A$2:$A$5000,G$1,Datos!$B$2:$B$5000,$A4,Datos!$C$2:$C$5000,$B4,Datos!$D$2:$D$5000,G$2)=0,"",SUMIFS(Datos!$E$2:$E$5000,Datos!$A$2:$A$5000,G$1,Datos!$B$2:$B$5000,$A4,Datos!$C$2:$C$5000,$B4,Datos!$D$2:$D$5000,G$2))</f>
        <v/>
      </c>
      <c r="H4" s="9">
        <f>IF(COUNTIFS(Datos!$A$2:$A$5000,H$1,Datos!$B$2:$B$5000,$A4,Datos!$C$2:$C$5000,$B4,Datos!$D$2:$D$5000,H$2)=0,"",SUMIFS(Datos!$E$2:$E$5000,Datos!$A$2:$A$5000,H$1,Datos!$B$2:$B$5000,$A4,Datos!$C$2:$C$5000,$B4,Datos!$D$2:$D$5000,H$2))</f>
        <v/>
      </c>
      <c r="I4" s="9">
        <f>IF(COUNTIFS(Datos!$A$2:$A$5000,I$1,Datos!$B$2:$B$5000,$A4,Datos!$C$2:$C$5000,$B4,Datos!$D$2:$D$5000,I$2)=0,"",SUMIFS(Datos!$E$2:$E$5000,Datos!$A$2:$A$5000,I$1,Datos!$B$2:$B$5000,$A4,Datos!$C$2:$C$5000,$B4,Datos!$D$2:$D$5000,I$2))</f>
        <v/>
      </c>
      <c r="J4" s="9">
        <f>IF(COUNTIFS(Datos!$A$2:$A$5000,J$1,Datos!$B$2:$B$5000,$A4,Datos!$C$2:$C$5000,$B4,Datos!$D$2:$D$5000,J$2)=0,"",SUMIFS(Datos!$E$2:$E$5000,Datos!$A$2:$A$5000,J$1,Datos!$B$2:$B$5000,$A4,Datos!$C$2:$C$5000,$B4,Datos!$D$2:$D$5000,J$2))</f>
        <v/>
      </c>
    </row>
    <row r="5">
      <c r="A5" s="8" t="inlineStr">
        <is>
          <t>Argentina</t>
        </is>
      </c>
      <c r="B5" s="8" t="n">
        <v>1997</v>
      </c>
      <c r="C5" s="9">
        <f>IF(COUNTIFS(Datos!$A$2:$A$5000,C$1,Datos!$B$2:$B$5000,$A5,Datos!$C$2:$C$5000,$B5,Datos!$D$2:$D$5000,C$2)=0,"",SUMIFS(Datos!$E$2:$E$5000,Datos!$A$2:$A$5000,C$1,Datos!$B$2:$B$5000,$A5,Datos!$C$2:$C$5000,$B5,Datos!$D$2:$D$5000,C$2))</f>
        <v/>
      </c>
      <c r="D5" s="9">
        <f>IF(COUNTIFS(Datos!$A$2:$A$5000,D$1,Datos!$B$2:$B$5000,$A5,Datos!$C$2:$C$5000,$B5,Datos!$D$2:$D$5000,D$2)=0,"",SUMIFS(Datos!$E$2:$E$5000,Datos!$A$2:$A$5000,D$1,Datos!$B$2:$B$5000,$A5,Datos!$C$2:$C$5000,$B5,Datos!$D$2:$D$5000,D$2))</f>
        <v/>
      </c>
      <c r="E5" s="9">
        <f>IF(COUNTIFS(Datos!$A$2:$A$5000,E$1,Datos!$B$2:$B$5000,$A5,Datos!$C$2:$C$5000,$B5,Datos!$D$2:$D$5000,E$2)=0,"",SUMIFS(Datos!$E$2:$E$5000,Datos!$A$2:$A$5000,E$1,Datos!$B$2:$B$5000,$A5,Datos!$C$2:$C$5000,$B5,Datos!$D$2:$D$5000,E$2))</f>
        <v/>
      </c>
      <c r="F5" s="9">
        <f>IF(COUNTIFS(Datos!$A$2:$A$5000,F$1,Datos!$B$2:$B$5000,$A5,Datos!$C$2:$C$5000,$B5,Datos!$D$2:$D$5000,F$2)=0,"",SUMIFS(Datos!$E$2:$E$5000,Datos!$A$2:$A$5000,F$1,Datos!$B$2:$B$5000,$A5,Datos!$C$2:$C$5000,$B5,Datos!$D$2:$D$5000,F$2))</f>
        <v/>
      </c>
      <c r="G5" s="9">
        <f>IF(COUNTIFS(Datos!$A$2:$A$5000,G$1,Datos!$B$2:$B$5000,$A5,Datos!$C$2:$C$5000,$B5,Datos!$D$2:$D$5000,G$2)=0,"",SUMIFS(Datos!$E$2:$E$5000,Datos!$A$2:$A$5000,G$1,Datos!$B$2:$B$5000,$A5,Datos!$C$2:$C$5000,$B5,Datos!$D$2:$D$5000,G$2))</f>
        <v/>
      </c>
      <c r="H5" s="9">
        <f>IF(COUNTIFS(Datos!$A$2:$A$5000,H$1,Datos!$B$2:$B$5000,$A5,Datos!$C$2:$C$5000,$B5,Datos!$D$2:$D$5000,H$2)=0,"",SUMIFS(Datos!$E$2:$E$5000,Datos!$A$2:$A$5000,H$1,Datos!$B$2:$B$5000,$A5,Datos!$C$2:$C$5000,$B5,Datos!$D$2:$D$5000,H$2))</f>
        <v/>
      </c>
      <c r="I5" s="9">
        <f>IF(COUNTIFS(Datos!$A$2:$A$5000,I$1,Datos!$B$2:$B$5000,$A5,Datos!$C$2:$C$5000,$B5,Datos!$D$2:$D$5000,I$2)=0,"",SUMIFS(Datos!$E$2:$E$5000,Datos!$A$2:$A$5000,I$1,Datos!$B$2:$B$5000,$A5,Datos!$C$2:$C$5000,$B5,Datos!$D$2:$D$5000,I$2))</f>
        <v/>
      </c>
      <c r="J5" s="9">
        <f>IF(COUNTIFS(Datos!$A$2:$A$5000,J$1,Datos!$B$2:$B$5000,$A5,Datos!$C$2:$C$5000,$B5,Datos!$D$2:$D$5000,J$2)=0,"",SUMIFS(Datos!$E$2:$E$5000,Datos!$A$2:$A$5000,J$1,Datos!$B$2:$B$5000,$A5,Datos!$C$2:$C$5000,$B5,Datos!$D$2:$D$5000,J$2))</f>
        <v/>
      </c>
    </row>
    <row r="6">
      <c r="A6" s="8" t="inlineStr">
        <is>
          <t>Argentina</t>
        </is>
      </c>
      <c r="B6" s="8" t="n">
        <v>1998</v>
      </c>
      <c r="C6" s="9">
        <f>IF(COUNTIFS(Datos!$A$2:$A$5000,C$1,Datos!$B$2:$B$5000,$A6,Datos!$C$2:$C$5000,$B6,Datos!$D$2:$D$5000,C$2)=0,"",SUMIFS(Datos!$E$2:$E$5000,Datos!$A$2:$A$5000,C$1,Datos!$B$2:$B$5000,$A6,Datos!$C$2:$C$5000,$B6,Datos!$D$2:$D$5000,C$2))</f>
        <v/>
      </c>
      <c r="D6" s="9">
        <f>IF(COUNTIFS(Datos!$A$2:$A$5000,D$1,Datos!$B$2:$B$5000,$A6,Datos!$C$2:$C$5000,$B6,Datos!$D$2:$D$5000,D$2)=0,"",SUMIFS(Datos!$E$2:$E$5000,Datos!$A$2:$A$5000,D$1,Datos!$B$2:$B$5000,$A6,Datos!$C$2:$C$5000,$B6,Datos!$D$2:$D$5000,D$2))</f>
        <v/>
      </c>
      <c r="E6" s="9">
        <f>IF(COUNTIFS(Datos!$A$2:$A$5000,E$1,Datos!$B$2:$B$5000,$A6,Datos!$C$2:$C$5000,$B6,Datos!$D$2:$D$5000,E$2)=0,"",SUMIFS(Datos!$E$2:$E$5000,Datos!$A$2:$A$5000,E$1,Datos!$B$2:$B$5000,$A6,Datos!$C$2:$C$5000,$B6,Datos!$D$2:$D$5000,E$2))</f>
        <v/>
      </c>
      <c r="F6" s="9">
        <f>IF(COUNTIFS(Datos!$A$2:$A$5000,F$1,Datos!$B$2:$B$5000,$A6,Datos!$C$2:$C$5000,$B6,Datos!$D$2:$D$5000,F$2)=0,"",SUMIFS(Datos!$E$2:$E$5000,Datos!$A$2:$A$5000,F$1,Datos!$B$2:$B$5000,$A6,Datos!$C$2:$C$5000,$B6,Datos!$D$2:$D$5000,F$2))</f>
        <v/>
      </c>
      <c r="G6" s="9">
        <f>IF(COUNTIFS(Datos!$A$2:$A$5000,G$1,Datos!$B$2:$B$5000,$A6,Datos!$C$2:$C$5000,$B6,Datos!$D$2:$D$5000,G$2)=0,"",SUMIFS(Datos!$E$2:$E$5000,Datos!$A$2:$A$5000,G$1,Datos!$B$2:$B$5000,$A6,Datos!$C$2:$C$5000,$B6,Datos!$D$2:$D$5000,G$2))</f>
        <v/>
      </c>
      <c r="H6" s="9">
        <f>IF(COUNTIFS(Datos!$A$2:$A$5000,H$1,Datos!$B$2:$B$5000,$A6,Datos!$C$2:$C$5000,$B6,Datos!$D$2:$D$5000,H$2)=0,"",SUMIFS(Datos!$E$2:$E$5000,Datos!$A$2:$A$5000,H$1,Datos!$B$2:$B$5000,$A6,Datos!$C$2:$C$5000,$B6,Datos!$D$2:$D$5000,H$2))</f>
        <v/>
      </c>
      <c r="I6" s="9">
        <f>IF(COUNTIFS(Datos!$A$2:$A$5000,I$1,Datos!$B$2:$B$5000,$A6,Datos!$C$2:$C$5000,$B6,Datos!$D$2:$D$5000,I$2)=0,"",SUMIFS(Datos!$E$2:$E$5000,Datos!$A$2:$A$5000,I$1,Datos!$B$2:$B$5000,$A6,Datos!$C$2:$C$5000,$B6,Datos!$D$2:$D$5000,I$2))</f>
        <v/>
      </c>
      <c r="J6" s="9">
        <f>IF(COUNTIFS(Datos!$A$2:$A$5000,J$1,Datos!$B$2:$B$5000,$A6,Datos!$C$2:$C$5000,$B6,Datos!$D$2:$D$5000,J$2)=0,"",SUMIFS(Datos!$E$2:$E$5000,Datos!$A$2:$A$5000,J$1,Datos!$B$2:$B$5000,$A6,Datos!$C$2:$C$5000,$B6,Datos!$D$2:$D$5000,J$2))</f>
        <v/>
      </c>
    </row>
    <row r="7">
      <c r="A7" s="8" t="inlineStr">
        <is>
          <t>Argentina</t>
        </is>
      </c>
      <c r="B7" s="8" t="n">
        <v>2000</v>
      </c>
      <c r="C7" s="9">
        <f>IF(COUNTIFS(Datos!$A$2:$A$5000,C$1,Datos!$B$2:$B$5000,$A7,Datos!$C$2:$C$5000,$B7,Datos!$D$2:$D$5000,C$2)=0,"",SUMIFS(Datos!$E$2:$E$5000,Datos!$A$2:$A$5000,C$1,Datos!$B$2:$B$5000,$A7,Datos!$C$2:$C$5000,$B7,Datos!$D$2:$D$5000,C$2))</f>
        <v/>
      </c>
      <c r="D7" s="9">
        <f>IF(COUNTIFS(Datos!$A$2:$A$5000,D$1,Datos!$B$2:$B$5000,$A7,Datos!$C$2:$C$5000,$B7,Datos!$D$2:$D$5000,D$2)=0,"",SUMIFS(Datos!$E$2:$E$5000,Datos!$A$2:$A$5000,D$1,Datos!$B$2:$B$5000,$A7,Datos!$C$2:$C$5000,$B7,Datos!$D$2:$D$5000,D$2))</f>
        <v/>
      </c>
      <c r="E7" s="9">
        <f>IF(COUNTIFS(Datos!$A$2:$A$5000,E$1,Datos!$B$2:$B$5000,$A7,Datos!$C$2:$C$5000,$B7,Datos!$D$2:$D$5000,E$2)=0,"",SUMIFS(Datos!$E$2:$E$5000,Datos!$A$2:$A$5000,E$1,Datos!$B$2:$B$5000,$A7,Datos!$C$2:$C$5000,$B7,Datos!$D$2:$D$5000,E$2))</f>
        <v/>
      </c>
      <c r="F7" s="9">
        <f>IF(COUNTIFS(Datos!$A$2:$A$5000,F$1,Datos!$B$2:$B$5000,$A7,Datos!$C$2:$C$5000,$B7,Datos!$D$2:$D$5000,F$2)=0,"",SUMIFS(Datos!$E$2:$E$5000,Datos!$A$2:$A$5000,F$1,Datos!$B$2:$B$5000,$A7,Datos!$C$2:$C$5000,$B7,Datos!$D$2:$D$5000,F$2))</f>
        <v/>
      </c>
      <c r="G7" s="9">
        <f>IF(COUNTIFS(Datos!$A$2:$A$5000,G$1,Datos!$B$2:$B$5000,$A7,Datos!$C$2:$C$5000,$B7,Datos!$D$2:$D$5000,G$2)=0,"",SUMIFS(Datos!$E$2:$E$5000,Datos!$A$2:$A$5000,G$1,Datos!$B$2:$B$5000,$A7,Datos!$C$2:$C$5000,$B7,Datos!$D$2:$D$5000,G$2))</f>
        <v/>
      </c>
      <c r="H7" s="9">
        <f>IF(COUNTIFS(Datos!$A$2:$A$5000,H$1,Datos!$B$2:$B$5000,$A7,Datos!$C$2:$C$5000,$B7,Datos!$D$2:$D$5000,H$2)=0,"",SUMIFS(Datos!$E$2:$E$5000,Datos!$A$2:$A$5000,H$1,Datos!$B$2:$B$5000,$A7,Datos!$C$2:$C$5000,$B7,Datos!$D$2:$D$5000,H$2))</f>
        <v/>
      </c>
      <c r="I7" s="9">
        <f>IF(COUNTIFS(Datos!$A$2:$A$5000,I$1,Datos!$B$2:$B$5000,$A7,Datos!$C$2:$C$5000,$B7,Datos!$D$2:$D$5000,I$2)=0,"",SUMIFS(Datos!$E$2:$E$5000,Datos!$A$2:$A$5000,I$1,Datos!$B$2:$B$5000,$A7,Datos!$C$2:$C$5000,$B7,Datos!$D$2:$D$5000,I$2))</f>
        <v/>
      </c>
      <c r="J7" s="9">
        <f>IF(COUNTIFS(Datos!$A$2:$A$5000,J$1,Datos!$B$2:$B$5000,$A7,Datos!$C$2:$C$5000,$B7,Datos!$D$2:$D$5000,J$2)=0,"",SUMIFS(Datos!$E$2:$E$5000,Datos!$A$2:$A$5000,J$1,Datos!$B$2:$B$5000,$A7,Datos!$C$2:$C$5000,$B7,Datos!$D$2:$D$5000,J$2))</f>
        <v/>
      </c>
    </row>
    <row r="8">
      <c r="A8" s="8" t="inlineStr">
        <is>
          <t>Argentina</t>
        </is>
      </c>
      <c r="B8" s="8" t="n">
        <v>2001</v>
      </c>
      <c r="C8" s="9">
        <f>IF(COUNTIFS(Datos!$A$2:$A$5000,C$1,Datos!$B$2:$B$5000,$A8,Datos!$C$2:$C$5000,$B8,Datos!$D$2:$D$5000,C$2)=0,"",SUMIFS(Datos!$E$2:$E$5000,Datos!$A$2:$A$5000,C$1,Datos!$B$2:$B$5000,$A8,Datos!$C$2:$C$5000,$B8,Datos!$D$2:$D$5000,C$2))</f>
        <v/>
      </c>
      <c r="D8" s="9">
        <f>IF(COUNTIFS(Datos!$A$2:$A$5000,D$1,Datos!$B$2:$B$5000,$A8,Datos!$C$2:$C$5000,$B8,Datos!$D$2:$D$5000,D$2)=0,"",SUMIFS(Datos!$E$2:$E$5000,Datos!$A$2:$A$5000,D$1,Datos!$B$2:$B$5000,$A8,Datos!$C$2:$C$5000,$B8,Datos!$D$2:$D$5000,D$2))</f>
        <v/>
      </c>
      <c r="E8" s="9">
        <f>IF(COUNTIFS(Datos!$A$2:$A$5000,E$1,Datos!$B$2:$B$5000,$A8,Datos!$C$2:$C$5000,$B8,Datos!$D$2:$D$5000,E$2)=0,"",SUMIFS(Datos!$E$2:$E$5000,Datos!$A$2:$A$5000,E$1,Datos!$B$2:$B$5000,$A8,Datos!$C$2:$C$5000,$B8,Datos!$D$2:$D$5000,E$2))</f>
        <v/>
      </c>
      <c r="F8" s="9">
        <f>IF(COUNTIFS(Datos!$A$2:$A$5000,F$1,Datos!$B$2:$B$5000,$A8,Datos!$C$2:$C$5000,$B8,Datos!$D$2:$D$5000,F$2)=0,"",SUMIFS(Datos!$E$2:$E$5000,Datos!$A$2:$A$5000,F$1,Datos!$B$2:$B$5000,$A8,Datos!$C$2:$C$5000,$B8,Datos!$D$2:$D$5000,F$2))</f>
        <v/>
      </c>
      <c r="G8" s="9">
        <f>IF(COUNTIFS(Datos!$A$2:$A$5000,G$1,Datos!$B$2:$B$5000,$A8,Datos!$C$2:$C$5000,$B8,Datos!$D$2:$D$5000,G$2)=0,"",SUMIFS(Datos!$E$2:$E$5000,Datos!$A$2:$A$5000,G$1,Datos!$B$2:$B$5000,$A8,Datos!$C$2:$C$5000,$B8,Datos!$D$2:$D$5000,G$2))</f>
        <v/>
      </c>
      <c r="H8" s="9">
        <f>IF(COUNTIFS(Datos!$A$2:$A$5000,H$1,Datos!$B$2:$B$5000,$A8,Datos!$C$2:$C$5000,$B8,Datos!$D$2:$D$5000,H$2)=0,"",SUMIFS(Datos!$E$2:$E$5000,Datos!$A$2:$A$5000,H$1,Datos!$B$2:$B$5000,$A8,Datos!$C$2:$C$5000,$B8,Datos!$D$2:$D$5000,H$2))</f>
        <v/>
      </c>
      <c r="I8" s="9">
        <f>IF(COUNTIFS(Datos!$A$2:$A$5000,I$1,Datos!$B$2:$B$5000,$A8,Datos!$C$2:$C$5000,$B8,Datos!$D$2:$D$5000,I$2)=0,"",SUMIFS(Datos!$E$2:$E$5000,Datos!$A$2:$A$5000,I$1,Datos!$B$2:$B$5000,$A8,Datos!$C$2:$C$5000,$B8,Datos!$D$2:$D$5000,I$2))</f>
        <v/>
      </c>
      <c r="J8" s="9">
        <f>IF(COUNTIFS(Datos!$A$2:$A$5000,J$1,Datos!$B$2:$B$5000,$A8,Datos!$C$2:$C$5000,$B8,Datos!$D$2:$D$5000,J$2)=0,"",SUMIFS(Datos!$E$2:$E$5000,Datos!$A$2:$A$5000,J$1,Datos!$B$2:$B$5000,$A8,Datos!$C$2:$C$5000,$B8,Datos!$D$2:$D$5000,J$2))</f>
        <v/>
      </c>
    </row>
    <row r="9">
      <c r="A9" s="8" t="inlineStr">
        <is>
          <t>Argentina</t>
        </is>
      </c>
      <c r="B9" s="8" t="n">
        <v>2002</v>
      </c>
      <c r="C9" s="9">
        <f>IF(COUNTIFS(Datos!$A$2:$A$5000,C$1,Datos!$B$2:$B$5000,$A9,Datos!$C$2:$C$5000,$B9,Datos!$D$2:$D$5000,C$2)=0,"",SUMIFS(Datos!$E$2:$E$5000,Datos!$A$2:$A$5000,C$1,Datos!$B$2:$B$5000,$A9,Datos!$C$2:$C$5000,$B9,Datos!$D$2:$D$5000,C$2))</f>
        <v/>
      </c>
      <c r="D9" s="9">
        <f>IF(COUNTIFS(Datos!$A$2:$A$5000,D$1,Datos!$B$2:$B$5000,$A9,Datos!$C$2:$C$5000,$B9,Datos!$D$2:$D$5000,D$2)=0,"",SUMIFS(Datos!$E$2:$E$5000,Datos!$A$2:$A$5000,D$1,Datos!$B$2:$B$5000,$A9,Datos!$C$2:$C$5000,$B9,Datos!$D$2:$D$5000,D$2))</f>
        <v/>
      </c>
      <c r="E9" s="9">
        <f>IF(COUNTIFS(Datos!$A$2:$A$5000,E$1,Datos!$B$2:$B$5000,$A9,Datos!$C$2:$C$5000,$B9,Datos!$D$2:$D$5000,E$2)=0,"",SUMIFS(Datos!$E$2:$E$5000,Datos!$A$2:$A$5000,E$1,Datos!$B$2:$B$5000,$A9,Datos!$C$2:$C$5000,$B9,Datos!$D$2:$D$5000,E$2))</f>
        <v/>
      </c>
      <c r="F9" s="9">
        <f>IF(COUNTIFS(Datos!$A$2:$A$5000,F$1,Datos!$B$2:$B$5000,$A9,Datos!$C$2:$C$5000,$B9,Datos!$D$2:$D$5000,F$2)=0,"",SUMIFS(Datos!$E$2:$E$5000,Datos!$A$2:$A$5000,F$1,Datos!$B$2:$B$5000,$A9,Datos!$C$2:$C$5000,$B9,Datos!$D$2:$D$5000,F$2))</f>
        <v/>
      </c>
      <c r="G9" s="9">
        <f>IF(COUNTIFS(Datos!$A$2:$A$5000,G$1,Datos!$B$2:$B$5000,$A9,Datos!$C$2:$C$5000,$B9,Datos!$D$2:$D$5000,G$2)=0,"",SUMIFS(Datos!$E$2:$E$5000,Datos!$A$2:$A$5000,G$1,Datos!$B$2:$B$5000,$A9,Datos!$C$2:$C$5000,$B9,Datos!$D$2:$D$5000,G$2))</f>
        <v/>
      </c>
      <c r="H9" s="9">
        <f>IF(COUNTIFS(Datos!$A$2:$A$5000,H$1,Datos!$B$2:$B$5000,$A9,Datos!$C$2:$C$5000,$B9,Datos!$D$2:$D$5000,H$2)=0,"",SUMIFS(Datos!$E$2:$E$5000,Datos!$A$2:$A$5000,H$1,Datos!$B$2:$B$5000,$A9,Datos!$C$2:$C$5000,$B9,Datos!$D$2:$D$5000,H$2))</f>
        <v/>
      </c>
      <c r="I9" s="9">
        <f>IF(COUNTIFS(Datos!$A$2:$A$5000,I$1,Datos!$B$2:$B$5000,$A9,Datos!$C$2:$C$5000,$B9,Datos!$D$2:$D$5000,I$2)=0,"",SUMIFS(Datos!$E$2:$E$5000,Datos!$A$2:$A$5000,I$1,Datos!$B$2:$B$5000,$A9,Datos!$C$2:$C$5000,$B9,Datos!$D$2:$D$5000,I$2))</f>
        <v/>
      </c>
      <c r="J9" s="9">
        <f>IF(COUNTIFS(Datos!$A$2:$A$5000,J$1,Datos!$B$2:$B$5000,$A9,Datos!$C$2:$C$5000,$B9,Datos!$D$2:$D$5000,J$2)=0,"",SUMIFS(Datos!$E$2:$E$5000,Datos!$A$2:$A$5000,J$1,Datos!$B$2:$B$5000,$A9,Datos!$C$2:$C$5000,$B9,Datos!$D$2:$D$5000,J$2))</f>
        <v/>
      </c>
    </row>
    <row r="10">
      <c r="A10" s="8" t="inlineStr">
        <is>
          <t>Argentina</t>
        </is>
      </c>
      <c r="B10" s="8" t="n">
        <v>2003</v>
      </c>
      <c r="C10" s="9">
        <f>IF(COUNTIFS(Datos!$A$2:$A$5000,C$1,Datos!$B$2:$B$5000,$A10,Datos!$C$2:$C$5000,$B10,Datos!$D$2:$D$5000,C$2)=0,"",SUMIFS(Datos!$E$2:$E$5000,Datos!$A$2:$A$5000,C$1,Datos!$B$2:$B$5000,$A10,Datos!$C$2:$C$5000,$B10,Datos!$D$2:$D$5000,C$2))</f>
        <v/>
      </c>
      <c r="D10" s="9">
        <f>IF(COUNTIFS(Datos!$A$2:$A$5000,D$1,Datos!$B$2:$B$5000,$A10,Datos!$C$2:$C$5000,$B10,Datos!$D$2:$D$5000,D$2)=0,"",SUMIFS(Datos!$E$2:$E$5000,Datos!$A$2:$A$5000,D$1,Datos!$B$2:$B$5000,$A10,Datos!$C$2:$C$5000,$B10,Datos!$D$2:$D$5000,D$2))</f>
        <v/>
      </c>
      <c r="E10" s="9">
        <f>IF(COUNTIFS(Datos!$A$2:$A$5000,E$1,Datos!$B$2:$B$5000,$A10,Datos!$C$2:$C$5000,$B10,Datos!$D$2:$D$5000,E$2)=0,"",SUMIFS(Datos!$E$2:$E$5000,Datos!$A$2:$A$5000,E$1,Datos!$B$2:$B$5000,$A10,Datos!$C$2:$C$5000,$B10,Datos!$D$2:$D$5000,E$2))</f>
        <v/>
      </c>
      <c r="F10" s="9">
        <f>IF(COUNTIFS(Datos!$A$2:$A$5000,F$1,Datos!$B$2:$B$5000,$A10,Datos!$C$2:$C$5000,$B10,Datos!$D$2:$D$5000,F$2)=0,"",SUMIFS(Datos!$E$2:$E$5000,Datos!$A$2:$A$5000,F$1,Datos!$B$2:$B$5000,$A10,Datos!$C$2:$C$5000,$B10,Datos!$D$2:$D$5000,F$2))</f>
        <v/>
      </c>
      <c r="G10" s="9">
        <f>IF(COUNTIFS(Datos!$A$2:$A$5000,G$1,Datos!$B$2:$B$5000,$A10,Datos!$C$2:$C$5000,$B10,Datos!$D$2:$D$5000,G$2)=0,"",SUMIFS(Datos!$E$2:$E$5000,Datos!$A$2:$A$5000,G$1,Datos!$B$2:$B$5000,$A10,Datos!$C$2:$C$5000,$B10,Datos!$D$2:$D$5000,G$2))</f>
        <v/>
      </c>
      <c r="H10" s="9">
        <f>IF(COUNTIFS(Datos!$A$2:$A$5000,H$1,Datos!$B$2:$B$5000,$A10,Datos!$C$2:$C$5000,$B10,Datos!$D$2:$D$5000,H$2)=0,"",SUMIFS(Datos!$E$2:$E$5000,Datos!$A$2:$A$5000,H$1,Datos!$B$2:$B$5000,$A10,Datos!$C$2:$C$5000,$B10,Datos!$D$2:$D$5000,H$2))</f>
        <v/>
      </c>
      <c r="I10" s="9">
        <f>IF(COUNTIFS(Datos!$A$2:$A$5000,I$1,Datos!$B$2:$B$5000,$A10,Datos!$C$2:$C$5000,$B10,Datos!$D$2:$D$5000,I$2)=0,"",SUMIFS(Datos!$E$2:$E$5000,Datos!$A$2:$A$5000,I$1,Datos!$B$2:$B$5000,$A10,Datos!$C$2:$C$5000,$B10,Datos!$D$2:$D$5000,I$2))</f>
        <v/>
      </c>
      <c r="J10" s="9">
        <f>IF(COUNTIFS(Datos!$A$2:$A$5000,J$1,Datos!$B$2:$B$5000,$A10,Datos!$C$2:$C$5000,$B10,Datos!$D$2:$D$5000,J$2)=0,"",SUMIFS(Datos!$E$2:$E$5000,Datos!$A$2:$A$5000,J$1,Datos!$B$2:$B$5000,$A10,Datos!$C$2:$C$5000,$B10,Datos!$D$2:$D$5000,J$2))</f>
        <v/>
      </c>
    </row>
    <row r="11">
      <c r="A11" s="8" t="inlineStr">
        <is>
          <t>Argentina</t>
        </is>
      </c>
      <c r="B11" s="8" t="n">
        <v>2004</v>
      </c>
      <c r="C11" s="9">
        <f>IF(COUNTIFS(Datos!$A$2:$A$5000,C$1,Datos!$B$2:$B$5000,$A11,Datos!$C$2:$C$5000,$B11,Datos!$D$2:$D$5000,C$2)=0,"",SUMIFS(Datos!$E$2:$E$5000,Datos!$A$2:$A$5000,C$1,Datos!$B$2:$B$5000,$A11,Datos!$C$2:$C$5000,$B11,Datos!$D$2:$D$5000,C$2))</f>
        <v/>
      </c>
      <c r="D11" s="9">
        <f>IF(COUNTIFS(Datos!$A$2:$A$5000,D$1,Datos!$B$2:$B$5000,$A11,Datos!$C$2:$C$5000,$B11,Datos!$D$2:$D$5000,D$2)=0,"",SUMIFS(Datos!$E$2:$E$5000,Datos!$A$2:$A$5000,D$1,Datos!$B$2:$B$5000,$A11,Datos!$C$2:$C$5000,$B11,Datos!$D$2:$D$5000,D$2))</f>
        <v/>
      </c>
      <c r="E11" s="9">
        <f>IF(COUNTIFS(Datos!$A$2:$A$5000,E$1,Datos!$B$2:$B$5000,$A11,Datos!$C$2:$C$5000,$B11,Datos!$D$2:$D$5000,E$2)=0,"",SUMIFS(Datos!$E$2:$E$5000,Datos!$A$2:$A$5000,E$1,Datos!$B$2:$B$5000,$A11,Datos!$C$2:$C$5000,$B11,Datos!$D$2:$D$5000,E$2))</f>
        <v/>
      </c>
      <c r="F11" s="9">
        <f>IF(COUNTIFS(Datos!$A$2:$A$5000,F$1,Datos!$B$2:$B$5000,$A11,Datos!$C$2:$C$5000,$B11,Datos!$D$2:$D$5000,F$2)=0,"",SUMIFS(Datos!$E$2:$E$5000,Datos!$A$2:$A$5000,F$1,Datos!$B$2:$B$5000,$A11,Datos!$C$2:$C$5000,$B11,Datos!$D$2:$D$5000,F$2))</f>
        <v/>
      </c>
      <c r="G11" s="9">
        <f>IF(COUNTIFS(Datos!$A$2:$A$5000,G$1,Datos!$B$2:$B$5000,$A11,Datos!$C$2:$C$5000,$B11,Datos!$D$2:$D$5000,G$2)=0,"",SUMIFS(Datos!$E$2:$E$5000,Datos!$A$2:$A$5000,G$1,Datos!$B$2:$B$5000,$A11,Datos!$C$2:$C$5000,$B11,Datos!$D$2:$D$5000,G$2))</f>
        <v/>
      </c>
      <c r="H11" s="9">
        <f>IF(COUNTIFS(Datos!$A$2:$A$5000,H$1,Datos!$B$2:$B$5000,$A11,Datos!$C$2:$C$5000,$B11,Datos!$D$2:$D$5000,H$2)=0,"",SUMIFS(Datos!$E$2:$E$5000,Datos!$A$2:$A$5000,H$1,Datos!$B$2:$B$5000,$A11,Datos!$C$2:$C$5000,$B11,Datos!$D$2:$D$5000,H$2))</f>
        <v/>
      </c>
      <c r="I11" s="9">
        <f>IF(COUNTIFS(Datos!$A$2:$A$5000,I$1,Datos!$B$2:$B$5000,$A11,Datos!$C$2:$C$5000,$B11,Datos!$D$2:$D$5000,I$2)=0,"",SUMIFS(Datos!$E$2:$E$5000,Datos!$A$2:$A$5000,I$1,Datos!$B$2:$B$5000,$A11,Datos!$C$2:$C$5000,$B11,Datos!$D$2:$D$5000,I$2))</f>
        <v/>
      </c>
      <c r="J11" s="9">
        <f>IF(COUNTIFS(Datos!$A$2:$A$5000,J$1,Datos!$B$2:$B$5000,$A11,Datos!$C$2:$C$5000,$B11,Datos!$D$2:$D$5000,J$2)=0,"",SUMIFS(Datos!$E$2:$E$5000,Datos!$A$2:$A$5000,J$1,Datos!$B$2:$B$5000,$A11,Datos!$C$2:$C$5000,$B11,Datos!$D$2:$D$5000,J$2))</f>
        <v/>
      </c>
    </row>
    <row r="12">
      <c r="A12" s="8" t="inlineStr">
        <is>
          <t>Argentina</t>
        </is>
      </c>
      <c r="B12" s="8" t="n">
        <v>2005</v>
      </c>
      <c r="C12" s="9">
        <f>IF(COUNTIFS(Datos!$A$2:$A$5000,C$1,Datos!$B$2:$B$5000,$A12,Datos!$C$2:$C$5000,$B12,Datos!$D$2:$D$5000,C$2)=0,"",SUMIFS(Datos!$E$2:$E$5000,Datos!$A$2:$A$5000,C$1,Datos!$B$2:$B$5000,$A12,Datos!$C$2:$C$5000,$B12,Datos!$D$2:$D$5000,C$2))</f>
        <v/>
      </c>
      <c r="D12" s="9">
        <f>IF(COUNTIFS(Datos!$A$2:$A$5000,D$1,Datos!$B$2:$B$5000,$A12,Datos!$C$2:$C$5000,$B12,Datos!$D$2:$D$5000,D$2)=0,"",SUMIFS(Datos!$E$2:$E$5000,Datos!$A$2:$A$5000,D$1,Datos!$B$2:$B$5000,$A12,Datos!$C$2:$C$5000,$B12,Datos!$D$2:$D$5000,D$2))</f>
        <v/>
      </c>
      <c r="E12" s="9">
        <f>IF(COUNTIFS(Datos!$A$2:$A$5000,E$1,Datos!$B$2:$B$5000,$A12,Datos!$C$2:$C$5000,$B12,Datos!$D$2:$D$5000,E$2)=0,"",SUMIFS(Datos!$E$2:$E$5000,Datos!$A$2:$A$5000,E$1,Datos!$B$2:$B$5000,$A12,Datos!$C$2:$C$5000,$B12,Datos!$D$2:$D$5000,E$2))</f>
        <v/>
      </c>
      <c r="F12" s="9">
        <f>IF(COUNTIFS(Datos!$A$2:$A$5000,F$1,Datos!$B$2:$B$5000,$A12,Datos!$C$2:$C$5000,$B12,Datos!$D$2:$D$5000,F$2)=0,"",SUMIFS(Datos!$E$2:$E$5000,Datos!$A$2:$A$5000,F$1,Datos!$B$2:$B$5000,$A12,Datos!$C$2:$C$5000,$B12,Datos!$D$2:$D$5000,F$2))</f>
        <v/>
      </c>
      <c r="G12" s="9">
        <f>IF(COUNTIFS(Datos!$A$2:$A$5000,G$1,Datos!$B$2:$B$5000,$A12,Datos!$C$2:$C$5000,$B12,Datos!$D$2:$D$5000,G$2)=0,"",SUMIFS(Datos!$E$2:$E$5000,Datos!$A$2:$A$5000,G$1,Datos!$B$2:$B$5000,$A12,Datos!$C$2:$C$5000,$B12,Datos!$D$2:$D$5000,G$2))</f>
        <v/>
      </c>
      <c r="H12" s="9">
        <f>IF(COUNTIFS(Datos!$A$2:$A$5000,H$1,Datos!$B$2:$B$5000,$A12,Datos!$C$2:$C$5000,$B12,Datos!$D$2:$D$5000,H$2)=0,"",SUMIFS(Datos!$E$2:$E$5000,Datos!$A$2:$A$5000,H$1,Datos!$B$2:$B$5000,$A12,Datos!$C$2:$C$5000,$B12,Datos!$D$2:$D$5000,H$2))</f>
        <v/>
      </c>
      <c r="I12" s="9">
        <f>IF(COUNTIFS(Datos!$A$2:$A$5000,I$1,Datos!$B$2:$B$5000,$A12,Datos!$C$2:$C$5000,$B12,Datos!$D$2:$D$5000,I$2)=0,"",SUMIFS(Datos!$E$2:$E$5000,Datos!$A$2:$A$5000,I$1,Datos!$B$2:$B$5000,$A12,Datos!$C$2:$C$5000,$B12,Datos!$D$2:$D$5000,I$2))</f>
        <v/>
      </c>
      <c r="J12" s="9">
        <f>IF(COUNTIFS(Datos!$A$2:$A$5000,J$1,Datos!$B$2:$B$5000,$A12,Datos!$C$2:$C$5000,$B12,Datos!$D$2:$D$5000,J$2)=0,"",SUMIFS(Datos!$E$2:$E$5000,Datos!$A$2:$A$5000,J$1,Datos!$B$2:$B$5000,$A12,Datos!$C$2:$C$5000,$B12,Datos!$D$2:$D$5000,J$2))</f>
        <v/>
      </c>
    </row>
    <row r="13">
      <c r="A13" s="8" t="inlineStr">
        <is>
          <t>Argentina</t>
        </is>
      </c>
      <c r="B13" s="8" t="n">
        <v>2006</v>
      </c>
      <c r="C13" s="9">
        <f>IF(COUNTIFS(Datos!$A$2:$A$5000,C$1,Datos!$B$2:$B$5000,$A13,Datos!$C$2:$C$5000,$B13,Datos!$D$2:$D$5000,C$2)=0,"",SUMIFS(Datos!$E$2:$E$5000,Datos!$A$2:$A$5000,C$1,Datos!$B$2:$B$5000,$A13,Datos!$C$2:$C$5000,$B13,Datos!$D$2:$D$5000,C$2))</f>
        <v/>
      </c>
      <c r="D13" s="9">
        <f>IF(COUNTIFS(Datos!$A$2:$A$5000,D$1,Datos!$B$2:$B$5000,$A13,Datos!$C$2:$C$5000,$B13,Datos!$D$2:$D$5000,D$2)=0,"",SUMIFS(Datos!$E$2:$E$5000,Datos!$A$2:$A$5000,D$1,Datos!$B$2:$B$5000,$A13,Datos!$C$2:$C$5000,$B13,Datos!$D$2:$D$5000,D$2))</f>
        <v/>
      </c>
      <c r="E13" s="9">
        <f>IF(COUNTIFS(Datos!$A$2:$A$5000,E$1,Datos!$B$2:$B$5000,$A13,Datos!$C$2:$C$5000,$B13,Datos!$D$2:$D$5000,E$2)=0,"",SUMIFS(Datos!$E$2:$E$5000,Datos!$A$2:$A$5000,E$1,Datos!$B$2:$B$5000,$A13,Datos!$C$2:$C$5000,$B13,Datos!$D$2:$D$5000,E$2))</f>
        <v/>
      </c>
      <c r="F13" s="9">
        <f>IF(COUNTIFS(Datos!$A$2:$A$5000,F$1,Datos!$B$2:$B$5000,$A13,Datos!$C$2:$C$5000,$B13,Datos!$D$2:$D$5000,F$2)=0,"",SUMIFS(Datos!$E$2:$E$5000,Datos!$A$2:$A$5000,F$1,Datos!$B$2:$B$5000,$A13,Datos!$C$2:$C$5000,$B13,Datos!$D$2:$D$5000,F$2))</f>
        <v/>
      </c>
      <c r="G13" s="9">
        <f>IF(COUNTIFS(Datos!$A$2:$A$5000,G$1,Datos!$B$2:$B$5000,$A13,Datos!$C$2:$C$5000,$B13,Datos!$D$2:$D$5000,G$2)=0,"",SUMIFS(Datos!$E$2:$E$5000,Datos!$A$2:$A$5000,G$1,Datos!$B$2:$B$5000,$A13,Datos!$C$2:$C$5000,$B13,Datos!$D$2:$D$5000,G$2))</f>
        <v/>
      </c>
      <c r="H13" s="9">
        <f>IF(COUNTIFS(Datos!$A$2:$A$5000,H$1,Datos!$B$2:$B$5000,$A13,Datos!$C$2:$C$5000,$B13,Datos!$D$2:$D$5000,H$2)=0,"",SUMIFS(Datos!$E$2:$E$5000,Datos!$A$2:$A$5000,H$1,Datos!$B$2:$B$5000,$A13,Datos!$C$2:$C$5000,$B13,Datos!$D$2:$D$5000,H$2))</f>
        <v/>
      </c>
      <c r="I13" s="9">
        <f>IF(COUNTIFS(Datos!$A$2:$A$5000,I$1,Datos!$B$2:$B$5000,$A13,Datos!$C$2:$C$5000,$B13,Datos!$D$2:$D$5000,I$2)=0,"",SUMIFS(Datos!$E$2:$E$5000,Datos!$A$2:$A$5000,I$1,Datos!$B$2:$B$5000,$A13,Datos!$C$2:$C$5000,$B13,Datos!$D$2:$D$5000,I$2))</f>
        <v/>
      </c>
      <c r="J13" s="9">
        <f>IF(COUNTIFS(Datos!$A$2:$A$5000,J$1,Datos!$B$2:$B$5000,$A13,Datos!$C$2:$C$5000,$B13,Datos!$D$2:$D$5000,J$2)=0,"",SUMIFS(Datos!$E$2:$E$5000,Datos!$A$2:$A$5000,J$1,Datos!$B$2:$B$5000,$A13,Datos!$C$2:$C$5000,$B13,Datos!$D$2:$D$5000,J$2))</f>
        <v/>
      </c>
    </row>
    <row r="14">
      <c r="A14" s="8" t="inlineStr">
        <is>
          <t>Argentina</t>
        </is>
      </c>
      <c r="B14" s="8" t="n">
        <v>2007</v>
      </c>
      <c r="C14" s="9">
        <f>IF(COUNTIFS(Datos!$A$2:$A$5000,C$1,Datos!$B$2:$B$5000,$A14,Datos!$C$2:$C$5000,$B14,Datos!$D$2:$D$5000,C$2)=0,"",SUMIFS(Datos!$E$2:$E$5000,Datos!$A$2:$A$5000,C$1,Datos!$B$2:$B$5000,$A14,Datos!$C$2:$C$5000,$B14,Datos!$D$2:$D$5000,C$2))</f>
        <v/>
      </c>
      <c r="D14" s="9">
        <f>IF(COUNTIFS(Datos!$A$2:$A$5000,D$1,Datos!$B$2:$B$5000,$A14,Datos!$C$2:$C$5000,$B14,Datos!$D$2:$D$5000,D$2)=0,"",SUMIFS(Datos!$E$2:$E$5000,Datos!$A$2:$A$5000,D$1,Datos!$B$2:$B$5000,$A14,Datos!$C$2:$C$5000,$B14,Datos!$D$2:$D$5000,D$2))</f>
        <v/>
      </c>
      <c r="E14" s="9">
        <f>IF(COUNTIFS(Datos!$A$2:$A$5000,E$1,Datos!$B$2:$B$5000,$A14,Datos!$C$2:$C$5000,$B14,Datos!$D$2:$D$5000,E$2)=0,"",SUMIFS(Datos!$E$2:$E$5000,Datos!$A$2:$A$5000,E$1,Datos!$B$2:$B$5000,$A14,Datos!$C$2:$C$5000,$B14,Datos!$D$2:$D$5000,E$2))</f>
        <v/>
      </c>
      <c r="F14" s="9">
        <f>IF(COUNTIFS(Datos!$A$2:$A$5000,F$1,Datos!$B$2:$B$5000,$A14,Datos!$C$2:$C$5000,$B14,Datos!$D$2:$D$5000,F$2)=0,"",SUMIFS(Datos!$E$2:$E$5000,Datos!$A$2:$A$5000,F$1,Datos!$B$2:$B$5000,$A14,Datos!$C$2:$C$5000,$B14,Datos!$D$2:$D$5000,F$2))</f>
        <v/>
      </c>
      <c r="G14" s="9">
        <f>IF(COUNTIFS(Datos!$A$2:$A$5000,G$1,Datos!$B$2:$B$5000,$A14,Datos!$C$2:$C$5000,$B14,Datos!$D$2:$D$5000,G$2)=0,"",SUMIFS(Datos!$E$2:$E$5000,Datos!$A$2:$A$5000,G$1,Datos!$B$2:$B$5000,$A14,Datos!$C$2:$C$5000,$B14,Datos!$D$2:$D$5000,G$2))</f>
        <v/>
      </c>
      <c r="H14" s="9">
        <f>IF(COUNTIFS(Datos!$A$2:$A$5000,H$1,Datos!$B$2:$B$5000,$A14,Datos!$C$2:$C$5000,$B14,Datos!$D$2:$D$5000,H$2)=0,"",SUMIFS(Datos!$E$2:$E$5000,Datos!$A$2:$A$5000,H$1,Datos!$B$2:$B$5000,$A14,Datos!$C$2:$C$5000,$B14,Datos!$D$2:$D$5000,H$2))</f>
        <v/>
      </c>
      <c r="I14" s="9">
        <f>IF(COUNTIFS(Datos!$A$2:$A$5000,I$1,Datos!$B$2:$B$5000,$A14,Datos!$C$2:$C$5000,$B14,Datos!$D$2:$D$5000,I$2)=0,"",SUMIFS(Datos!$E$2:$E$5000,Datos!$A$2:$A$5000,I$1,Datos!$B$2:$B$5000,$A14,Datos!$C$2:$C$5000,$B14,Datos!$D$2:$D$5000,I$2))</f>
        <v/>
      </c>
      <c r="J14" s="9">
        <f>IF(COUNTIFS(Datos!$A$2:$A$5000,J$1,Datos!$B$2:$B$5000,$A14,Datos!$C$2:$C$5000,$B14,Datos!$D$2:$D$5000,J$2)=0,"",SUMIFS(Datos!$E$2:$E$5000,Datos!$A$2:$A$5000,J$1,Datos!$B$2:$B$5000,$A14,Datos!$C$2:$C$5000,$B14,Datos!$D$2:$D$5000,J$2))</f>
        <v/>
      </c>
    </row>
    <row r="15">
      <c r="A15" s="8" t="inlineStr">
        <is>
          <t>Argentina</t>
        </is>
      </c>
      <c r="B15" s="8" t="n">
        <v>2008</v>
      </c>
      <c r="C15" s="9">
        <f>IF(COUNTIFS(Datos!$A$2:$A$5000,C$1,Datos!$B$2:$B$5000,$A15,Datos!$C$2:$C$5000,$B15,Datos!$D$2:$D$5000,C$2)=0,"",SUMIFS(Datos!$E$2:$E$5000,Datos!$A$2:$A$5000,C$1,Datos!$B$2:$B$5000,$A15,Datos!$C$2:$C$5000,$B15,Datos!$D$2:$D$5000,C$2))</f>
        <v/>
      </c>
      <c r="D15" s="9">
        <f>IF(COUNTIFS(Datos!$A$2:$A$5000,D$1,Datos!$B$2:$B$5000,$A15,Datos!$C$2:$C$5000,$B15,Datos!$D$2:$D$5000,D$2)=0,"",SUMIFS(Datos!$E$2:$E$5000,Datos!$A$2:$A$5000,D$1,Datos!$B$2:$B$5000,$A15,Datos!$C$2:$C$5000,$B15,Datos!$D$2:$D$5000,D$2))</f>
        <v/>
      </c>
      <c r="E15" s="9">
        <f>IF(COUNTIFS(Datos!$A$2:$A$5000,E$1,Datos!$B$2:$B$5000,$A15,Datos!$C$2:$C$5000,$B15,Datos!$D$2:$D$5000,E$2)=0,"",SUMIFS(Datos!$E$2:$E$5000,Datos!$A$2:$A$5000,E$1,Datos!$B$2:$B$5000,$A15,Datos!$C$2:$C$5000,$B15,Datos!$D$2:$D$5000,E$2))</f>
        <v/>
      </c>
      <c r="F15" s="9">
        <f>IF(COUNTIFS(Datos!$A$2:$A$5000,F$1,Datos!$B$2:$B$5000,$A15,Datos!$C$2:$C$5000,$B15,Datos!$D$2:$D$5000,F$2)=0,"",SUMIFS(Datos!$E$2:$E$5000,Datos!$A$2:$A$5000,F$1,Datos!$B$2:$B$5000,$A15,Datos!$C$2:$C$5000,$B15,Datos!$D$2:$D$5000,F$2))</f>
        <v/>
      </c>
      <c r="G15" s="9">
        <f>IF(COUNTIFS(Datos!$A$2:$A$5000,G$1,Datos!$B$2:$B$5000,$A15,Datos!$C$2:$C$5000,$B15,Datos!$D$2:$D$5000,G$2)=0,"",SUMIFS(Datos!$E$2:$E$5000,Datos!$A$2:$A$5000,G$1,Datos!$B$2:$B$5000,$A15,Datos!$C$2:$C$5000,$B15,Datos!$D$2:$D$5000,G$2))</f>
        <v/>
      </c>
      <c r="H15" s="9">
        <f>IF(COUNTIFS(Datos!$A$2:$A$5000,H$1,Datos!$B$2:$B$5000,$A15,Datos!$C$2:$C$5000,$B15,Datos!$D$2:$D$5000,H$2)=0,"",SUMIFS(Datos!$E$2:$E$5000,Datos!$A$2:$A$5000,H$1,Datos!$B$2:$B$5000,$A15,Datos!$C$2:$C$5000,$B15,Datos!$D$2:$D$5000,H$2))</f>
        <v/>
      </c>
      <c r="I15" s="9">
        <f>IF(COUNTIFS(Datos!$A$2:$A$5000,I$1,Datos!$B$2:$B$5000,$A15,Datos!$C$2:$C$5000,$B15,Datos!$D$2:$D$5000,I$2)=0,"",SUMIFS(Datos!$E$2:$E$5000,Datos!$A$2:$A$5000,I$1,Datos!$B$2:$B$5000,$A15,Datos!$C$2:$C$5000,$B15,Datos!$D$2:$D$5000,I$2))</f>
        <v/>
      </c>
      <c r="J15" s="9">
        <f>IF(COUNTIFS(Datos!$A$2:$A$5000,J$1,Datos!$B$2:$B$5000,$A15,Datos!$C$2:$C$5000,$B15,Datos!$D$2:$D$5000,J$2)=0,"",SUMIFS(Datos!$E$2:$E$5000,Datos!$A$2:$A$5000,J$1,Datos!$B$2:$B$5000,$A15,Datos!$C$2:$C$5000,$B15,Datos!$D$2:$D$5000,J$2))</f>
        <v/>
      </c>
    </row>
    <row r="16">
      <c r="A16" s="8" t="inlineStr">
        <is>
          <t>Argentina</t>
        </is>
      </c>
      <c r="B16" s="8" t="n">
        <v>2009</v>
      </c>
      <c r="C16" s="9">
        <f>IF(COUNTIFS(Datos!$A$2:$A$5000,C$1,Datos!$B$2:$B$5000,$A16,Datos!$C$2:$C$5000,$B16,Datos!$D$2:$D$5000,C$2)=0,"",SUMIFS(Datos!$E$2:$E$5000,Datos!$A$2:$A$5000,C$1,Datos!$B$2:$B$5000,$A16,Datos!$C$2:$C$5000,$B16,Datos!$D$2:$D$5000,C$2))</f>
        <v/>
      </c>
      <c r="D16" s="9">
        <f>IF(COUNTIFS(Datos!$A$2:$A$5000,D$1,Datos!$B$2:$B$5000,$A16,Datos!$C$2:$C$5000,$B16,Datos!$D$2:$D$5000,D$2)=0,"",SUMIFS(Datos!$E$2:$E$5000,Datos!$A$2:$A$5000,D$1,Datos!$B$2:$B$5000,$A16,Datos!$C$2:$C$5000,$B16,Datos!$D$2:$D$5000,D$2))</f>
        <v/>
      </c>
      <c r="E16" s="9">
        <f>IF(COUNTIFS(Datos!$A$2:$A$5000,E$1,Datos!$B$2:$B$5000,$A16,Datos!$C$2:$C$5000,$B16,Datos!$D$2:$D$5000,E$2)=0,"",SUMIFS(Datos!$E$2:$E$5000,Datos!$A$2:$A$5000,E$1,Datos!$B$2:$B$5000,$A16,Datos!$C$2:$C$5000,$B16,Datos!$D$2:$D$5000,E$2))</f>
        <v/>
      </c>
      <c r="F16" s="9">
        <f>IF(COUNTIFS(Datos!$A$2:$A$5000,F$1,Datos!$B$2:$B$5000,$A16,Datos!$C$2:$C$5000,$B16,Datos!$D$2:$D$5000,F$2)=0,"",SUMIFS(Datos!$E$2:$E$5000,Datos!$A$2:$A$5000,F$1,Datos!$B$2:$B$5000,$A16,Datos!$C$2:$C$5000,$B16,Datos!$D$2:$D$5000,F$2))</f>
        <v/>
      </c>
      <c r="G16" s="9">
        <f>IF(COUNTIFS(Datos!$A$2:$A$5000,G$1,Datos!$B$2:$B$5000,$A16,Datos!$C$2:$C$5000,$B16,Datos!$D$2:$D$5000,G$2)=0,"",SUMIFS(Datos!$E$2:$E$5000,Datos!$A$2:$A$5000,G$1,Datos!$B$2:$B$5000,$A16,Datos!$C$2:$C$5000,$B16,Datos!$D$2:$D$5000,G$2))</f>
        <v/>
      </c>
      <c r="H16" s="9">
        <f>IF(COUNTIFS(Datos!$A$2:$A$5000,H$1,Datos!$B$2:$B$5000,$A16,Datos!$C$2:$C$5000,$B16,Datos!$D$2:$D$5000,H$2)=0,"",SUMIFS(Datos!$E$2:$E$5000,Datos!$A$2:$A$5000,H$1,Datos!$B$2:$B$5000,$A16,Datos!$C$2:$C$5000,$B16,Datos!$D$2:$D$5000,H$2))</f>
        <v/>
      </c>
      <c r="I16" s="9">
        <f>IF(COUNTIFS(Datos!$A$2:$A$5000,I$1,Datos!$B$2:$B$5000,$A16,Datos!$C$2:$C$5000,$B16,Datos!$D$2:$D$5000,I$2)=0,"",SUMIFS(Datos!$E$2:$E$5000,Datos!$A$2:$A$5000,I$1,Datos!$B$2:$B$5000,$A16,Datos!$C$2:$C$5000,$B16,Datos!$D$2:$D$5000,I$2))</f>
        <v/>
      </c>
      <c r="J16" s="9">
        <f>IF(COUNTIFS(Datos!$A$2:$A$5000,J$1,Datos!$B$2:$B$5000,$A16,Datos!$C$2:$C$5000,$B16,Datos!$D$2:$D$5000,J$2)=0,"",SUMIFS(Datos!$E$2:$E$5000,Datos!$A$2:$A$5000,J$1,Datos!$B$2:$B$5000,$A16,Datos!$C$2:$C$5000,$B16,Datos!$D$2:$D$5000,J$2))</f>
        <v/>
      </c>
    </row>
    <row r="17">
      <c r="A17" s="8" t="inlineStr">
        <is>
          <t>Argentina</t>
        </is>
      </c>
      <c r="B17" s="8" t="n">
        <v>2010</v>
      </c>
      <c r="C17" s="9">
        <f>IF(COUNTIFS(Datos!$A$2:$A$5000,C$1,Datos!$B$2:$B$5000,$A17,Datos!$C$2:$C$5000,$B17,Datos!$D$2:$D$5000,C$2)=0,"",SUMIFS(Datos!$E$2:$E$5000,Datos!$A$2:$A$5000,C$1,Datos!$B$2:$B$5000,$A17,Datos!$C$2:$C$5000,$B17,Datos!$D$2:$D$5000,C$2))</f>
        <v/>
      </c>
      <c r="D17" s="9">
        <f>IF(COUNTIFS(Datos!$A$2:$A$5000,D$1,Datos!$B$2:$B$5000,$A17,Datos!$C$2:$C$5000,$B17,Datos!$D$2:$D$5000,D$2)=0,"",SUMIFS(Datos!$E$2:$E$5000,Datos!$A$2:$A$5000,D$1,Datos!$B$2:$B$5000,$A17,Datos!$C$2:$C$5000,$B17,Datos!$D$2:$D$5000,D$2))</f>
        <v/>
      </c>
      <c r="E17" s="9">
        <f>IF(COUNTIFS(Datos!$A$2:$A$5000,E$1,Datos!$B$2:$B$5000,$A17,Datos!$C$2:$C$5000,$B17,Datos!$D$2:$D$5000,E$2)=0,"",SUMIFS(Datos!$E$2:$E$5000,Datos!$A$2:$A$5000,E$1,Datos!$B$2:$B$5000,$A17,Datos!$C$2:$C$5000,$B17,Datos!$D$2:$D$5000,E$2))</f>
        <v/>
      </c>
      <c r="F17" s="9">
        <f>IF(COUNTIFS(Datos!$A$2:$A$5000,F$1,Datos!$B$2:$B$5000,$A17,Datos!$C$2:$C$5000,$B17,Datos!$D$2:$D$5000,F$2)=0,"",SUMIFS(Datos!$E$2:$E$5000,Datos!$A$2:$A$5000,F$1,Datos!$B$2:$B$5000,$A17,Datos!$C$2:$C$5000,$B17,Datos!$D$2:$D$5000,F$2))</f>
        <v/>
      </c>
      <c r="G17" s="9">
        <f>IF(COUNTIFS(Datos!$A$2:$A$5000,G$1,Datos!$B$2:$B$5000,$A17,Datos!$C$2:$C$5000,$B17,Datos!$D$2:$D$5000,G$2)=0,"",SUMIFS(Datos!$E$2:$E$5000,Datos!$A$2:$A$5000,G$1,Datos!$B$2:$B$5000,$A17,Datos!$C$2:$C$5000,$B17,Datos!$D$2:$D$5000,G$2))</f>
        <v/>
      </c>
      <c r="H17" s="9">
        <f>IF(COUNTIFS(Datos!$A$2:$A$5000,H$1,Datos!$B$2:$B$5000,$A17,Datos!$C$2:$C$5000,$B17,Datos!$D$2:$D$5000,H$2)=0,"",SUMIFS(Datos!$E$2:$E$5000,Datos!$A$2:$A$5000,H$1,Datos!$B$2:$B$5000,$A17,Datos!$C$2:$C$5000,$B17,Datos!$D$2:$D$5000,H$2))</f>
        <v/>
      </c>
      <c r="I17" s="9">
        <f>IF(COUNTIFS(Datos!$A$2:$A$5000,I$1,Datos!$B$2:$B$5000,$A17,Datos!$C$2:$C$5000,$B17,Datos!$D$2:$D$5000,I$2)=0,"",SUMIFS(Datos!$E$2:$E$5000,Datos!$A$2:$A$5000,I$1,Datos!$B$2:$B$5000,$A17,Datos!$C$2:$C$5000,$B17,Datos!$D$2:$D$5000,I$2))</f>
        <v/>
      </c>
      <c r="J17" s="9">
        <f>IF(COUNTIFS(Datos!$A$2:$A$5000,J$1,Datos!$B$2:$B$5000,$A17,Datos!$C$2:$C$5000,$B17,Datos!$D$2:$D$5000,J$2)=0,"",SUMIFS(Datos!$E$2:$E$5000,Datos!$A$2:$A$5000,J$1,Datos!$B$2:$B$5000,$A17,Datos!$C$2:$C$5000,$B17,Datos!$D$2:$D$5000,J$2))</f>
        <v/>
      </c>
    </row>
    <row r="18">
      <c r="A18" s="8" t="inlineStr">
        <is>
          <t>Argentina</t>
        </is>
      </c>
      <c r="B18" s="8" t="n">
        <v>2011</v>
      </c>
      <c r="C18" s="9">
        <f>IF(COUNTIFS(Datos!$A$2:$A$5000,C$1,Datos!$B$2:$B$5000,$A18,Datos!$C$2:$C$5000,$B18,Datos!$D$2:$D$5000,C$2)=0,"",SUMIFS(Datos!$E$2:$E$5000,Datos!$A$2:$A$5000,C$1,Datos!$B$2:$B$5000,$A18,Datos!$C$2:$C$5000,$B18,Datos!$D$2:$D$5000,C$2))</f>
        <v/>
      </c>
      <c r="D18" s="9">
        <f>IF(COUNTIFS(Datos!$A$2:$A$5000,D$1,Datos!$B$2:$B$5000,$A18,Datos!$C$2:$C$5000,$B18,Datos!$D$2:$D$5000,D$2)=0,"",SUMIFS(Datos!$E$2:$E$5000,Datos!$A$2:$A$5000,D$1,Datos!$B$2:$B$5000,$A18,Datos!$C$2:$C$5000,$B18,Datos!$D$2:$D$5000,D$2))</f>
        <v/>
      </c>
      <c r="E18" s="9">
        <f>IF(COUNTIFS(Datos!$A$2:$A$5000,E$1,Datos!$B$2:$B$5000,$A18,Datos!$C$2:$C$5000,$B18,Datos!$D$2:$D$5000,E$2)=0,"",SUMIFS(Datos!$E$2:$E$5000,Datos!$A$2:$A$5000,E$1,Datos!$B$2:$B$5000,$A18,Datos!$C$2:$C$5000,$B18,Datos!$D$2:$D$5000,E$2))</f>
        <v/>
      </c>
      <c r="F18" s="9">
        <f>IF(COUNTIFS(Datos!$A$2:$A$5000,F$1,Datos!$B$2:$B$5000,$A18,Datos!$C$2:$C$5000,$B18,Datos!$D$2:$D$5000,F$2)=0,"",SUMIFS(Datos!$E$2:$E$5000,Datos!$A$2:$A$5000,F$1,Datos!$B$2:$B$5000,$A18,Datos!$C$2:$C$5000,$B18,Datos!$D$2:$D$5000,F$2))</f>
        <v/>
      </c>
      <c r="G18" s="9">
        <f>IF(COUNTIFS(Datos!$A$2:$A$5000,G$1,Datos!$B$2:$B$5000,$A18,Datos!$C$2:$C$5000,$B18,Datos!$D$2:$D$5000,G$2)=0,"",SUMIFS(Datos!$E$2:$E$5000,Datos!$A$2:$A$5000,G$1,Datos!$B$2:$B$5000,$A18,Datos!$C$2:$C$5000,$B18,Datos!$D$2:$D$5000,G$2))</f>
        <v/>
      </c>
      <c r="H18" s="9">
        <f>IF(COUNTIFS(Datos!$A$2:$A$5000,H$1,Datos!$B$2:$B$5000,$A18,Datos!$C$2:$C$5000,$B18,Datos!$D$2:$D$5000,H$2)=0,"",SUMIFS(Datos!$E$2:$E$5000,Datos!$A$2:$A$5000,H$1,Datos!$B$2:$B$5000,$A18,Datos!$C$2:$C$5000,$B18,Datos!$D$2:$D$5000,H$2))</f>
        <v/>
      </c>
      <c r="I18" s="9">
        <f>IF(COUNTIFS(Datos!$A$2:$A$5000,I$1,Datos!$B$2:$B$5000,$A18,Datos!$C$2:$C$5000,$B18,Datos!$D$2:$D$5000,I$2)=0,"",SUMIFS(Datos!$E$2:$E$5000,Datos!$A$2:$A$5000,I$1,Datos!$B$2:$B$5000,$A18,Datos!$C$2:$C$5000,$B18,Datos!$D$2:$D$5000,I$2))</f>
        <v/>
      </c>
      <c r="J18" s="9">
        <f>IF(COUNTIFS(Datos!$A$2:$A$5000,J$1,Datos!$B$2:$B$5000,$A18,Datos!$C$2:$C$5000,$B18,Datos!$D$2:$D$5000,J$2)=0,"",SUMIFS(Datos!$E$2:$E$5000,Datos!$A$2:$A$5000,J$1,Datos!$B$2:$B$5000,$A18,Datos!$C$2:$C$5000,$B18,Datos!$D$2:$D$5000,J$2))</f>
        <v/>
      </c>
    </row>
    <row r="19">
      <c r="A19" s="8" t="inlineStr">
        <is>
          <t>Argentina</t>
        </is>
      </c>
      <c r="B19" s="8" t="n">
        <v>2015</v>
      </c>
      <c r="C19" s="9">
        <f>IF(COUNTIFS(Datos!$A$2:$A$5000,C$1,Datos!$B$2:$B$5000,$A19,Datos!$C$2:$C$5000,$B19,Datos!$D$2:$D$5000,C$2)=0,"",SUMIFS(Datos!$E$2:$E$5000,Datos!$A$2:$A$5000,C$1,Datos!$B$2:$B$5000,$A19,Datos!$C$2:$C$5000,$B19,Datos!$D$2:$D$5000,C$2))</f>
        <v/>
      </c>
      <c r="D19" s="9">
        <f>IF(COUNTIFS(Datos!$A$2:$A$5000,D$1,Datos!$B$2:$B$5000,$A19,Datos!$C$2:$C$5000,$B19,Datos!$D$2:$D$5000,D$2)=0,"",SUMIFS(Datos!$E$2:$E$5000,Datos!$A$2:$A$5000,D$1,Datos!$B$2:$B$5000,$A19,Datos!$C$2:$C$5000,$B19,Datos!$D$2:$D$5000,D$2))</f>
        <v/>
      </c>
      <c r="E19" s="9">
        <f>IF(COUNTIFS(Datos!$A$2:$A$5000,E$1,Datos!$B$2:$B$5000,$A19,Datos!$C$2:$C$5000,$B19,Datos!$D$2:$D$5000,E$2)=0,"",SUMIFS(Datos!$E$2:$E$5000,Datos!$A$2:$A$5000,E$1,Datos!$B$2:$B$5000,$A19,Datos!$C$2:$C$5000,$B19,Datos!$D$2:$D$5000,E$2))</f>
        <v/>
      </c>
      <c r="F19" s="9">
        <f>IF(COUNTIFS(Datos!$A$2:$A$5000,F$1,Datos!$B$2:$B$5000,$A19,Datos!$C$2:$C$5000,$B19,Datos!$D$2:$D$5000,F$2)=0,"",SUMIFS(Datos!$E$2:$E$5000,Datos!$A$2:$A$5000,F$1,Datos!$B$2:$B$5000,$A19,Datos!$C$2:$C$5000,$B19,Datos!$D$2:$D$5000,F$2))</f>
        <v/>
      </c>
      <c r="G19" s="9">
        <f>IF(COUNTIFS(Datos!$A$2:$A$5000,G$1,Datos!$B$2:$B$5000,$A19,Datos!$C$2:$C$5000,$B19,Datos!$D$2:$D$5000,G$2)=0,"",SUMIFS(Datos!$E$2:$E$5000,Datos!$A$2:$A$5000,G$1,Datos!$B$2:$B$5000,$A19,Datos!$C$2:$C$5000,$B19,Datos!$D$2:$D$5000,G$2))</f>
        <v/>
      </c>
      <c r="H19" s="9">
        <f>IF(COUNTIFS(Datos!$A$2:$A$5000,H$1,Datos!$B$2:$B$5000,$A19,Datos!$C$2:$C$5000,$B19,Datos!$D$2:$D$5000,H$2)=0,"",SUMIFS(Datos!$E$2:$E$5000,Datos!$A$2:$A$5000,H$1,Datos!$B$2:$B$5000,$A19,Datos!$C$2:$C$5000,$B19,Datos!$D$2:$D$5000,H$2))</f>
        <v/>
      </c>
      <c r="I19" s="9">
        <f>IF(COUNTIFS(Datos!$A$2:$A$5000,I$1,Datos!$B$2:$B$5000,$A19,Datos!$C$2:$C$5000,$B19,Datos!$D$2:$D$5000,I$2)=0,"",SUMIFS(Datos!$E$2:$E$5000,Datos!$A$2:$A$5000,I$1,Datos!$B$2:$B$5000,$A19,Datos!$C$2:$C$5000,$B19,Datos!$D$2:$D$5000,I$2))</f>
        <v/>
      </c>
      <c r="J19" s="9">
        <f>IF(COUNTIFS(Datos!$A$2:$A$5000,J$1,Datos!$B$2:$B$5000,$A19,Datos!$C$2:$C$5000,$B19,Datos!$D$2:$D$5000,J$2)=0,"",SUMIFS(Datos!$E$2:$E$5000,Datos!$A$2:$A$5000,J$1,Datos!$B$2:$B$5000,$A19,Datos!$C$2:$C$5000,$B19,Datos!$D$2:$D$5000,J$2))</f>
        <v/>
      </c>
    </row>
    <row r="20">
      <c r="A20" s="8" t="inlineStr">
        <is>
          <t>Argentina</t>
        </is>
      </c>
      <c r="B20" s="8" t="n">
        <v>2016</v>
      </c>
      <c r="C20" s="9">
        <f>IF(COUNTIFS(Datos!$A$2:$A$5000,C$1,Datos!$B$2:$B$5000,$A20,Datos!$C$2:$C$5000,$B20,Datos!$D$2:$D$5000,C$2)=0,"",SUMIFS(Datos!$E$2:$E$5000,Datos!$A$2:$A$5000,C$1,Datos!$B$2:$B$5000,$A20,Datos!$C$2:$C$5000,$B20,Datos!$D$2:$D$5000,C$2))</f>
        <v/>
      </c>
      <c r="D20" s="9">
        <f>IF(COUNTIFS(Datos!$A$2:$A$5000,D$1,Datos!$B$2:$B$5000,$A20,Datos!$C$2:$C$5000,$B20,Datos!$D$2:$D$5000,D$2)=0,"",SUMIFS(Datos!$E$2:$E$5000,Datos!$A$2:$A$5000,D$1,Datos!$B$2:$B$5000,$A20,Datos!$C$2:$C$5000,$B20,Datos!$D$2:$D$5000,D$2))</f>
        <v/>
      </c>
      <c r="E20" s="9">
        <f>IF(COUNTIFS(Datos!$A$2:$A$5000,E$1,Datos!$B$2:$B$5000,$A20,Datos!$C$2:$C$5000,$B20,Datos!$D$2:$D$5000,E$2)=0,"",SUMIFS(Datos!$E$2:$E$5000,Datos!$A$2:$A$5000,E$1,Datos!$B$2:$B$5000,$A20,Datos!$C$2:$C$5000,$B20,Datos!$D$2:$D$5000,E$2))</f>
        <v/>
      </c>
      <c r="F20" s="9">
        <f>IF(COUNTIFS(Datos!$A$2:$A$5000,F$1,Datos!$B$2:$B$5000,$A20,Datos!$C$2:$C$5000,$B20,Datos!$D$2:$D$5000,F$2)=0,"",SUMIFS(Datos!$E$2:$E$5000,Datos!$A$2:$A$5000,F$1,Datos!$B$2:$B$5000,$A20,Datos!$C$2:$C$5000,$B20,Datos!$D$2:$D$5000,F$2))</f>
        <v/>
      </c>
      <c r="G20" s="9">
        <f>IF(COUNTIFS(Datos!$A$2:$A$5000,G$1,Datos!$B$2:$B$5000,$A20,Datos!$C$2:$C$5000,$B20,Datos!$D$2:$D$5000,G$2)=0,"",SUMIFS(Datos!$E$2:$E$5000,Datos!$A$2:$A$5000,G$1,Datos!$B$2:$B$5000,$A20,Datos!$C$2:$C$5000,$B20,Datos!$D$2:$D$5000,G$2))</f>
        <v/>
      </c>
      <c r="H20" s="9">
        <f>IF(COUNTIFS(Datos!$A$2:$A$5000,H$1,Datos!$B$2:$B$5000,$A20,Datos!$C$2:$C$5000,$B20,Datos!$D$2:$D$5000,H$2)=0,"",SUMIFS(Datos!$E$2:$E$5000,Datos!$A$2:$A$5000,H$1,Datos!$B$2:$B$5000,$A20,Datos!$C$2:$C$5000,$B20,Datos!$D$2:$D$5000,H$2))</f>
        <v/>
      </c>
      <c r="I20" s="9">
        <f>IF(COUNTIFS(Datos!$A$2:$A$5000,I$1,Datos!$B$2:$B$5000,$A20,Datos!$C$2:$C$5000,$B20,Datos!$D$2:$D$5000,I$2)=0,"",SUMIFS(Datos!$E$2:$E$5000,Datos!$A$2:$A$5000,I$1,Datos!$B$2:$B$5000,$A20,Datos!$C$2:$C$5000,$B20,Datos!$D$2:$D$5000,I$2))</f>
        <v/>
      </c>
      <c r="J20" s="9">
        <f>IF(COUNTIFS(Datos!$A$2:$A$5000,J$1,Datos!$B$2:$B$5000,$A20,Datos!$C$2:$C$5000,$B20,Datos!$D$2:$D$5000,J$2)=0,"",SUMIFS(Datos!$E$2:$E$5000,Datos!$A$2:$A$5000,J$1,Datos!$B$2:$B$5000,$A20,Datos!$C$2:$C$5000,$B20,Datos!$D$2:$D$5000,J$2))</f>
        <v/>
      </c>
    </row>
    <row r="21">
      <c r="A21" s="8" t="inlineStr">
        <is>
          <t>Argentina</t>
        </is>
      </c>
      <c r="B21" s="8" t="n">
        <v>2017</v>
      </c>
      <c r="C21" s="9">
        <f>IF(COUNTIFS(Datos!$A$2:$A$5000,C$1,Datos!$B$2:$B$5000,$A21,Datos!$C$2:$C$5000,$B21,Datos!$D$2:$D$5000,C$2)=0,"",SUMIFS(Datos!$E$2:$E$5000,Datos!$A$2:$A$5000,C$1,Datos!$B$2:$B$5000,$A21,Datos!$C$2:$C$5000,$B21,Datos!$D$2:$D$5000,C$2))</f>
        <v/>
      </c>
      <c r="D21" s="9">
        <f>IF(COUNTIFS(Datos!$A$2:$A$5000,D$1,Datos!$B$2:$B$5000,$A21,Datos!$C$2:$C$5000,$B21,Datos!$D$2:$D$5000,D$2)=0,"",SUMIFS(Datos!$E$2:$E$5000,Datos!$A$2:$A$5000,D$1,Datos!$B$2:$B$5000,$A21,Datos!$C$2:$C$5000,$B21,Datos!$D$2:$D$5000,D$2))</f>
        <v/>
      </c>
      <c r="E21" s="9">
        <f>IF(COUNTIFS(Datos!$A$2:$A$5000,E$1,Datos!$B$2:$B$5000,$A21,Datos!$C$2:$C$5000,$B21,Datos!$D$2:$D$5000,E$2)=0,"",SUMIFS(Datos!$E$2:$E$5000,Datos!$A$2:$A$5000,E$1,Datos!$B$2:$B$5000,$A21,Datos!$C$2:$C$5000,$B21,Datos!$D$2:$D$5000,E$2))</f>
        <v/>
      </c>
      <c r="F21" s="9">
        <f>IF(COUNTIFS(Datos!$A$2:$A$5000,F$1,Datos!$B$2:$B$5000,$A21,Datos!$C$2:$C$5000,$B21,Datos!$D$2:$D$5000,F$2)=0,"",SUMIFS(Datos!$E$2:$E$5000,Datos!$A$2:$A$5000,F$1,Datos!$B$2:$B$5000,$A21,Datos!$C$2:$C$5000,$B21,Datos!$D$2:$D$5000,F$2))</f>
        <v/>
      </c>
      <c r="G21" s="9">
        <f>IF(COUNTIFS(Datos!$A$2:$A$5000,G$1,Datos!$B$2:$B$5000,$A21,Datos!$C$2:$C$5000,$B21,Datos!$D$2:$D$5000,G$2)=0,"",SUMIFS(Datos!$E$2:$E$5000,Datos!$A$2:$A$5000,G$1,Datos!$B$2:$B$5000,$A21,Datos!$C$2:$C$5000,$B21,Datos!$D$2:$D$5000,G$2))</f>
        <v/>
      </c>
      <c r="H21" s="9">
        <f>IF(COUNTIFS(Datos!$A$2:$A$5000,H$1,Datos!$B$2:$B$5000,$A21,Datos!$C$2:$C$5000,$B21,Datos!$D$2:$D$5000,H$2)=0,"",SUMIFS(Datos!$E$2:$E$5000,Datos!$A$2:$A$5000,H$1,Datos!$B$2:$B$5000,$A21,Datos!$C$2:$C$5000,$B21,Datos!$D$2:$D$5000,H$2))</f>
        <v/>
      </c>
      <c r="I21" s="9">
        <f>IF(COUNTIFS(Datos!$A$2:$A$5000,I$1,Datos!$B$2:$B$5000,$A21,Datos!$C$2:$C$5000,$B21,Datos!$D$2:$D$5000,I$2)=0,"",SUMIFS(Datos!$E$2:$E$5000,Datos!$A$2:$A$5000,I$1,Datos!$B$2:$B$5000,$A21,Datos!$C$2:$C$5000,$B21,Datos!$D$2:$D$5000,I$2))</f>
        <v/>
      </c>
      <c r="J21" s="9">
        <f>IF(COUNTIFS(Datos!$A$2:$A$5000,J$1,Datos!$B$2:$B$5000,$A21,Datos!$C$2:$C$5000,$B21,Datos!$D$2:$D$5000,J$2)=0,"",SUMIFS(Datos!$E$2:$E$5000,Datos!$A$2:$A$5000,J$1,Datos!$B$2:$B$5000,$A21,Datos!$C$2:$C$5000,$B21,Datos!$D$2:$D$5000,J$2))</f>
        <v/>
      </c>
    </row>
    <row r="22">
      <c r="A22" s="8" t="inlineStr">
        <is>
          <t>Argentina</t>
        </is>
      </c>
      <c r="B22" s="8" t="n">
        <v>2018</v>
      </c>
      <c r="C22" s="9">
        <f>IF(COUNTIFS(Datos!$A$2:$A$5000,C$1,Datos!$B$2:$B$5000,$A22,Datos!$C$2:$C$5000,$B22,Datos!$D$2:$D$5000,C$2)=0,"",SUMIFS(Datos!$E$2:$E$5000,Datos!$A$2:$A$5000,C$1,Datos!$B$2:$B$5000,$A22,Datos!$C$2:$C$5000,$B22,Datos!$D$2:$D$5000,C$2))</f>
        <v/>
      </c>
      <c r="D22" s="9">
        <f>IF(COUNTIFS(Datos!$A$2:$A$5000,D$1,Datos!$B$2:$B$5000,$A22,Datos!$C$2:$C$5000,$B22,Datos!$D$2:$D$5000,D$2)=0,"",SUMIFS(Datos!$E$2:$E$5000,Datos!$A$2:$A$5000,D$1,Datos!$B$2:$B$5000,$A22,Datos!$C$2:$C$5000,$B22,Datos!$D$2:$D$5000,D$2))</f>
        <v/>
      </c>
      <c r="E22" s="9">
        <f>IF(COUNTIFS(Datos!$A$2:$A$5000,E$1,Datos!$B$2:$B$5000,$A22,Datos!$C$2:$C$5000,$B22,Datos!$D$2:$D$5000,E$2)=0,"",SUMIFS(Datos!$E$2:$E$5000,Datos!$A$2:$A$5000,E$1,Datos!$B$2:$B$5000,$A22,Datos!$C$2:$C$5000,$B22,Datos!$D$2:$D$5000,E$2))</f>
        <v/>
      </c>
      <c r="F22" s="9">
        <f>IF(COUNTIFS(Datos!$A$2:$A$5000,F$1,Datos!$B$2:$B$5000,$A22,Datos!$C$2:$C$5000,$B22,Datos!$D$2:$D$5000,F$2)=0,"",SUMIFS(Datos!$E$2:$E$5000,Datos!$A$2:$A$5000,F$1,Datos!$B$2:$B$5000,$A22,Datos!$C$2:$C$5000,$B22,Datos!$D$2:$D$5000,F$2))</f>
        <v/>
      </c>
      <c r="G22" s="9">
        <f>IF(COUNTIFS(Datos!$A$2:$A$5000,G$1,Datos!$B$2:$B$5000,$A22,Datos!$C$2:$C$5000,$B22,Datos!$D$2:$D$5000,G$2)=0,"",SUMIFS(Datos!$E$2:$E$5000,Datos!$A$2:$A$5000,G$1,Datos!$B$2:$B$5000,$A22,Datos!$C$2:$C$5000,$B22,Datos!$D$2:$D$5000,G$2))</f>
        <v/>
      </c>
      <c r="H22" s="9">
        <f>IF(COUNTIFS(Datos!$A$2:$A$5000,H$1,Datos!$B$2:$B$5000,$A22,Datos!$C$2:$C$5000,$B22,Datos!$D$2:$D$5000,H$2)=0,"",SUMIFS(Datos!$E$2:$E$5000,Datos!$A$2:$A$5000,H$1,Datos!$B$2:$B$5000,$A22,Datos!$C$2:$C$5000,$B22,Datos!$D$2:$D$5000,H$2))</f>
        <v/>
      </c>
      <c r="I22" s="9">
        <f>IF(COUNTIFS(Datos!$A$2:$A$5000,I$1,Datos!$B$2:$B$5000,$A22,Datos!$C$2:$C$5000,$B22,Datos!$D$2:$D$5000,I$2)=0,"",SUMIFS(Datos!$E$2:$E$5000,Datos!$A$2:$A$5000,I$1,Datos!$B$2:$B$5000,$A22,Datos!$C$2:$C$5000,$B22,Datos!$D$2:$D$5000,I$2))</f>
        <v/>
      </c>
      <c r="J22" s="9">
        <f>IF(COUNTIFS(Datos!$A$2:$A$5000,J$1,Datos!$B$2:$B$5000,$A22,Datos!$C$2:$C$5000,$B22,Datos!$D$2:$D$5000,J$2)=0,"",SUMIFS(Datos!$E$2:$E$5000,Datos!$A$2:$A$5000,J$1,Datos!$B$2:$B$5000,$A22,Datos!$C$2:$C$5000,$B22,Datos!$D$2:$D$5000,J$2))</f>
        <v/>
      </c>
    </row>
    <row r="23">
      <c r="A23" s="8" t="inlineStr">
        <is>
          <t>Argentina</t>
        </is>
      </c>
      <c r="B23" s="8" t="n">
        <v>2020</v>
      </c>
      <c r="C23" s="9">
        <f>IF(COUNTIFS(Datos!$A$2:$A$5000,C$1,Datos!$B$2:$B$5000,$A23,Datos!$C$2:$C$5000,$B23,Datos!$D$2:$D$5000,C$2)=0,"",SUMIFS(Datos!$E$2:$E$5000,Datos!$A$2:$A$5000,C$1,Datos!$B$2:$B$5000,$A23,Datos!$C$2:$C$5000,$B23,Datos!$D$2:$D$5000,C$2))</f>
        <v/>
      </c>
      <c r="D23" s="9">
        <f>IF(COUNTIFS(Datos!$A$2:$A$5000,D$1,Datos!$B$2:$B$5000,$A23,Datos!$C$2:$C$5000,$B23,Datos!$D$2:$D$5000,D$2)=0,"",SUMIFS(Datos!$E$2:$E$5000,Datos!$A$2:$A$5000,D$1,Datos!$B$2:$B$5000,$A23,Datos!$C$2:$C$5000,$B23,Datos!$D$2:$D$5000,D$2))</f>
        <v/>
      </c>
      <c r="E23" s="9">
        <f>IF(COUNTIFS(Datos!$A$2:$A$5000,E$1,Datos!$B$2:$B$5000,$A23,Datos!$C$2:$C$5000,$B23,Datos!$D$2:$D$5000,E$2)=0,"",SUMIFS(Datos!$E$2:$E$5000,Datos!$A$2:$A$5000,E$1,Datos!$B$2:$B$5000,$A23,Datos!$C$2:$C$5000,$B23,Datos!$D$2:$D$5000,E$2))</f>
        <v/>
      </c>
      <c r="F23" s="9">
        <f>IF(COUNTIFS(Datos!$A$2:$A$5000,F$1,Datos!$B$2:$B$5000,$A23,Datos!$C$2:$C$5000,$B23,Datos!$D$2:$D$5000,F$2)=0,"",SUMIFS(Datos!$E$2:$E$5000,Datos!$A$2:$A$5000,F$1,Datos!$B$2:$B$5000,$A23,Datos!$C$2:$C$5000,$B23,Datos!$D$2:$D$5000,F$2))</f>
        <v/>
      </c>
      <c r="G23" s="9">
        <f>IF(COUNTIFS(Datos!$A$2:$A$5000,G$1,Datos!$B$2:$B$5000,$A23,Datos!$C$2:$C$5000,$B23,Datos!$D$2:$D$5000,G$2)=0,"",SUMIFS(Datos!$E$2:$E$5000,Datos!$A$2:$A$5000,G$1,Datos!$B$2:$B$5000,$A23,Datos!$C$2:$C$5000,$B23,Datos!$D$2:$D$5000,G$2))</f>
        <v/>
      </c>
      <c r="H23" s="9">
        <f>IF(COUNTIFS(Datos!$A$2:$A$5000,H$1,Datos!$B$2:$B$5000,$A23,Datos!$C$2:$C$5000,$B23,Datos!$D$2:$D$5000,H$2)=0,"",SUMIFS(Datos!$E$2:$E$5000,Datos!$A$2:$A$5000,H$1,Datos!$B$2:$B$5000,$A23,Datos!$C$2:$C$5000,$B23,Datos!$D$2:$D$5000,H$2))</f>
        <v/>
      </c>
      <c r="I23" s="9">
        <f>IF(COUNTIFS(Datos!$A$2:$A$5000,I$1,Datos!$B$2:$B$5000,$A23,Datos!$C$2:$C$5000,$B23,Datos!$D$2:$D$5000,I$2)=0,"",SUMIFS(Datos!$E$2:$E$5000,Datos!$A$2:$A$5000,I$1,Datos!$B$2:$B$5000,$A23,Datos!$C$2:$C$5000,$B23,Datos!$D$2:$D$5000,I$2))</f>
        <v/>
      </c>
      <c r="J23" s="9">
        <f>IF(COUNTIFS(Datos!$A$2:$A$5000,J$1,Datos!$B$2:$B$5000,$A23,Datos!$C$2:$C$5000,$B23,Datos!$D$2:$D$5000,J$2)=0,"",SUMIFS(Datos!$E$2:$E$5000,Datos!$A$2:$A$5000,J$1,Datos!$B$2:$B$5000,$A23,Datos!$C$2:$C$5000,$B23,Datos!$D$2:$D$5000,J$2))</f>
        <v/>
      </c>
    </row>
    <row r="24">
      <c r="A24" s="8" t="inlineStr">
        <is>
          <t>Argentina</t>
        </is>
      </c>
      <c r="B24" s="8" t="n">
        <v>2024</v>
      </c>
      <c r="C24" s="9">
        <f>IF(COUNTIFS(Datos!$A$2:$A$5000,C$1,Datos!$B$2:$B$5000,$A24,Datos!$C$2:$C$5000,$B24,Datos!$D$2:$D$5000,C$2)=0,"",SUMIFS(Datos!$E$2:$E$5000,Datos!$A$2:$A$5000,C$1,Datos!$B$2:$B$5000,$A24,Datos!$C$2:$C$5000,$B24,Datos!$D$2:$D$5000,C$2))</f>
        <v/>
      </c>
      <c r="D24" s="9">
        <f>IF(COUNTIFS(Datos!$A$2:$A$5000,D$1,Datos!$B$2:$B$5000,$A24,Datos!$C$2:$C$5000,$B24,Datos!$D$2:$D$5000,D$2)=0,"",SUMIFS(Datos!$E$2:$E$5000,Datos!$A$2:$A$5000,D$1,Datos!$B$2:$B$5000,$A24,Datos!$C$2:$C$5000,$B24,Datos!$D$2:$D$5000,D$2))</f>
        <v/>
      </c>
      <c r="E24" s="9">
        <f>IF(COUNTIFS(Datos!$A$2:$A$5000,E$1,Datos!$B$2:$B$5000,$A24,Datos!$C$2:$C$5000,$B24,Datos!$D$2:$D$5000,E$2)=0,"",SUMIFS(Datos!$E$2:$E$5000,Datos!$A$2:$A$5000,E$1,Datos!$B$2:$B$5000,$A24,Datos!$C$2:$C$5000,$B24,Datos!$D$2:$D$5000,E$2))</f>
        <v/>
      </c>
      <c r="F24" s="9">
        <f>IF(COUNTIFS(Datos!$A$2:$A$5000,F$1,Datos!$B$2:$B$5000,$A24,Datos!$C$2:$C$5000,$B24,Datos!$D$2:$D$5000,F$2)=0,"",SUMIFS(Datos!$E$2:$E$5000,Datos!$A$2:$A$5000,F$1,Datos!$B$2:$B$5000,$A24,Datos!$C$2:$C$5000,$B24,Datos!$D$2:$D$5000,F$2))</f>
        <v/>
      </c>
      <c r="G24" s="9">
        <f>IF(COUNTIFS(Datos!$A$2:$A$5000,G$1,Datos!$B$2:$B$5000,$A24,Datos!$C$2:$C$5000,$B24,Datos!$D$2:$D$5000,G$2)=0,"",SUMIFS(Datos!$E$2:$E$5000,Datos!$A$2:$A$5000,G$1,Datos!$B$2:$B$5000,$A24,Datos!$C$2:$C$5000,$B24,Datos!$D$2:$D$5000,G$2))</f>
        <v/>
      </c>
      <c r="H24" s="9">
        <f>IF(COUNTIFS(Datos!$A$2:$A$5000,H$1,Datos!$B$2:$B$5000,$A24,Datos!$C$2:$C$5000,$B24,Datos!$D$2:$D$5000,H$2)=0,"",SUMIFS(Datos!$E$2:$E$5000,Datos!$A$2:$A$5000,H$1,Datos!$B$2:$B$5000,$A24,Datos!$C$2:$C$5000,$B24,Datos!$D$2:$D$5000,H$2))</f>
        <v/>
      </c>
      <c r="I24" s="9">
        <f>IF(COUNTIFS(Datos!$A$2:$A$5000,I$1,Datos!$B$2:$B$5000,$A24,Datos!$C$2:$C$5000,$B24,Datos!$D$2:$D$5000,I$2)=0,"",SUMIFS(Datos!$E$2:$E$5000,Datos!$A$2:$A$5000,I$1,Datos!$B$2:$B$5000,$A24,Datos!$C$2:$C$5000,$B24,Datos!$D$2:$D$5000,I$2))</f>
        <v/>
      </c>
      <c r="J24" s="9">
        <f>IF(COUNTIFS(Datos!$A$2:$A$5000,J$1,Datos!$B$2:$B$5000,$A24,Datos!$C$2:$C$5000,$B24,Datos!$D$2:$D$5000,J$2)=0,"",SUMIFS(Datos!$E$2:$E$5000,Datos!$A$2:$A$5000,J$1,Datos!$B$2:$B$5000,$A24,Datos!$C$2:$C$5000,$B24,Datos!$D$2:$D$5000,J$2))</f>
        <v/>
      </c>
    </row>
    <row r="25">
      <c r="A25" s="8" t="inlineStr">
        <is>
          <t>Bolivia</t>
        </is>
      </c>
      <c r="B25" s="8" t="n">
        <v>1996</v>
      </c>
      <c r="C25" s="9">
        <f>IF(COUNTIFS(Datos!$A$2:$A$5000,C$1,Datos!$B$2:$B$5000,$A25,Datos!$C$2:$C$5000,$B25,Datos!$D$2:$D$5000,C$2)=0,"",SUMIFS(Datos!$E$2:$E$5000,Datos!$A$2:$A$5000,C$1,Datos!$B$2:$B$5000,$A25,Datos!$C$2:$C$5000,$B25,Datos!$D$2:$D$5000,C$2))</f>
        <v/>
      </c>
      <c r="D25" s="9">
        <f>IF(COUNTIFS(Datos!$A$2:$A$5000,D$1,Datos!$B$2:$B$5000,$A25,Datos!$C$2:$C$5000,$B25,Datos!$D$2:$D$5000,D$2)=0,"",SUMIFS(Datos!$E$2:$E$5000,Datos!$A$2:$A$5000,D$1,Datos!$B$2:$B$5000,$A25,Datos!$C$2:$C$5000,$B25,Datos!$D$2:$D$5000,D$2))</f>
        <v/>
      </c>
      <c r="E25" s="9">
        <f>IF(COUNTIFS(Datos!$A$2:$A$5000,E$1,Datos!$B$2:$B$5000,$A25,Datos!$C$2:$C$5000,$B25,Datos!$D$2:$D$5000,E$2)=0,"",SUMIFS(Datos!$E$2:$E$5000,Datos!$A$2:$A$5000,E$1,Datos!$B$2:$B$5000,$A25,Datos!$C$2:$C$5000,$B25,Datos!$D$2:$D$5000,E$2))</f>
        <v/>
      </c>
      <c r="F25" s="9">
        <f>IF(COUNTIFS(Datos!$A$2:$A$5000,F$1,Datos!$B$2:$B$5000,$A25,Datos!$C$2:$C$5000,$B25,Datos!$D$2:$D$5000,F$2)=0,"",SUMIFS(Datos!$E$2:$E$5000,Datos!$A$2:$A$5000,F$1,Datos!$B$2:$B$5000,$A25,Datos!$C$2:$C$5000,$B25,Datos!$D$2:$D$5000,F$2))</f>
        <v/>
      </c>
      <c r="G25" s="9">
        <f>IF(COUNTIFS(Datos!$A$2:$A$5000,G$1,Datos!$B$2:$B$5000,$A25,Datos!$C$2:$C$5000,$B25,Datos!$D$2:$D$5000,G$2)=0,"",SUMIFS(Datos!$E$2:$E$5000,Datos!$A$2:$A$5000,G$1,Datos!$B$2:$B$5000,$A25,Datos!$C$2:$C$5000,$B25,Datos!$D$2:$D$5000,G$2))</f>
        <v/>
      </c>
      <c r="H25" s="9">
        <f>IF(COUNTIFS(Datos!$A$2:$A$5000,H$1,Datos!$B$2:$B$5000,$A25,Datos!$C$2:$C$5000,$B25,Datos!$D$2:$D$5000,H$2)=0,"",SUMIFS(Datos!$E$2:$E$5000,Datos!$A$2:$A$5000,H$1,Datos!$B$2:$B$5000,$A25,Datos!$C$2:$C$5000,$B25,Datos!$D$2:$D$5000,H$2))</f>
        <v/>
      </c>
      <c r="I25" s="9">
        <f>IF(COUNTIFS(Datos!$A$2:$A$5000,I$1,Datos!$B$2:$B$5000,$A25,Datos!$C$2:$C$5000,$B25,Datos!$D$2:$D$5000,I$2)=0,"",SUMIFS(Datos!$E$2:$E$5000,Datos!$A$2:$A$5000,I$1,Datos!$B$2:$B$5000,$A25,Datos!$C$2:$C$5000,$B25,Datos!$D$2:$D$5000,I$2))</f>
        <v/>
      </c>
      <c r="J25" s="9">
        <f>IF(COUNTIFS(Datos!$A$2:$A$5000,J$1,Datos!$B$2:$B$5000,$A25,Datos!$C$2:$C$5000,$B25,Datos!$D$2:$D$5000,J$2)=0,"",SUMIFS(Datos!$E$2:$E$5000,Datos!$A$2:$A$5000,J$1,Datos!$B$2:$B$5000,$A25,Datos!$C$2:$C$5000,$B25,Datos!$D$2:$D$5000,J$2))</f>
        <v/>
      </c>
    </row>
    <row r="26">
      <c r="A26" s="8" t="inlineStr">
        <is>
          <t>Bolivia</t>
        </is>
      </c>
      <c r="B26" s="8" t="n">
        <v>1997</v>
      </c>
      <c r="C26" s="9">
        <f>IF(COUNTIFS(Datos!$A$2:$A$5000,C$1,Datos!$B$2:$B$5000,$A26,Datos!$C$2:$C$5000,$B26,Datos!$D$2:$D$5000,C$2)=0,"",SUMIFS(Datos!$E$2:$E$5000,Datos!$A$2:$A$5000,C$1,Datos!$B$2:$B$5000,$A26,Datos!$C$2:$C$5000,$B26,Datos!$D$2:$D$5000,C$2))</f>
        <v/>
      </c>
      <c r="D26" s="9">
        <f>IF(COUNTIFS(Datos!$A$2:$A$5000,D$1,Datos!$B$2:$B$5000,$A26,Datos!$C$2:$C$5000,$B26,Datos!$D$2:$D$5000,D$2)=0,"",SUMIFS(Datos!$E$2:$E$5000,Datos!$A$2:$A$5000,D$1,Datos!$B$2:$B$5000,$A26,Datos!$C$2:$C$5000,$B26,Datos!$D$2:$D$5000,D$2))</f>
        <v/>
      </c>
      <c r="E26" s="9">
        <f>IF(COUNTIFS(Datos!$A$2:$A$5000,E$1,Datos!$B$2:$B$5000,$A26,Datos!$C$2:$C$5000,$B26,Datos!$D$2:$D$5000,E$2)=0,"",SUMIFS(Datos!$E$2:$E$5000,Datos!$A$2:$A$5000,E$1,Datos!$B$2:$B$5000,$A26,Datos!$C$2:$C$5000,$B26,Datos!$D$2:$D$5000,E$2))</f>
        <v/>
      </c>
      <c r="F26" s="9">
        <f>IF(COUNTIFS(Datos!$A$2:$A$5000,F$1,Datos!$B$2:$B$5000,$A26,Datos!$C$2:$C$5000,$B26,Datos!$D$2:$D$5000,F$2)=0,"",SUMIFS(Datos!$E$2:$E$5000,Datos!$A$2:$A$5000,F$1,Datos!$B$2:$B$5000,$A26,Datos!$C$2:$C$5000,$B26,Datos!$D$2:$D$5000,F$2))</f>
        <v/>
      </c>
      <c r="G26" s="9">
        <f>IF(COUNTIFS(Datos!$A$2:$A$5000,G$1,Datos!$B$2:$B$5000,$A26,Datos!$C$2:$C$5000,$B26,Datos!$D$2:$D$5000,G$2)=0,"",SUMIFS(Datos!$E$2:$E$5000,Datos!$A$2:$A$5000,G$1,Datos!$B$2:$B$5000,$A26,Datos!$C$2:$C$5000,$B26,Datos!$D$2:$D$5000,G$2))</f>
        <v/>
      </c>
      <c r="H26" s="9">
        <f>IF(COUNTIFS(Datos!$A$2:$A$5000,H$1,Datos!$B$2:$B$5000,$A26,Datos!$C$2:$C$5000,$B26,Datos!$D$2:$D$5000,H$2)=0,"",SUMIFS(Datos!$E$2:$E$5000,Datos!$A$2:$A$5000,H$1,Datos!$B$2:$B$5000,$A26,Datos!$C$2:$C$5000,$B26,Datos!$D$2:$D$5000,H$2))</f>
        <v/>
      </c>
      <c r="I26" s="9">
        <f>IF(COUNTIFS(Datos!$A$2:$A$5000,I$1,Datos!$B$2:$B$5000,$A26,Datos!$C$2:$C$5000,$B26,Datos!$D$2:$D$5000,I$2)=0,"",SUMIFS(Datos!$E$2:$E$5000,Datos!$A$2:$A$5000,I$1,Datos!$B$2:$B$5000,$A26,Datos!$C$2:$C$5000,$B26,Datos!$D$2:$D$5000,I$2))</f>
        <v/>
      </c>
      <c r="J26" s="9">
        <f>IF(COUNTIFS(Datos!$A$2:$A$5000,J$1,Datos!$B$2:$B$5000,$A26,Datos!$C$2:$C$5000,$B26,Datos!$D$2:$D$5000,J$2)=0,"",SUMIFS(Datos!$E$2:$E$5000,Datos!$A$2:$A$5000,J$1,Datos!$B$2:$B$5000,$A26,Datos!$C$2:$C$5000,$B26,Datos!$D$2:$D$5000,J$2))</f>
        <v/>
      </c>
    </row>
    <row r="27">
      <c r="A27" s="8" t="inlineStr">
        <is>
          <t>Bolivia</t>
        </is>
      </c>
      <c r="B27" s="8" t="n">
        <v>1998</v>
      </c>
      <c r="C27" s="9">
        <f>IF(COUNTIFS(Datos!$A$2:$A$5000,C$1,Datos!$B$2:$B$5000,$A27,Datos!$C$2:$C$5000,$B27,Datos!$D$2:$D$5000,C$2)=0,"",SUMIFS(Datos!$E$2:$E$5000,Datos!$A$2:$A$5000,C$1,Datos!$B$2:$B$5000,$A27,Datos!$C$2:$C$5000,$B27,Datos!$D$2:$D$5000,C$2))</f>
        <v/>
      </c>
      <c r="D27" s="9">
        <f>IF(COUNTIFS(Datos!$A$2:$A$5000,D$1,Datos!$B$2:$B$5000,$A27,Datos!$C$2:$C$5000,$B27,Datos!$D$2:$D$5000,D$2)=0,"",SUMIFS(Datos!$E$2:$E$5000,Datos!$A$2:$A$5000,D$1,Datos!$B$2:$B$5000,$A27,Datos!$C$2:$C$5000,$B27,Datos!$D$2:$D$5000,D$2))</f>
        <v/>
      </c>
      <c r="E27" s="9">
        <f>IF(COUNTIFS(Datos!$A$2:$A$5000,E$1,Datos!$B$2:$B$5000,$A27,Datos!$C$2:$C$5000,$B27,Datos!$D$2:$D$5000,E$2)=0,"",SUMIFS(Datos!$E$2:$E$5000,Datos!$A$2:$A$5000,E$1,Datos!$B$2:$B$5000,$A27,Datos!$C$2:$C$5000,$B27,Datos!$D$2:$D$5000,E$2))</f>
        <v/>
      </c>
      <c r="F27" s="9">
        <f>IF(COUNTIFS(Datos!$A$2:$A$5000,F$1,Datos!$B$2:$B$5000,$A27,Datos!$C$2:$C$5000,$B27,Datos!$D$2:$D$5000,F$2)=0,"",SUMIFS(Datos!$E$2:$E$5000,Datos!$A$2:$A$5000,F$1,Datos!$B$2:$B$5000,$A27,Datos!$C$2:$C$5000,$B27,Datos!$D$2:$D$5000,F$2))</f>
        <v/>
      </c>
      <c r="G27" s="9">
        <f>IF(COUNTIFS(Datos!$A$2:$A$5000,G$1,Datos!$B$2:$B$5000,$A27,Datos!$C$2:$C$5000,$B27,Datos!$D$2:$D$5000,G$2)=0,"",SUMIFS(Datos!$E$2:$E$5000,Datos!$A$2:$A$5000,G$1,Datos!$B$2:$B$5000,$A27,Datos!$C$2:$C$5000,$B27,Datos!$D$2:$D$5000,G$2))</f>
        <v/>
      </c>
      <c r="H27" s="9">
        <f>IF(COUNTIFS(Datos!$A$2:$A$5000,H$1,Datos!$B$2:$B$5000,$A27,Datos!$C$2:$C$5000,$B27,Datos!$D$2:$D$5000,H$2)=0,"",SUMIFS(Datos!$E$2:$E$5000,Datos!$A$2:$A$5000,H$1,Datos!$B$2:$B$5000,$A27,Datos!$C$2:$C$5000,$B27,Datos!$D$2:$D$5000,H$2))</f>
        <v/>
      </c>
      <c r="I27" s="9">
        <f>IF(COUNTIFS(Datos!$A$2:$A$5000,I$1,Datos!$B$2:$B$5000,$A27,Datos!$C$2:$C$5000,$B27,Datos!$D$2:$D$5000,I$2)=0,"",SUMIFS(Datos!$E$2:$E$5000,Datos!$A$2:$A$5000,I$1,Datos!$B$2:$B$5000,$A27,Datos!$C$2:$C$5000,$B27,Datos!$D$2:$D$5000,I$2))</f>
        <v/>
      </c>
      <c r="J27" s="9">
        <f>IF(COUNTIFS(Datos!$A$2:$A$5000,J$1,Datos!$B$2:$B$5000,$A27,Datos!$C$2:$C$5000,$B27,Datos!$D$2:$D$5000,J$2)=0,"",SUMIFS(Datos!$E$2:$E$5000,Datos!$A$2:$A$5000,J$1,Datos!$B$2:$B$5000,$A27,Datos!$C$2:$C$5000,$B27,Datos!$D$2:$D$5000,J$2))</f>
        <v/>
      </c>
    </row>
    <row r="28">
      <c r="A28" s="8" t="inlineStr">
        <is>
          <t>Bolivia</t>
        </is>
      </c>
      <c r="B28" s="8" t="n">
        <v>2000</v>
      </c>
      <c r="C28" s="9">
        <f>IF(COUNTIFS(Datos!$A$2:$A$5000,C$1,Datos!$B$2:$B$5000,$A28,Datos!$C$2:$C$5000,$B28,Datos!$D$2:$D$5000,C$2)=0,"",SUMIFS(Datos!$E$2:$E$5000,Datos!$A$2:$A$5000,C$1,Datos!$B$2:$B$5000,$A28,Datos!$C$2:$C$5000,$B28,Datos!$D$2:$D$5000,C$2))</f>
        <v/>
      </c>
      <c r="D28" s="9">
        <f>IF(COUNTIFS(Datos!$A$2:$A$5000,D$1,Datos!$B$2:$B$5000,$A28,Datos!$C$2:$C$5000,$B28,Datos!$D$2:$D$5000,D$2)=0,"",SUMIFS(Datos!$E$2:$E$5000,Datos!$A$2:$A$5000,D$1,Datos!$B$2:$B$5000,$A28,Datos!$C$2:$C$5000,$B28,Datos!$D$2:$D$5000,D$2))</f>
        <v/>
      </c>
      <c r="E28" s="9">
        <f>IF(COUNTIFS(Datos!$A$2:$A$5000,E$1,Datos!$B$2:$B$5000,$A28,Datos!$C$2:$C$5000,$B28,Datos!$D$2:$D$5000,E$2)=0,"",SUMIFS(Datos!$E$2:$E$5000,Datos!$A$2:$A$5000,E$1,Datos!$B$2:$B$5000,$A28,Datos!$C$2:$C$5000,$B28,Datos!$D$2:$D$5000,E$2))</f>
        <v/>
      </c>
      <c r="F28" s="9">
        <f>IF(COUNTIFS(Datos!$A$2:$A$5000,F$1,Datos!$B$2:$B$5000,$A28,Datos!$C$2:$C$5000,$B28,Datos!$D$2:$D$5000,F$2)=0,"",SUMIFS(Datos!$E$2:$E$5000,Datos!$A$2:$A$5000,F$1,Datos!$B$2:$B$5000,$A28,Datos!$C$2:$C$5000,$B28,Datos!$D$2:$D$5000,F$2))</f>
        <v/>
      </c>
      <c r="G28" s="9">
        <f>IF(COUNTIFS(Datos!$A$2:$A$5000,G$1,Datos!$B$2:$B$5000,$A28,Datos!$C$2:$C$5000,$B28,Datos!$D$2:$D$5000,G$2)=0,"",SUMIFS(Datos!$E$2:$E$5000,Datos!$A$2:$A$5000,G$1,Datos!$B$2:$B$5000,$A28,Datos!$C$2:$C$5000,$B28,Datos!$D$2:$D$5000,G$2))</f>
        <v/>
      </c>
      <c r="H28" s="9">
        <f>IF(COUNTIFS(Datos!$A$2:$A$5000,H$1,Datos!$B$2:$B$5000,$A28,Datos!$C$2:$C$5000,$B28,Datos!$D$2:$D$5000,H$2)=0,"",SUMIFS(Datos!$E$2:$E$5000,Datos!$A$2:$A$5000,H$1,Datos!$B$2:$B$5000,$A28,Datos!$C$2:$C$5000,$B28,Datos!$D$2:$D$5000,H$2))</f>
        <v/>
      </c>
      <c r="I28" s="9">
        <f>IF(COUNTIFS(Datos!$A$2:$A$5000,I$1,Datos!$B$2:$B$5000,$A28,Datos!$C$2:$C$5000,$B28,Datos!$D$2:$D$5000,I$2)=0,"",SUMIFS(Datos!$E$2:$E$5000,Datos!$A$2:$A$5000,I$1,Datos!$B$2:$B$5000,$A28,Datos!$C$2:$C$5000,$B28,Datos!$D$2:$D$5000,I$2))</f>
        <v/>
      </c>
      <c r="J28" s="9">
        <f>IF(COUNTIFS(Datos!$A$2:$A$5000,J$1,Datos!$B$2:$B$5000,$A28,Datos!$C$2:$C$5000,$B28,Datos!$D$2:$D$5000,J$2)=0,"",SUMIFS(Datos!$E$2:$E$5000,Datos!$A$2:$A$5000,J$1,Datos!$B$2:$B$5000,$A28,Datos!$C$2:$C$5000,$B28,Datos!$D$2:$D$5000,J$2))</f>
        <v/>
      </c>
    </row>
    <row r="29">
      <c r="A29" s="8" t="inlineStr">
        <is>
          <t>Bolivia</t>
        </is>
      </c>
      <c r="B29" s="8" t="n">
        <v>2001</v>
      </c>
      <c r="C29" s="9">
        <f>IF(COUNTIFS(Datos!$A$2:$A$5000,C$1,Datos!$B$2:$B$5000,$A29,Datos!$C$2:$C$5000,$B29,Datos!$D$2:$D$5000,C$2)=0,"",SUMIFS(Datos!$E$2:$E$5000,Datos!$A$2:$A$5000,C$1,Datos!$B$2:$B$5000,$A29,Datos!$C$2:$C$5000,$B29,Datos!$D$2:$D$5000,C$2))</f>
        <v/>
      </c>
      <c r="D29" s="9">
        <f>IF(COUNTIFS(Datos!$A$2:$A$5000,D$1,Datos!$B$2:$B$5000,$A29,Datos!$C$2:$C$5000,$B29,Datos!$D$2:$D$5000,D$2)=0,"",SUMIFS(Datos!$E$2:$E$5000,Datos!$A$2:$A$5000,D$1,Datos!$B$2:$B$5000,$A29,Datos!$C$2:$C$5000,$B29,Datos!$D$2:$D$5000,D$2))</f>
        <v/>
      </c>
      <c r="E29" s="9">
        <f>IF(COUNTIFS(Datos!$A$2:$A$5000,E$1,Datos!$B$2:$B$5000,$A29,Datos!$C$2:$C$5000,$B29,Datos!$D$2:$D$5000,E$2)=0,"",SUMIFS(Datos!$E$2:$E$5000,Datos!$A$2:$A$5000,E$1,Datos!$B$2:$B$5000,$A29,Datos!$C$2:$C$5000,$B29,Datos!$D$2:$D$5000,E$2))</f>
        <v/>
      </c>
      <c r="F29" s="9">
        <f>IF(COUNTIFS(Datos!$A$2:$A$5000,F$1,Datos!$B$2:$B$5000,$A29,Datos!$C$2:$C$5000,$B29,Datos!$D$2:$D$5000,F$2)=0,"",SUMIFS(Datos!$E$2:$E$5000,Datos!$A$2:$A$5000,F$1,Datos!$B$2:$B$5000,$A29,Datos!$C$2:$C$5000,$B29,Datos!$D$2:$D$5000,F$2))</f>
        <v/>
      </c>
      <c r="G29" s="9">
        <f>IF(COUNTIFS(Datos!$A$2:$A$5000,G$1,Datos!$B$2:$B$5000,$A29,Datos!$C$2:$C$5000,$B29,Datos!$D$2:$D$5000,G$2)=0,"",SUMIFS(Datos!$E$2:$E$5000,Datos!$A$2:$A$5000,G$1,Datos!$B$2:$B$5000,$A29,Datos!$C$2:$C$5000,$B29,Datos!$D$2:$D$5000,G$2))</f>
        <v/>
      </c>
      <c r="H29" s="9">
        <f>IF(COUNTIFS(Datos!$A$2:$A$5000,H$1,Datos!$B$2:$B$5000,$A29,Datos!$C$2:$C$5000,$B29,Datos!$D$2:$D$5000,H$2)=0,"",SUMIFS(Datos!$E$2:$E$5000,Datos!$A$2:$A$5000,H$1,Datos!$B$2:$B$5000,$A29,Datos!$C$2:$C$5000,$B29,Datos!$D$2:$D$5000,H$2))</f>
        <v/>
      </c>
      <c r="I29" s="9">
        <f>IF(COUNTIFS(Datos!$A$2:$A$5000,I$1,Datos!$B$2:$B$5000,$A29,Datos!$C$2:$C$5000,$B29,Datos!$D$2:$D$5000,I$2)=0,"",SUMIFS(Datos!$E$2:$E$5000,Datos!$A$2:$A$5000,I$1,Datos!$B$2:$B$5000,$A29,Datos!$C$2:$C$5000,$B29,Datos!$D$2:$D$5000,I$2))</f>
        <v/>
      </c>
      <c r="J29" s="9">
        <f>IF(COUNTIFS(Datos!$A$2:$A$5000,J$1,Datos!$B$2:$B$5000,$A29,Datos!$C$2:$C$5000,$B29,Datos!$D$2:$D$5000,J$2)=0,"",SUMIFS(Datos!$E$2:$E$5000,Datos!$A$2:$A$5000,J$1,Datos!$B$2:$B$5000,$A29,Datos!$C$2:$C$5000,$B29,Datos!$D$2:$D$5000,J$2))</f>
        <v/>
      </c>
    </row>
    <row r="30">
      <c r="A30" s="8" t="inlineStr">
        <is>
          <t>Bolivia</t>
        </is>
      </c>
      <c r="B30" s="8" t="n">
        <v>2002</v>
      </c>
      <c r="C30" s="9">
        <f>IF(COUNTIFS(Datos!$A$2:$A$5000,C$1,Datos!$B$2:$B$5000,$A30,Datos!$C$2:$C$5000,$B30,Datos!$D$2:$D$5000,C$2)=0,"",SUMIFS(Datos!$E$2:$E$5000,Datos!$A$2:$A$5000,C$1,Datos!$B$2:$B$5000,$A30,Datos!$C$2:$C$5000,$B30,Datos!$D$2:$D$5000,C$2))</f>
        <v/>
      </c>
      <c r="D30" s="9">
        <f>IF(COUNTIFS(Datos!$A$2:$A$5000,D$1,Datos!$B$2:$B$5000,$A30,Datos!$C$2:$C$5000,$B30,Datos!$D$2:$D$5000,D$2)=0,"",SUMIFS(Datos!$E$2:$E$5000,Datos!$A$2:$A$5000,D$1,Datos!$B$2:$B$5000,$A30,Datos!$C$2:$C$5000,$B30,Datos!$D$2:$D$5000,D$2))</f>
        <v/>
      </c>
      <c r="E30" s="9">
        <f>IF(COUNTIFS(Datos!$A$2:$A$5000,E$1,Datos!$B$2:$B$5000,$A30,Datos!$C$2:$C$5000,$B30,Datos!$D$2:$D$5000,E$2)=0,"",SUMIFS(Datos!$E$2:$E$5000,Datos!$A$2:$A$5000,E$1,Datos!$B$2:$B$5000,$A30,Datos!$C$2:$C$5000,$B30,Datos!$D$2:$D$5000,E$2))</f>
        <v/>
      </c>
      <c r="F30" s="9">
        <f>IF(COUNTIFS(Datos!$A$2:$A$5000,F$1,Datos!$B$2:$B$5000,$A30,Datos!$C$2:$C$5000,$B30,Datos!$D$2:$D$5000,F$2)=0,"",SUMIFS(Datos!$E$2:$E$5000,Datos!$A$2:$A$5000,F$1,Datos!$B$2:$B$5000,$A30,Datos!$C$2:$C$5000,$B30,Datos!$D$2:$D$5000,F$2))</f>
        <v/>
      </c>
      <c r="G30" s="9">
        <f>IF(COUNTIFS(Datos!$A$2:$A$5000,G$1,Datos!$B$2:$B$5000,$A30,Datos!$C$2:$C$5000,$B30,Datos!$D$2:$D$5000,G$2)=0,"",SUMIFS(Datos!$E$2:$E$5000,Datos!$A$2:$A$5000,G$1,Datos!$B$2:$B$5000,$A30,Datos!$C$2:$C$5000,$B30,Datos!$D$2:$D$5000,G$2))</f>
        <v/>
      </c>
      <c r="H30" s="9">
        <f>IF(COUNTIFS(Datos!$A$2:$A$5000,H$1,Datos!$B$2:$B$5000,$A30,Datos!$C$2:$C$5000,$B30,Datos!$D$2:$D$5000,H$2)=0,"",SUMIFS(Datos!$E$2:$E$5000,Datos!$A$2:$A$5000,H$1,Datos!$B$2:$B$5000,$A30,Datos!$C$2:$C$5000,$B30,Datos!$D$2:$D$5000,H$2))</f>
        <v/>
      </c>
      <c r="I30" s="9">
        <f>IF(COUNTIFS(Datos!$A$2:$A$5000,I$1,Datos!$B$2:$B$5000,$A30,Datos!$C$2:$C$5000,$B30,Datos!$D$2:$D$5000,I$2)=0,"",SUMIFS(Datos!$E$2:$E$5000,Datos!$A$2:$A$5000,I$1,Datos!$B$2:$B$5000,$A30,Datos!$C$2:$C$5000,$B30,Datos!$D$2:$D$5000,I$2))</f>
        <v/>
      </c>
      <c r="J30" s="9">
        <f>IF(COUNTIFS(Datos!$A$2:$A$5000,J$1,Datos!$B$2:$B$5000,$A30,Datos!$C$2:$C$5000,$B30,Datos!$D$2:$D$5000,J$2)=0,"",SUMIFS(Datos!$E$2:$E$5000,Datos!$A$2:$A$5000,J$1,Datos!$B$2:$B$5000,$A30,Datos!$C$2:$C$5000,$B30,Datos!$D$2:$D$5000,J$2))</f>
        <v/>
      </c>
    </row>
    <row r="31">
      <c r="A31" s="8" t="inlineStr">
        <is>
          <t>Bolivia</t>
        </is>
      </c>
      <c r="B31" s="8" t="n">
        <v>2003</v>
      </c>
      <c r="C31" s="9">
        <f>IF(COUNTIFS(Datos!$A$2:$A$5000,C$1,Datos!$B$2:$B$5000,$A31,Datos!$C$2:$C$5000,$B31,Datos!$D$2:$D$5000,C$2)=0,"",SUMIFS(Datos!$E$2:$E$5000,Datos!$A$2:$A$5000,C$1,Datos!$B$2:$B$5000,$A31,Datos!$C$2:$C$5000,$B31,Datos!$D$2:$D$5000,C$2))</f>
        <v/>
      </c>
      <c r="D31" s="9">
        <f>IF(COUNTIFS(Datos!$A$2:$A$5000,D$1,Datos!$B$2:$B$5000,$A31,Datos!$C$2:$C$5000,$B31,Datos!$D$2:$D$5000,D$2)=0,"",SUMIFS(Datos!$E$2:$E$5000,Datos!$A$2:$A$5000,D$1,Datos!$B$2:$B$5000,$A31,Datos!$C$2:$C$5000,$B31,Datos!$D$2:$D$5000,D$2))</f>
        <v/>
      </c>
      <c r="E31" s="9">
        <f>IF(COUNTIFS(Datos!$A$2:$A$5000,E$1,Datos!$B$2:$B$5000,$A31,Datos!$C$2:$C$5000,$B31,Datos!$D$2:$D$5000,E$2)=0,"",SUMIFS(Datos!$E$2:$E$5000,Datos!$A$2:$A$5000,E$1,Datos!$B$2:$B$5000,$A31,Datos!$C$2:$C$5000,$B31,Datos!$D$2:$D$5000,E$2))</f>
        <v/>
      </c>
      <c r="F31" s="9">
        <f>IF(COUNTIFS(Datos!$A$2:$A$5000,F$1,Datos!$B$2:$B$5000,$A31,Datos!$C$2:$C$5000,$B31,Datos!$D$2:$D$5000,F$2)=0,"",SUMIFS(Datos!$E$2:$E$5000,Datos!$A$2:$A$5000,F$1,Datos!$B$2:$B$5000,$A31,Datos!$C$2:$C$5000,$B31,Datos!$D$2:$D$5000,F$2))</f>
        <v/>
      </c>
      <c r="G31" s="9">
        <f>IF(COUNTIFS(Datos!$A$2:$A$5000,G$1,Datos!$B$2:$B$5000,$A31,Datos!$C$2:$C$5000,$B31,Datos!$D$2:$D$5000,G$2)=0,"",SUMIFS(Datos!$E$2:$E$5000,Datos!$A$2:$A$5000,G$1,Datos!$B$2:$B$5000,$A31,Datos!$C$2:$C$5000,$B31,Datos!$D$2:$D$5000,G$2))</f>
        <v/>
      </c>
      <c r="H31" s="9">
        <f>IF(COUNTIFS(Datos!$A$2:$A$5000,H$1,Datos!$B$2:$B$5000,$A31,Datos!$C$2:$C$5000,$B31,Datos!$D$2:$D$5000,H$2)=0,"",SUMIFS(Datos!$E$2:$E$5000,Datos!$A$2:$A$5000,H$1,Datos!$B$2:$B$5000,$A31,Datos!$C$2:$C$5000,$B31,Datos!$D$2:$D$5000,H$2))</f>
        <v/>
      </c>
      <c r="I31" s="9">
        <f>IF(COUNTIFS(Datos!$A$2:$A$5000,I$1,Datos!$B$2:$B$5000,$A31,Datos!$C$2:$C$5000,$B31,Datos!$D$2:$D$5000,I$2)=0,"",SUMIFS(Datos!$E$2:$E$5000,Datos!$A$2:$A$5000,I$1,Datos!$B$2:$B$5000,$A31,Datos!$C$2:$C$5000,$B31,Datos!$D$2:$D$5000,I$2))</f>
        <v/>
      </c>
      <c r="J31" s="9">
        <f>IF(COUNTIFS(Datos!$A$2:$A$5000,J$1,Datos!$B$2:$B$5000,$A31,Datos!$C$2:$C$5000,$B31,Datos!$D$2:$D$5000,J$2)=0,"",SUMIFS(Datos!$E$2:$E$5000,Datos!$A$2:$A$5000,J$1,Datos!$B$2:$B$5000,$A31,Datos!$C$2:$C$5000,$B31,Datos!$D$2:$D$5000,J$2))</f>
        <v/>
      </c>
    </row>
    <row r="32">
      <c r="A32" s="8" t="inlineStr">
        <is>
          <t>Bolivia</t>
        </is>
      </c>
      <c r="B32" s="8" t="n">
        <v>2004</v>
      </c>
      <c r="C32" s="9">
        <f>IF(COUNTIFS(Datos!$A$2:$A$5000,C$1,Datos!$B$2:$B$5000,$A32,Datos!$C$2:$C$5000,$B32,Datos!$D$2:$D$5000,C$2)=0,"",SUMIFS(Datos!$E$2:$E$5000,Datos!$A$2:$A$5000,C$1,Datos!$B$2:$B$5000,$A32,Datos!$C$2:$C$5000,$B32,Datos!$D$2:$D$5000,C$2))</f>
        <v/>
      </c>
      <c r="D32" s="9">
        <f>IF(COUNTIFS(Datos!$A$2:$A$5000,D$1,Datos!$B$2:$B$5000,$A32,Datos!$C$2:$C$5000,$B32,Datos!$D$2:$D$5000,D$2)=0,"",SUMIFS(Datos!$E$2:$E$5000,Datos!$A$2:$A$5000,D$1,Datos!$B$2:$B$5000,$A32,Datos!$C$2:$C$5000,$B32,Datos!$D$2:$D$5000,D$2))</f>
        <v/>
      </c>
      <c r="E32" s="9">
        <f>IF(COUNTIFS(Datos!$A$2:$A$5000,E$1,Datos!$B$2:$B$5000,$A32,Datos!$C$2:$C$5000,$B32,Datos!$D$2:$D$5000,E$2)=0,"",SUMIFS(Datos!$E$2:$E$5000,Datos!$A$2:$A$5000,E$1,Datos!$B$2:$B$5000,$A32,Datos!$C$2:$C$5000,$B32,Datos!$D$2:$D$5000,E$2))</f>
        <v/>
      </c>
      <c r="F32" s="9">
        <f>IF(COUNTIFS(Datos!$A$2:$A$5000,F$1,Datos!$B$2:$B$5000,$A32,Datos!$C$2:$C$5000,$B32,Datos!$D$2:$D$5000,F$2)=0,"",SUMIFS(Datos!$E$2:$E$5000,Datos!$A$2:$A$5000,F$1,Datos!$B$2:$B$5000,$A32,Datos!$C$2:$C$5000,$B32,Datos!$D$2:$D$5000,F$2))</f>
        <v/>
      </c>
      <c r="G32" s="9">
        <f>IF(COUNTIFS(Datos!$A$2:$A$5000,G$1,Datos!$B$2:$B$5000,$A32,Datos!$C$2:$C$5000,$B32,Datos!$D$2:$D$5000,G$2)=0,"",SUMIFS(Datos!$E$2:$E$5000,Datos!$A$2:$A$5000,G$1,Datos!$B$2:$B$5000,$A32,Datos!$C$2:$C$5000,$B32,Datos!$D$2:$D$5000,G$2))</f>
        <v/>
      </c>
      <c r="H32" s="9">
        <f>IF(COUNTIFS(Datos!$A$2:$A$5000,H$1,Datos!$B$2:$B$5000,$A32,Datos!$C$2:$C$5000,$B32,Datos!$D$2:$D$5000,H$2)=0,"",SUMIFS(Datos!$E$2:$E$5000,Datos!$A$2:$A$5000,H$1,Datos!$B$2:$B$5000,$A32,Datos!$C$2:$C$5000,$B32,Datos!$D$2:$D$5000,H$2))</f>
        <v/>
      </c>
      <c r="I32" s="9">
        <f>IF(COUNTIFS(Datos!$A$2:$A$5000,I$1,Datos!$B$2:$B$5000,$A32,Datos!$C$2:$C$5000,$B32,Datos!$D$2:$D$5000,I$2)=0,"",SUMIFS(Datos!$E$2:$E$5000,Datos!$A$2:$A$5000,I$1,Datos!$B$2:$B$5000,$A32,Datos!$C$2:$C$5000,$B32,Datos!$D$2:$D$5000,I$2))</f>
        <v/>
      </c>
      <c r="J32" s="9">
        <f>IF(COUNTIFS(Datos!$A$2:$A$5000,J$1,Datos!$B$2:$B$5000,$A32,Datos!$C$2:$C$5000,$B32,Datos!$D$2:$D$5000,J$2)=0,"",SUMIFS(Datos!$E$2:$E$5000,Datos!$A$2:$A$5000,J$1,Datos!$B$2:$B$5000,$A32,Datos!$C$2:$C$5000,$B32,Datos!$D$2:$D$5000,J$2))</f>
        <v/>
      </c>
    </row>
    <row r="33">
      <c r="A33" s="8" t="inlineStr">
        <is>
          <t>Bolivia</t>
        </is>
      </c>
      <c r="B33" s="8" t="n">
        <v>2005</v>
      </c>
      <c r="C33" s="9">
        <f>IF(COUNTIFS(Datos!$A$2:$A$5000,C$1,Datos!$B$2:$B$5000,$A33,Datos!$C$2:$C$5000,$B33,Datos!$D$2:$D$5000,C$2)=0,"",SUMIFS(Datos!$E$2:$E$5000,Datos!$A$2:$A$5000,C$1,Datos!$B$2:$B$5000,$A33,Datos!$C$2:$C$5000,$B33,Datos!$D$2:$D$5000,C$2))</f>
        <v/>
      </c>
      <c r="D33" s="9">
        <f>IF(COUNTIFS(Datos!$A$2:$A$5000,D$1,Datos!$B$2:$B$5000,$A33,Datos!$C$2:$C$5000,$B33,Datos!$D$2:$D$5000,D$2)=0,"",SUMIFS(Datos!$E$2:$E$5000,Datos!$A$2:$A$5000,D$1,Datos!$B$2:$B$5000,$A33,Datos!$C$2:$C$5000,$B33,Datos!$D$2:$D$5000,D$2))</f>
        <v/>
      </c>
      <c r="E33" s="9">
        <f>IF(COUNTIFS(Datos!$A$2:$A$5000,E$1,Datos!$B$2:$B$5000,$A33,Datos!$C$2:$C$5000,$B33,Datos!$D$2:$D$5000,E$2)=0,"",SUMIFS(Datos!$E$2:$E$5000,Datos!$A$2:$A$5000,E$1,Datos!$B$2:$B$5000,$A33,Datos!$C$2:$C$5000,$B33,Datos!$D$2:$D$5000,E$2))</f>
        <v/>
      </c>
      <c r="F33" s="9">
        <f>IF(COUNTIFS(Datos!$A$2:$A$5000,F$1,Datos!$B$2:$B$5000,$A33,Datos!$C$2:$C$5000,$B33,Datos!$D$2:$D$5000,F$2)=0,"",SUMIFS(Datos!$E$2:$E$5000,Datos!$A$2:$A$5000,F$1,Datos!$B$2:$B$5000,$A33,Datos!$C$2:$C$5000,$B33,Datos!$D$2:$D$5000,F$2))</f>
        <v/>
      </c>
      <c r="G33" s="9">
        <f>IF(COUNTIFS(Datos!$A$2:$A$5000,G$1,Datos!$B$2:$B$5000,$A33,Datos!$C$2:$C$5000,$B33,Datos!$D$2:$D$5000,G$2)=0,"",SUMIFS(Datos!$E$2:$E$5000,Datos!$A$2:$A$5000,G$1,Datos!$B$2:$B$5000,$A33,Datos!$C$2:$C$5000,$B33,Datos!$D$2:$D$5000,G$2))</f>
        <v/>
      </c>
      <c r="H33" s="9">
        <f>IF(COUNTIFS(Datos!$A$2:$A$5000,H$1,Datos!$B$2:$B$5000,$A33,Datos!$C$2:$C$5000,$B33,Datos!$D$2:$D$5000,H$2)=0,"",SUMIFS(Datos!$E$2:$E$5000,Datos!$A$2:$A$5000,H$1,Datos!$B$2:$B$5000,$A33,Datos!$C$2:$C$5000,$B33,Datos!$D$2:$D$5000,H$2))</f>
        <v/>
      </c>
      <c r="I33" s="9">
        <f>IF(COUNTIFS(Datos!$A$2:$A$5000,I$1,Datos!$B$2:$B$5000,$A33,Datos!$C$2:$C$5000,$B33,Datos!$D$2:$D$5000,I$2)=0,"",SUMIFS(Datos!$E$2:$E$5000,Datos!$A$2:$A$5000,I$1,Datos!$B$2:$B$5000,$A33,Datos!$C$2:$C$5000,$B33,Datos!$D$2:$D$5000,I$2))</f>
        <v/>
      </c>
      <c r="J33" s="9">
        <f>IF(COUNTIFS(Datos!$A$2:$A$5000,J$1,Datos!$B$2:$B$5000,$A33,Datos!$C$2:$C$5000,$B33,Datos!$D$2:$D$5000,J$2)=0,"",SUMIFS(Datos!$E$2:$E$5000,Datos!$A$2:$A$5000,J$1,Datos!$B$2:$B$5000,$A33,Datos!$C$2:$C$5000,$B33,Datos!$D$2:$D$5000,J$2))</f>
        <v/>
      </c>
    </row>
    <row r="34">
      <c r="A34" s="8" t="inlineStr">
        <is>
          <t>Bolivia</t>
        </is>
      </c>
      <c r="B34" s="8" t="n">
        <v>2006</v>
      </c>
      <c r="C34" s="9">
        <f>IF(COUNTIFS(Datos!$A$2:$A$5000,C$1,Datos!$B$2:$B$5000,$A34,Datos!$C$2:$C$5000,$B34,Datos!$D$2:$D$5000,C$2)=0,"",SUMIFS(Datos!$E$2:$E$5000,Datos!$A$2:$A$5000,C$1,Datos!$B$2:$B$5000,$A34,Datos!$C$2:$C$5000,$B34,Datos!$D$2:$D$5000,C$2))</f>
        <v/>
      </c>
      <c r="D34" s="9">
        <f>IF(COUNTIFS(Datos!$A$2:$A$5000,D$1,Datos!$B$2:$B$5000,$A34,Datos!$C$2:$C$5000,$B34,Datos!$D$2:$D$5000,D$2)=0,"",SUMIFS(Datos!$E$2:$E$5000,Datos!$A$2:$A$5000,D$1,Datos!$B$2:$B$5000,$A34,Datos!$C$2:$C$5000,$B34,Datos!$D$2:$D$5000,D$2))</f>
        <v/>
      </c>
      <c r="E34" s="9">
        <f>IF(COUNTIFS(Datos!$A$2:$A$5000,E$1,Datos!$B$2:$B$5000,$A34,Datos!$C$2:$C$5000,$B34,Datos!$D$2:$D$5000,E$2)=0,"",SUMIFS(Datos!$E$2:$E$5000,Datos!$A$2:$A$5000,E$1,Datos!$B$2:$B$5000,$A34,Datos!$C$2:$C$5000,$B34,Datos!$D$2:$D$5000,E$2))</f>
        <v/>
      </c>
      <c r="F34" s="9">
        <f>IF(COUNTIFS(Datos!$A$2:$A$5000,F$1,Datos!$B$2:$B$5000,$A34,Datos!$C$2:$C$5000,$B34,Datos!$D$2:$D$5000,F$2)=0,"",SUMIFS(Datos!$E$2:$E$5000,Datos!$A$2:$A$5000,F$1,Datos!$B$2:$B$5000,$A34,Datos!$C$2:$C$5000,$B34,Datos!$D$2:$D$5000,F$2))</f>
        <v/>
      </c>
      <c r="G34" s="9">
        <f>IF(COUNTIFS(Datos!$A$2:$A$5000,G$1,Datos!$B$2:$B$5000,$A34,Datos!$C$2:$C$5000,$B34,Datos!$D$2:$D$5000,G$2)=0,"",SUMIFS(Datos!$E$2:$E$5000,Datos!$A$2:$A$5000,G$1,Datos!$B$2:$B$5000,$A34,Datos!$C$2:$C$5000,$B34,Datos!$D$2:$D$5000,G$2))</f>
        <v/>
      </c>
      <c r="H34" s="9">
        <f>IF(COUNTIFS(Datos!$A$2:$A$5000,H$1,Datos!$B$2:$B$5000,$A34,Datos!$C$2:$C$5000,$B34,Datos!$D$2:$D$5000,H$2)=0,"",SUMIFS(Datos!$E$2:$E$5000,Datos!$A$2:$A$5000,H$1,Datos!$B$2:$B$5000,$A34,Datos!$C$2:$C$5000,$B34,Datos!$D$2:$D$5000,H$2))</f>
        <v/>
      </c>
      <c r="I34" s="9">
        <f>IF(COUNTIFS(Datos!$A$2:$A$5000,I$1,Datos!$B$2:$B$5000,$A34,Datos!$C$2:$C$5000,$B34,Datos!$D$2:$D$5000,I$2)=0,"",SUMIFS(Datos!$E$2:$E$5000,Datos!$A$2:$A$5000,I$1,Datos!$B$2:$B$5000,$A34,Datos!$C$2:$C$5000,$B34,Datos!$D$2:$D$5000,I$2))</f>
        <v/>
      </c>
      <c r="J34" s="9">
        <f>IF(COUNTIFS(Datos!$A$2:$A$5000,J$1,Datos!$B$2:$B$5000,$A34,Datos!$C$2:$C$5000,$B34,Datos!$D$2:$D$5000,J$2)=0,"",SUMIFS(Datos!$E$2:$E$5000,Datos!$A$2:$A$5000,J$1,Datos!$B$2:$B$5000,$A34,Datos!$C$2:$C$5000,$B34,Datos!$D$2:$D$5000,J$2))</f>
        <v/>
      </c>
    </row>
    <row r="35">
      <c r="A35" s="8" t="inlineStr">
        <is>
          <t>Bolivia</t>
        </is>
      </c>
      <c r="B35" s="8" t="n">
        <v>2007</v>
      </c>
      <c r="C35" s="9">
        <f>IF(COUNTIFS(Datos!$A$2:$A$5000,C$1,Datos!$B$2:$B$5000,$A35,Datos!$C$2:$C$5000,$B35,Datos!$D$2:$D$5000,C$2)=0,"",SUMIFS(Datos!$E$2:$E$5000,Datos!$A$2:$A$5000,C$1,Datos!$B$2:$B$5000,$A35,Datos!$C$2:$C$5000,$B35,Datos!$D$2:$D$5000,C$2))</f>
        <v/>
      </c>
      <c r="D35" s="9">
        <f>IF(COUNTIFS(Datos!$A$2:$A$5000,D$1,Datos!$B$2:$B$5000,$A35,Datos!$C$2:$C$5000,$B35,Datos!$D$2:$D$5000,D$2)=0,"",SUMIFS(Datos!$E$2:$E$5000,Datos!$A$2:$A$5000,D$1,Datos!$B$2:$B$5000,$A35,Datos!$C$2:$C$5000,$B35,Datos!$D$2:$D$5000,D$2))</f>
        <v/>
      </c>
      <c r="E35" s="9">
        <f>IF(COUNTIFS(Datos!$A$2:$A$5000,E$1,Datos!$B$2:$B$5000,$A35,Datos!$C$2:$C$5000,$B35,Datos!$D$2:$D$5000,E$2)=0,"",SUMIFS(Datos!$E$2:$E$5000,Datos!$A$2:$A$5000,E$1,Datos!$B$2:$B$5000,$A35,Datos!$C$2:$C$5000,$B35,Datos!$D$2:$D$5000,E$2))</f>
        <v/>
      </c>
      <c r="F35" s="9">
        <f>IF(COUNTIFS(Datos!$A$2:$A$5000,F$1,Datos!$B$2:$B$5000,$A35,Datos!$C$2:$C$5000,$B35,Datos!$D$2:$D$5000,F$2)=0,"",SUMIFS(Datos!$E$2:$E$5000,Datos!$A$2:$A$5000,F$1,Datos!$B$2:$B$5000,$A35,Datos!$C$2:$C$5000,$B35,Datos!$D$2:$D$5000,F$2))</f>
        <v/>
      </c>
      <c r="G35" s="9">
        <f>IF(COUNTIFS(Datos!$A$2:$A$5000,G$1,Datos!$B$2:$B$5000,$A35,Datos!$C$2:$C$5000,$B35,Datos!$D$2:$D$5000,G$2)=0,"",SUMIFS(Datos!$E$2:$E$5000,Datos!$A$2:$A$5000,G$1,Datos!$B$2:$B$5000,$A35,Datos!$C$2:$C$5000,$B35,Datos!$D$2:$D$5000,G$2))</f>
        <v/>
      </c>
      <c r="H35" s="9">
        <f>IF(COUNTIFS(Datos!$A$2:$A$5000,H$1,Datos!$B$2:$B$5000,$A35,Datos!$C$2:$C$5000,$B35,Datos!$D$2:$D$5000,H$2)=0,"",SUMIFS(Datos!$E$2:$E$5000,Datos!$A$2:$A$5000,H$1,Datos!$B$2:$B$5000,$A35,Datos!$C$2:$C$5000,$B35,Datos!$D$2:$D$5000,H$2))</f>
        <v/>
      </c>
      <c r="I35" s="9">
        <f>IF(COUNTIFS(Datos!$A$2:$A$5000,I$1,Datos!$B$2:$B$5000,$A35,Datos!$C$2:$C$5000,$B35,Datos!$D$2:$D$5000,I$2)=0,"",SUMIFS(Datos!$E$2:$E$5000,Datos!$A$2:$A$5000,I$1,Datos!$B$2:$B$5000,$A35,Datos!$C$2:$C$5000,$B35,Datos!$D$2:$D$5000,I$2))</f>
        <v/>
      </c>
      <c r="J35" s="9">
        <f>IF(COUNTIFS(Datos!$A$2:$A$5000,J$1,Datos!$B$2:$B$5000,$A35,Datos!$C$2:$C$5000,$B35,Datos!$D$2:$D$5000,J$2)=0,"",SUMIFS(Datos!$E$2:$E$5000,Datos!$A$2:$A$5000,J$1,Datos!$B$2:$B$5000,$A35,Datos!$C$2:$C$5000,$B35,Datos!$D$2:$D$5000,J$2))</f>
        <v/>
      </c>
    </row>
    <row r="36">
      <c r="A36" s="8" t="inlineStr">
        <is>
          <t>Bolivia</t>
        </is>
      </c>
      <c r="B36" s="8" t="n">
        <v>2008</v>
      </c>
      <c r="C36" s="9">
        <f>IF(COUNTIFS(Datos!$A$2:$A$5000,C$1,Datos!$B$2:$B$5000,$A36,Datos!$C$2:$C$5000,$B36,Datos!$D$2:$D$5000,C$2)=0,"",SUMIFS(Datos!$E$2:$E$5000,Datos!$A$2:$A$5000,C$1,Datos!$B$2:$B$5000,$A36,Datos!$C$2:$C$5000,$B36,Datos!$D$2:$D$5000,C$2))</f>
        <v/>
      </c>
      <c r="D36" s="9">
        <f>IF(COUNTIFS(Datos!$A$2:$A$5000,D$1,Datos!$B$2:$B$5000,$A36,Datos!$C$2:$C$5000,$B36,Datos!$D$2:$D$5000,D$2)=0,"",SUMIFS(Datos!$E$2:$E$5000,Datos!$A$2:$A$5000,D$1,Datos!$B$2:$B$5000,$A36,Datos!$C$2:$C$5000,$B36,Datos!$D$2:$D$5000,D$2))</f>
        <v/>
      </c>
      <c r="E36" s="9">
        <f>IF(COUNTIFS(Datos!$A$2:$A$5000,E$1,Datos!$B$2:$B$5000,$A36,Datos!$C$2:$C$5000,$B36,Datos!$D$2:$D$5000,E$2)=0,"",SUMIFS(Datos!$E$2:$E$5000,Datos!$A$2:$A$5000,E$1,Datos!$B$2:$B$5000,$A36,Datos!$C$2:$C$5000,$B36,Datos!$D$2:$D$5000,E$2))</f>
        <v/>
      </c>
      <c r="F36" s="9">
        <f>IF(COUNTIFS(Datos!$A$2:$A$5000,F$1,Datos!$B$2:$B$5000,$A36,Datos!$C$2:$C$5000,$B36,Datos!$D$2:$D$5000,F$2)=0,"",SUMIFS(Datos!$E$2:$E$5000,Datos!$A$2:$A$5000,F$1,Datos!$B$2:$B$5000,$A36,Datos!$C$2:$C$5000,$B36,Datos!$D$2:$D$5000,F$2))</f>
        <v/>
      </c>
      <c r="G36" s="9">
        <f>IF(COUNTIFS(Datos!$A$2:$A$5000,G$1,Datos!$B$2:$B$5000,$A36,Datos!$C$2:$C$5000,$B36,Datos!$D$2:$D$5000,G$2)=0,"",SUMIFS(Datos!$E$2:$E$5000,Datos!$A$2:$A$5000,G$1,Datos!$B$2:$B$5000,$A36,Datos!$C$2:$C$5000,$B36,Datos!$D$2:$D$5000,G$2))</f>
        <v/>
      </c>
      <c r="H36" s="9">
        <f>IF(COUNTIFS(Datos!$A$2:$A$5000,H$1,Datos!$B$2:$B$5000,$A36,Datos!$C$2:$C$5000,$B36,Datos!$D$2:$D$5000,H$2)=0,"",SUMIFS(Datos!$E$2:$E$5000,Datos!$A$2:$A$5000,H$1,Datos!$B$2:$B$5000,$A36,Datos!$C$2:$C$5000,$B36,Datos!$D$2:$D$5000,H$2))</f>
        <v/>
      </c>
      <c r="I36" s="9">
        <f>IF(COUNTIFS(Datos!$A$2:$A$5000,I$1,Datos!$B$2:$B$5000,$A36,Datos!$C$2:$C$5000,$B36,Datos!$D$2:$D$5000,I$2)=0,"",SUMIFS(Datos!$E$2:$E$5000,Datos!$A$2:$A$5000,I$1,Datos!$B$2:$B$5000,$A36,Datos!$C$2:$C$5000,$B36,Datos!$D$2:$D$5000,I$2))</f>
        <v/>
      </c>
      <c r="J36" s="9">
        <f>IF(COUNTIFS(Datos!$A$2:$A$5000,J$1,Datos!$B$2:$B$5000,$A36,Datos!$C$2:$C$5000,$B36,Datos!$D$2:$D$5000,J$2)=0,"",SUMIFS(Datos!$E$2:$E$5000,Datos!$A$2:$A$5000,J$1,Datos!$B$2:$B$5000,$A36,Datos!$C$2:$C$5000,$B36,Datos!$D$2:$D$5000,J$2))</f>
        <v/>
      </c>
    </row>
    <row r="37">
      <c r="A37" s="8" t="inlineStr">
        <is>
          <t>Bolivia</t>
        </is>
      </c>
      <c r="B37" s="8" t="n">
        <v>2009</v>
      </c>
      <c r="C37" s="9">
        <f>IF(COUNTIFS(Datos!$A$2:$A$5000,C$1,Datos!$B$2:$B$5000,$A37,Datos!$C$2:$C$5000,$B37,Datos!$D$2:$D$5000,C$2)=0,"",SUMIFS(Datos!$E$2:$E$5000,Datos!$A$2:$A$5000,C$1,Datos!$B$2:$B$5000,$A37,Datos!$C$2:$C$5000,$B37,Datos!$D$2:$D$5000,C$2))</f>
        <v/>
      </c>
      <c r="D37" s="9">
        <f>IF(COUNTIFS(Datos!$A$2:$A$5000,D$1,Datos!$B$2:$B$5000,$A37,Datos!$C$2:$C$5000,$B37,Datos!$D$2:$D$5000,D$2)=0,"",SUMIFS(Datos!$E$2:$E$5000,Datos!$A$2:$A$5000,D$1,Datos!$B$2:$B$5000,$A37,Datos!$C$2:$C$5000,$B37,Datos!$D$2:$D$5000,D$2))</f>
        <v/>
      </c>
      <c r="E37" s="9">
        <f>IF(COUNTIFS(Datos!$A$2:$A$5000,E$1,Datos!$B$2:$B$5000,$A37,Datos!$C$2:$C$5000,$B37,Datos!$D$2:$D$5000,E$2)=0,"",SUMIFS(Datos!$E$2:$E$5000,Datos!$A$2:$A$5000,E$1,Datos!$B$2:$B$5000,$A37,Datos!$C$2:$C$5000,$B37,Datos!$D$2:$D$5000,E$2))</f>
        <v/>
      </c>
      <c r="F37" s="9">
        <f>IF(COUNTIFS(Datos!$A$2:$A$5000,F$1,Datos!$B$2:$B$5000,$A37,Datos!$C$2:$C$5000,$B37,Datos!$D$2:$D$5000,F$2)=0,"",SUMIFS(Datos!$E$2:$E$5000,Datos!$A$2:$A$5000,F$1,Datos!$B$2:$B$5000,$A37,Datos!$C$2:$C$5000,$B37,Datos!$D$2:$D$5000,F$2))</f>
        <v/>
      </c>
      <c r="G37" s="9">
        <f>IF(COUNTIFS(Datos!$A$2:$A$5000,G$1,Datos!$B$2:$B$5000,$A37,Datos!$C$2:$C$5000,$B37,Datos!$D$2:$D$5000,G$2)=0,"",SUMIFS(Datos!$E$2:$E$5000,Datos!$A$2:$A$5000,G$1,Datos!$B$2:$B$5000,$A37,Datos!$C$2:$C$5000,$B37,Datos!$D$2:$D$5000,G$2))</f>
        <v/>
      </c>
      <c r="H37" s="9">
        <f>IF(COUNTIFS(Datos!$A$2:$A$5000,H$1,Datos!$B$2:$B$5000,$A37,Datos!$C$2:$C$5000,$B37,Datos!$D$2:$D$5000,H$2)=0,"",SUMIFS(Datos!$E$2:$E$5000,Datos!$A$2:$A$5000,H$1,Datos!$B$2:$B$5000,$A37,Datos!$C$2:$C$5000,$B37,Datos!$D$2:$D$5000,H$2))</f>
        <v/>
      </c>
      <c r="I37" s="9">
        <f>IF(COUNTIFS(Datos!$A$2:$A$5000,I$1,Datos!$B$2:$B$5000,$A37,Datos!$C$2:$C$5000,$B37,Datos!$D$2:$D$5000,I$2)=0,"",SUMIFS(Datos!$E$2:$E$5000,Datos!$A$2:$A$5000,I$1,Datos!$B$2:$B$5000,$A37,Datos!$C$2:$C$5000,$B37,Datos!$D$2:$D$5000,I$2))</f>
        <v/>
      </c>
      <c r="J37" s="9">
        <f>IF(COUNTIFS(Datos!$A$2:$A$5000,J$1,Datos!$B$2:$B$5000,$A37,Datos!$C$2:$C$5000,$B37,Datos!$D$2:$D$5000,J$2)=0,"",SUMIFS(Datos!$E$2:$E$5000,Datos!$A$2:$A$5000,J$1,Datos!$B$2:$B$5000,$A37,Datos!$C$2:$C$5000,$B37,Datos!$D$2:$D$5000,J$2))</f>
        <v/>
      </c>
    </row>
    <row r="38">
      <c r="A38" s="8" t="inlineStr">
        <is>
          <t>Bolivia</t>
        </is>
      </c>
      <c r="B38" s="8" t="n">
        <v>2010</v>
      </c>
      <c r="C38" s="9">
        <f>IF(COUNTIFS(Datos!$A$2:$A$5000,C$1,Datos!$B$2:$B$5000,$A38,Datos!$C$2:$C$5000,$B38,Datos!$D$2:$D$5000,C$2)=0,"",SUMIFS(Datos!$E$2:$E$5000,Datos!$A$2:$A$5000,C$1,Datos!$B$2:$B$5000,$A38,Datos!$C$2:$C$5000,$B38,Datos!$D$2:$D$5000,C$2))</f>
        <v/>
      </c>
      <c r="D38" s="9">
        <f>IF(COUNTIFS(Datos!$A$2:$A$5000,D$1,Datos!$B$2:$B$5000,$A38,Datos!$C$2:$C$5000,$B38,Datos!$D$2:$D$5000,D$2)=0,"",SUMIFS(Datos!$E$2:$E$5000,Datos!$A$2:$A$5000,D$1,Datos!$B$2:$B$5000,$A38,Datos!$C$2:$C$5000,$B38,Datos!$D$2:$D$5000,D$2))</f>
        <v/>
      </c>
      <c r="E38" s="9">
        <f>IF(COUNTIFS(Datos!$A$2:$A$5000,E$1,Datos!$B$2:$B$5000,$A38,Datos!$C$2:$C$5000,$B38,Datos!$D$2:$D$5000,E$2)=0,"",SUMIFS(Datos!$E$2:$E$5000,Datos!$A$2:$A$5000,E$1,Datos!$B$2:$B$5000,$A38,Datos!$C$2:$C$5000,$B38,Datos!$D$2:$D$5000,E$2))</f>
        <v/>
      </c>
      <c r="F38" s="9">
        <f>IF(COUNTIFS(Datos!$A$2:$A$5000,F$1,Datos!$B$2:$B$5000,$A38,Datos!$C$2:$C$5000,$B38,Datos!$D$2:$D$5000,F$2)=0,"",SUMIFS(Datos!$E$2:$E$5000,Datos!$A$2:$A$5000,F$1,Datos!$B$2:$B$5000,$A38,Datos!$C$2:$C$5000,$B38,Datos!$D$2:$D$5000,F$2))</f>
        <v/>
      </c>
      <c r="G38" s="9">
        <f>IF(COUNTIFS(Datos!$A$2:$A$5000,G$1,Datos!$B$2:$B$5000,$A38,Datos!$C$2:$C$5000,$B38,Datos!$D$2:$D$5000,G$2)=0,"",SUMIFS(Datos!$E$2:$E$5000,Datos!$A$2:$A$5000,G$1,Datos!$B$2:$B$5000,$A38,Datos!$C$2:$C$5000,$B38,Datos!$D$2:$D$5000,G$2))</f>
        <v/>
      </c>
      <c r="H38" s="9">
        <f>IF(COUNTIFS(Datos!$A$2:$A$5000,H$1,Datos!$B$2:$B$5000,$A38,Datos!$C$2:$C$5000,$B38,Datos!$D$2:$D$5000,H$2)=0,"",SUMIFS(Datos!$E$2:$E$5000,Datos!$A$2:$A$5000,H$1,Datos!$B$2:$B$5000,$A38,Datos!$C$2:$C$5000,$B38,Datos!$D$2:$D$5000,H$2))</f>
        <v/>
      </c>
      <c r="I38" s="9">
        <f>IF(COUNTIFS(Datos!$A$2:$A$5000,I$1,Datos!$B$2:$B$5000,$A38,Datos!$C$2:$C$5000,$B38,Datos!$D$2:$D$5000,I$2)=0,"",SUMIFS(Datos!$E$2:$E$5000,Datos!$A$2:$A$5000,I$1,Datos!$B$2:$B$5000,$A38,Datos!$C$2:$C$5000,$B38,Datos!$D$2:$D$5000,I$2))</f>
        <v/>
      </c>
      <c r="J38" s="9">
        <f>IF(COUNTIFS(Datos!$A$2:$A$5000,J$1,Datos!$B$2:$B$5000,$A38,Datos!$C$2:$C$5000,$B38,Datos!$D$2:$D$5000,J$2)=0,"",SUMIFS(Datos!$E$2:$E$5000,Datos!$A$2:$A$5000,J$1,Datos!$B$2:$B$5000,$A38,Datos!$C$2:$C$5000,$B38,Datos!$D$2:$D$5000,J$2))</f>
        <v/>
      </c>
    </row>
    <row r="39">
      <c r="A39" s="8" t="inlineStr">
        <is>
          <t>Bolivia</t>
        </is>
      </c>
      <c r="B39" s="8" t="n">
        <v>2011</v>
      </c>
      <c r="C39" s="9">
        <f>IF(COUNTIFS(Datos!$A$2:$A$5000,C$1,Datos!$B$2:$B$5000,$A39,Datos!$C$2:$C$5000,$B39,Datos!$D$2:$D$5000,C$2)=0,"",SUMIFS(Datos!$E$2:$E$5000,Datos!$A$2:$A$5000,C$1,Datos!$B$2:$B$5000,$A39,Datos!$C$2:$C$5000,$B39,Datos!$D$2:$D$5000,C$2))</f>
        <v/>
      </c>
      <c r="D39" s="9">
        <f>IF(COUNTIFS(Datos!$A$2:$A$5000,D$1,Datos!$B$2:$B$5000,$A39,Datos!$C$2:$C$5000,$B39,Datos!$D$2:$D$5000,D$2)=0,"",SUMIFS(Datos!$E$2:$E$5000,Datos!$A$2:$A$5000,D$1,Datos!$B$2:$B$5000,$A39,Datos!$C$2:$C$5000,$B39,Datos!$D$2:$D$5000,D$2))</f>
        <v/>
      </c>
      <c r="E39" s="9">
        <f>IF(COUNTIFS(Datos!$A$2:$A$5000,E$1,Datos!$B$2:$B$5000,$A39,Datos!$C$2:$C$5000,$B39,Datos!$D$2:$D$5000,E$2)=0,"",SUMIFS(Datos!$E$2:$E$5000,Datos!$A$2:$A$5000,E$1,Datos!$B$2:$B$5000,$A39,Datos!$C$2:$C$5000,$B39,Datos!$D$2:$D$5000,E$2))</f>
        <v/>
      </c>
      <c r="F39" s="9">
        <f>IF(COUNTIFS(Datos!$A$2:$A$5000,F$1,Datos!$B$2:$B$5000,$A39,Datos!$C$2:$C$5000,$B39,Datos!$D$2:$D$5000,F$2)=0,"",SUMIFS(Datos!$E$2:$E$5000,Datos!$A$2:$A$5000,F$1,Datos!$B$2:$B$5000,$A39,Datos!$C$2:$C$5000,$B39,Datos!$D$2:$D$5000,F$2))</f>
        <v/>
      </c>
      <c r="G39" s="9">
        <f>IF(COUNTIFS(Datos!$A$2:$A$5000,G$1,Datos!$B$2:$B$5000,$A39,Datos!$C$2:$C$5000,$B39,Datos!$D$2:$D$5000,G$2)=0,"",SUMIFS(Datos!$E$2:$E$5000,Datos!$A$2:$A$5000,G$1,Datos!$B$2:$B$5000,$A39,Datos!$C$2:$C$5000,$B39,Datos!$D$2:$D$5000,G$2))</f>
        <v/>
      </c>
      <c r="H39" s="9">
        <f>IF(COUNTIFS(Datos!$A$2:$A$5000,H$1,Datos!$B$2:$B$5000,$A39,Datos!$C$2:$C$5000,$B39,Datos!$D$2:$D$5000,H$2)=0,"",SUMIFS(Datos!$E$2:$E$5000,Datos!$A$2:$A$5000,H$1,Datos!$B$2:$B$5000,$A39,Datos!$C$2:$C$5000,$B39,Datos!$D$2:$D$5000,H$2))</f>
        <v/>
      </c>
      <c r="I39" s="9">
        <f>IF(COUNTIFS(Datos!$A$2:$A$5000,I$1,Datos!$B$2:$B$5000,$A39,Datos!$C$2:$C$5000,$B39,Datos!$D$2:$D$5000,I$2)=0,"",SUMIFS(Datos!$E$2:$E$5000,Datos!$A$2:$A$5000,I$1,Datos!$B$2:$B$5000,$A39,Datos!$C$2:$C$5000,$B39,Datos!$D$2:$D$5000,I$2))</f>
        <v/>
      </c>
      <c r="J39" s="9">
        <f>IF(COUNTIFS(Datos!$A$2:$A$5000,J$1,Datos!$B$2:$B$5000,$A39,Datos!$C$2:$C$5000,$B39,Datos!$D$2:$D$5000,J$2)=0,"",SUMIFS(Datos!$E$2:$E$5000,Datos!$A$2:$A$5000,J$1,Datos!$B$2:$B$5000,$A39,Datos!$C$2:$C$5000,$B39,Datos!$D$2:$D$5000,J$2))</f>
        <v/>
      </c>
    </row>
    <row r="40">
      <c r="A40" s="8" t="inlineStr">
        <is>
          <t>Bolivia</t>
        </is>
      </c>
      <c r="B40" s="8" t="n">
        <v>2016</v>
      </c>
      <c r="C40" s="9">
        <f>IF(COUNTIFS(Datos!$A$2:$A$5000,C$1,Datos!$B$2:$B$5000,$A40,Datos!$C$2:$C$5000,$B40,Datos!$D$2:$D$5000,C$2)=0,"",SUMIFS(Datos!$E$2:$E$5000,Datos!$A$2:$A$5000,C$1,Datos!$B$2:$B$5000,$A40,Datos!$C$2:$C$5000,$B40,Datos!$D$2:$D$5000,C$2))</f>
        <v/>
      </c>
      <c r="D40" s="9">
        <f>IF(COUNTIFS(Datos!$A$2:$A$5000,D$1,Datos!$B$2:$B$5000,$A40,Datos!$C$2:$C$5000,$B40,Datos!$D$2:$D$5000,D$2)=0,"",SUMIFS(Datos!$E$2:$E$5000,Datos!$A$2:$A$5000,D$1,Datos!$B$2:$B$5000,$A40,Datos!$C$2:$C$5000,$B40,Datos!$D$2:$D$5000,D$2))</f>
        <v/>
      </c>
      <c r="E40" s="9">
        <f>IF(COUNTIFS(Datos!$A$2:$A$5000,E$1,Datos!$B$2:$B$5000,$A40,Datos!$C$2:$C$5000,$B40,Datos!$D$2:$D$5000,E$2)=0,"",SUMIFS(Datos!$E$2:$E$5000,Datos!$A$2:$A$5000,E$1,Datos!$B$2:$B$5000,$A40,Datos!$C$2:$C$5000,$B40,Datos!$D$2:$D$5000,E$2))</f>
        <v/>
      </c>
      <c r="F40" s="9">
        <f>IF(COUNTIFS(Datos!$A$2:$A$5000,F$1,Datos!$B$2:$B$5000,$A40,Datos!$C$2:$C$5000,$B40,Datos!$D$2:$D$5000,F$2)=0,"",SUMIFS(Datos!$E$2:$E$5000,Datos!$A$2:$A$5000,F$1,Datos!$B$2:$B$5000,$A40,Datos!$C$2:$C$5000,$B40,Datos!$D$2:$D$5000,F$2))</f>
        <v/>
      </c>
      <c r="G40" s="9">
        <f>IF(COUNTIFS(Datos!$A$2:$A$5000,G$1,Datos!$B$2:$B$5000,$A40,Datos!$C$2:$C$5000,$B40,Datos!$D$2:$D$5000,G$2)=0,"",SUMIFS(Datos!$E$2:$E$5000,Datos!$A$2:$A$5000,G$1,Datos!$B$2:$B$5000,$A40,Datos!$C$2:$C$5000,$B40,Datos!$D$2:$D$5000,G$2))</f>
        <v/>
      </c>
      <c r="H40" s="9">
        <f>IF(COUNTIFS(Datos!$A$2:$A$5000,H$1,Datos!$B$2:$B$5000,$A40,Datos!$C$2:$C$5000,$B40,Datos!$D$2:$D$5000,H$2)=0,"",SUMIFS(Datos!$E$2:$E$5000,Datos!$A$2:$A$5000,H$1,Datos!$B$2:$B$5000,$A40,Datos!$C$2:$C$5000,$B40,Datos!$D$2:$D$5000,H$2))</f>
        <v/>
      </c>
      <c r="I40" s="9">
        <f>IF(COUNTIFS(Datos!$A$2:$A$5000,I$1,Datos!$B$2:$B$5000,$A40,Datos!$C$2:$C$5000,$B40,Datos!$D$2:$D$5000,I$2)=0,"",SUMIFS(Datos!$E$2:$E$5000,Datos!$A$2:$A$5000,I$1,Datos!$B$2:$B$5000,$A40,Datos!$C$2:$C$5000,$B40,Datos!$D$2:$D$5000,I$2))</f>
        <v/>
      </c>
      <c r="J40" s="9">
        <f>IF(COUNTIFS(Datos!$A$2:$A$5000,J$1,Datos!$B$2:$B$5000,$A40,Datos!$C$2:$C$5000,$B40,Datos!$D$2:$D$5000,J$2)=0,"",SUMIFS(Datos!$E$2:$E$5000,Datos!$A$2:$A$5000,J$1,Datos!$B$2:$B$5000,$A40,Datos!$C$2:$C$5000,$B40,Datos!$D$2:$D$5000,J$2))</f>
        <v/>
      </c>
    </row>
    <row r="41">
      <c r="A41" s="8" t="inlineStr">
        <is>
          <t>Bolivia</t>
        </is>
      </c>
      <c r="B41" s="8" t="n">
        <v>2017</v>
      </c>
      <c r="C41" s="9">
        <f>IF(COUNTIFS(Datos!$A$2:$A$5000,C$1,Datos!$B$2:$B$5000,$A41,Datos!$C$2:$C$5000,$B41,Datos!$D$2:$D$5000,C$2)=0,"",SUMIFS(Datos!$E$2:$E$5000,Datos!$A$2:$A$5000,C$1,Datos!$B$2:$B$5000,$A41,Datos!$C$2:$C$5000,$B41,Datos!$D$2:$D$5000,C$2))</f>
        <v/>
      </c>
      <c r="D41" s="9">
        <f>IF(COUNTIFS(Datos!$A$2:$A$5000,D$1,Datos!$B$2:$B$5000,$A41,Datos!$C$2:$C$5000,$B41,Datos!$D$2:$D$5000,D$2)=0,"",SUMIFS(Datos!$E$2:$E$5000,Datos!$A$2:$A$5000,D$1,Datos!$B$2:$B$5000,$A41,Datos!$C$2:$C$5000,$B41,Datos!$D$2:$D$5000,D$2))</f>
        <v/>
      </c>
      <c r="E41" s="9">
        <f>IF(COUNTIFS(Datos!$A$2:$A$5000,E$1,Datos!$B$2:$B$5000,$A41,Datos!$C$2:$C$5000,$B41,Datos!$D$2:$D$5000,E$2)=0,"",SUMIFS(Datos!$E$2:$E$5000,Datos!$A$2:$A$5000,E$1,Datos!$B$2:$B$5000,$A41,Datos!$C$2:$C$5000,$B41,Datos!$D$2:$D$5000,E$2))</f>
        <v/>
      </c>
      <c r="F41" s="9">
        <f>IF(COUNTIFS(Datos!$A$2:$A$5000,F$1,Datos!$B$2:$B$5000,$A41,Datos!$C$2:$C$5000,$B41,Datos!$D$2:$D$5000,F$2)=0,"",SUMIFS(Datos!$E$2:$E$5000,Datos!$A$2:$A$5000,F$1,Datos!$B$2:$B$5000,$A41,Datos!$C$2:$C$5000,$B41,Datos!$D$2:$D$5000,F$2))</f>
        <v/>
      </c>
      <c r="G41" s="9">
        <f>IF(COUNTIFS(Datos!$A$2:$A$5000,G$1,Datos!$B$2:$B$5000,$A41,Datos!$C$2:$C$5000,$B41,Datos!$D$2:$D$5000,G$2)=0,"",SUMIFS(Datos!$E$2:$E$5000,Datos!$A$2:$A$5000,G$1,Datos!$B$2:$B$5000,$A41,Datos!$C$2:$C$5000,$B41,Datos!$D$2:$D$5000,G$2))</f>
        <v/>
      </c>
      <c r="H41" s="9">
        <f>IF(COUNTIFS(Datos!$A$2:$A$5000,H$1,Datos!$B$2:$B$5000,$A41,Datos!$C$2:$C$5000,$B41,Datos!$D$2:$D$5000,H$2)=0,"",SUMIFS(Datos!$E$2:$E$5000,Datos!$A$2:$A$5000,H$1,Datos!$B$2:$B$5000,$A41,Datos!$C$2:$C$5000,$B41,Datos!$D$2:$D$5000,H$2))</f>
        <v/>
      </c>
      <c r="I41" s="9">
        <f>IF(COUNTIFS(Datos!$A$2:$A$5000,I$1,Datos!$B$2:$B$5000,$A41,Datos!$C$2:$C$5000,$B41,Datos!$D$2:$D$5000,I$2)=0,"",SUMIFS(Datos!$E$2:$E$5000,Datos!$A$2:$A$5000,I$1,Datos!$B$2:$B$5000,$A41,Datos!$C$2:$C$5000,$B41,Datos!$D$2:$D$5000,I$2))</f>
        <v/>
      </c>
      <c r="J41" s="9">
        <f>IF(COUNTIFS(Datos!$A$2:$A$5000,J$1,Datos!$B$2:$B$5000,$A41,Datos!$C$2:$C$5000,$B41,Datos!$D$2:$D$5000,J$2)=0,"",SUMIFS(Datos!$E$2:$E$5000,Datos!$A$2:$A$5000,J$1,Datos!$B$2:$B$5000,$A41,Datos!$C$2:$C$5000,$B41,Datos!$D$2:$D$5000,J$2))</f>
        <v/>
      </c>
    </row>
    <row r="42">
      <c r="A42" s="8" t="inlineStr">
        <is>
          <t>Bolivia</t>
        </is>
      </c>
      <c r="B42" s="8" t="n">
        <v>2018</v>
      </c>
      <c r="C42" s="9">
        <f>IF(COUNTIFS(Datos!$A$2:$A$5000,C$1,Datos!$B$2:$B$5000,$A42,Datos!$C$2:$C$5000,$B42,Datos!$D$2:$D$5000,C$2)=0,"",SUMIFS(Datos!$E$2:$E$5000,Datos!$A$2:$A$5000,C$1,Datos!$B$2:$B$5000,$A42,Datos!$C$2:$C$5000,$B42,Datos!$D$2:$D$5000,C$2))</f>
        <v/>
      </c>
      <c r="D42" s="9">
        <f>IF(COUNTIFS(Datos!$A$2:$A$5000,D$1,Datos!$B$2:$B$5000,$A42,Datos!$C$2:$C$5000,$B42,Datos!$D$2:$D$5000,D$2)=0,"",SUMIFS(Datos!$E$2:$E$5000,Datos!$A$2:$A$5000,D$1,Datos!$B$2:$B$5000,$A42,Datos!$C$2:$C$5000,$B42,Datos!$D$2:$D$5000,D$2))</f>
        <v/>
      </c>
      <c r="E42" s="9">
        <f>IF(COUNTIFS(Datos!$A$2:$A$5000,E$1,Datos!$B$2:$B$5000,$A42,Datos!$C$2:$C$5000,$B42,Datos!$D$2:$D$5000,E$2)=0,"",SUMIFS(Datos!$E$2:$E$5000,Datos!$A$2:$A$5000,E$1,Datos!$B$2:$B$5000,$A42,Datos!$C$2:$C$5000,$B42,Datos!$D$2:$D$5000,E$2))</f>
        <v/>
      </c>
      <c r="F42" s="9">
        <f>IF(COUNTIFS(Datos!$A$2:$A$5000,F$1,Datos!$B$2:$B$5000,$A42,Datos!$C$2:$C$5000,$B42,Datos!$D$2:$D$5000,F$2)=0,"",SUMIFS(Datos!$E$2:$E$5000,Datos!$A$2:$A$5000,F$1,Datos!$B$2:$B$5000,$A42,Datos!$C$2:$C$5000,$B42,Datos!$D$2:$D$5000,F$2))</f>
        <v/>
      </c>
      <c r="G42" s="9">
        <f>IF(COUNTIFS(Datos!$A$2:$A$5000,G$1,Datos!$B$2:$B$5000,$A42,Datos!$C$2:$C$5000,$B42,Datos!$D$2:$D$5000,G$2)=0,"",SUMIFS(Datos!$E$2:$E$5000,Datos!$A$2:$A$5000,G$1,Datos!$B$2:$B$5000,$A42,Datos!$C$2:$C$5000,$B42,Datos!$D$2:$D$5000,G$2))</f>
        <v/>
      </c>
      <c r="H42" s="9">
        <f>IF(COUNTIFS(Datos!$A$2:$A$5000,H$1,Datos!$B$2:$B$5000,$A42,Datos!$C$2:$C$5000,$B42,Datos!$D$2:$D$5000,H$2)=0,"",SUMIFS(Datos!$E$2:$E$5000,Datos!$A$2:$A$5000,H$1,Datos!$B$2:$B$5000,$A42,Datos!$C$2:$C$5000,$B42,Datos!$D$2:$D$5000,H$2))</f>
        <v/>
      </c>
      <c r="I42" s="9">
        <f>IF(COUNTIFS(Datos!$A$2:$A$5000,I$1,Datos!$B$2:$B$5000,$A42,Datos!$C$2:$C$5000,$B42,Datos!$D$2:$D$5000,I$2)=0,"",SUMIFS(Datos!$E$2:$E$5000,Datos!$A$2:$A$5000,I$1,Datos!$B$2:$B$5000,$A42,Datos!$C$2:$C$5000,$B42,Datos!$D$2:$D$5000,I$2))</f>
        <v/>
      </c>
      <c r="J42" s="9">
        <f>IF(COUNTIFS(Datos!$A$2:$A$5000,J$1,Datos!$B$2:$B$5000,$A42,Datos!$C$2:$C$5000,$B42,Datos!$D$2:$D$5000,J$2)=0,"",SUMIFS(Datos!$E$2:$E$5000,Datos!$A$2:$A$5000,J$1,Datos!$B$2:$B$5000,$A42,Datos!$C$2:$C$5000,$B42,Datos!$D$2:$D$5000,J$2))</f>
        <v/>
      </c>
    </row>
    <row r="43">
      <c r="A43" s="8" t="inlineStr">
        <is>
          <t>Bolivia</t>
        </is>
      </c>
      <c r="B43" s="8" t="n">
        <v>2020</v>
      </c>
      <c r="C43" s="9">
        <f>IF(COUNTIFS(Datos!$A$2:$A$5000,C$1,Datos!$B$2:$B$5000,$A43,Datos!$C$2:$C$5000,$B43,Datos!$D$2:$D$5000,C$2)=0,"",SUMIFS(Datos!$E$2:$E$5000,Datos!$A$2:$A$5000,C$1,Datos!$B$2:$B$5000,$A43,Datos!$C$2:$C$5000,$B43,Datos!$D$2:$D$5000,C$2))</f>
        <v/>
      </c>
      <c r="D43" s="9">
        <f>IF(COUNTIFS(Datos!$A$2:$A$5000,D$1,Datos!$B$2:$B$5000,$A43,Datos!$C$2:$C$5000,$B43,Datos!$D$2:$D$5000,D$2)=0,"",SUMIFS(Datos!$E$2:$E$5000,Datos!$A$2:$A$5000,D$1,Datos!$B$2:$B$5000,$A43,Datos!$C$2:$C$5000,$B43,Datos!$D$2:$D$5000,D$2))</f>
        <v/>
      </c>
      <c r="E43" s="9">
        <f>IF(COUNTIFS(Datos!$A$2:$A$5000,E$1,Datos!$B$2:$B$5000,$A43,Datos!$C$2:$C$5000,$B43,Datos!$D$2:$D$5000,E$2)=0,"",SUMIFS(Datos!$E$2:$E$5000,Datos!$A$2:$A$5000,E$1,Datos!$B$2:$B$5000,$A43,Datos!$C$2:$C$5000,$B43,Datos!$D$2:$D$5000,E$2))</f>
        <v/>
      </c>
      <c r="F43" s="9">
        <f>IF(COUNTIFS(Datos!$A$2:$A$5000,F$1,Datos!$B$2:$B$5000,$A43,Datos!$C$2:$C$5000,$B43,Datos!$D$2:$D$5000,F$2)=0,"",SUMIFS(Datos!$E$2:$E$5000,Datos!$A$2:$A$5000,F$1,Datos!$B$2:$B$5000,$A43,Datos!$C$2:$C$5000,$B43,Datos!$D$2:$D$5000,F$2))</f>
        <v/>
      </c>
      <c r="G43" s="9">
        <f>IF(COUNTIFS(Datos!$A$2:$A$5000,G$1,Datos!$B$2:$B$5000,$A43,Datos!$C$2:$C$5000,$B43,Datos!$D$2:$D$5000,G$2)=0,"",SUMIFS(Datos!$E$2:$E$5000,Datos!$A$2:$A$5000,G$1,Datos!$B$2:$B$5000,$A43,Datos!$C$2:$C$5000,$B43,Datos!$D$2:$D$5000,G$2))</f>
        <v/>
      </c>
      <c r="H43" s="9">
        <f>IF(COUNTIFS(Datos!$A$2:$A$5000,H$1,Datos!$B$2:$B$5000,$A43,Datos!$C$2:$C$5000,$B43,Datos!$D$2:$D$5000,H$2)=0,"",SUMIFS(Datos!$E$2:$E$5000,Datos!$A$2:$A$5000,H$1,Datos!$B$2:$B$5000,$A43,Datos!$C$2:$C$5000,$B43,Datos!$D$2:$D$5000,H$2))</f>
        <v/>
      </c>
      <c r="I43" s="9">
        <f>IF(COUNTIFS(Datos!$A$2:$A$5000,I$1,Datos!$B$2:$B$5000,$A43,Datos!$C$2:$C$5000,$B43,Datos!$D$2:$D$5000,I$2)=0,"",SUMIFS(Datos!$E$2:$E$5000,Datos!$A$2:$A$5000,I$1,Datos!$B$2:$B$5000,$A43,Datos!$C$2:$C$5000,$B43,Datos!$D$2:$D$5000,I$2))</f>
        <v/>
      </c>
      <c r="J43" s="9">
        <f>IF(COUNTIFS(Datos!$A$2:$A$5000,J$1,Datos!$B$2:$B$5000,$A43,Datos!$C$2:$C$5000,$B43,Datos!$D$2:$D$5000,J$2)=0,"",SUMIFS(Datos!$E$2:$E$5000,Datos!$A$2:$A$5000,J$1,Datos!$B$2:$B$5000,$A43,Datos!$C$2:$C$5000,$B43,Datos!$D$2:$D$5000,J$2))</f>
        <v/>
      </c>
    </row>
    <row r="44">
      <c r="A44" s="8" t="inlineStr">
        <is>
          <t>Bolivia</t>
        </is>
      </c>
      <c r="B44" s="8" t="n">
        <v>2024</v>
      </c>
      <c r="C44" s="9">
        <f>IF(COUNTIFS(Datos!$A$2:$A$5000,C$1,Datos!$B$2:$B$5000,$A44,Datos!$C$2:$C$5000,$B44,Datos!$D$2:$D$5000,C$2)=0,"",SUMIFS(Datos!$E$2:$E$5000,Datos!$A$2:$A$5000,C$1,Datos!$B$2:$B$5000,$A44,Datos!$C$2:$C$5000,$B44,Datos!$D$2:$D$5000,C$2))</f>
        <v/>
      </c>
      <c r="D44" s="9">
        <f>IF(COUNTIFS(Datos!$A$2:$A$5000,D$1,Datos!$B$2:$B$5000,$A44,Datos!$C$2:$C$5000,$B44,Datos!$D$2:$D$5000,D$2)=0,"",SUMIFS(Datos!$E$2:$E$5000,Datos!$A$2:$A$5000,D$1,Datos!$B$2:$B$5000,$A44,Datos!$C$2:$C$5000,$B44,Datos!$D$2:$D$5000,D$2))</f>
        <v/>
      </c>
      <c r="E44" s="9">
        <f>IF(COUNTIFS(Datos!$A$2:$A$5000,E$1,Datos!$B$2:$B$5000,$A44,Datos!$C$2:$C$5000,$B44,Datos!$D$2:$D$5000,E$2)=0,"",SUMIFS(Datos!$E$2:$E$5000,Datos!$A$2:$A$5000,E$1,Datos!$B$2:$B$5000,$A44,Datos!$C$2:$C$5000,$B44,Datos!$D$2:$D$5000,E$2))</f>
        <v/>
      </c>
      <c r="F44" s="9">
        <f>IF(COUNTIFS(Datos!$A$2:$A$5000,F$1,Datos!$B$2:$B$5000,$A44,Datos!$C$2:$C$5000,$B44,Datos!$D$2:$D$5000,F$2)=0,"",SUMIFS(Datos!$E$2:$E$5000,Datos!$A$2:$A$5000,F$1,Datos!$B$2:$B$5000,$A44,Datos!$C$2:$C$5000,$B44,Datos!$D$2:$D$5000,F$2))</f>
        <v/>
      </c>
      <c r="G44" s="9">
        <f>IF(COUNTIFS(Datos!$A$2:$A$5000,G$1,Datos!$B$2:$B$5000,$A44,Datos!$C$2:$C$5000,$B44,Datos!$D$2:$D$5000,G$2)=0,"",SUMIFS(Datos!$E$2:$E$5000,Datos!$A$2:$A$5000,G$1,Datos!$B$2:$B$5000,$A44,Datos!$C$2:$C$5000,$B44,Datos!$D$2:$D$5000,G$2))</f>
        <v/>
      </c>
      <c r="H44" s="9">
        <f>IF(COUNTIFS(Datos!$A$2:$A$5000,H$1,Datos!$B$2:$B$5000,$A44,Datos!$C$2:$C$5000,$B44,Datos!$D$2:$D$5000,H$2)=0,"",SUMIFS(Datos!$E$2:$E$5000,Datos!$A$2:$A$5000,H$1,Datos!$B$2:$B$5000,$A44,Datos!$C$2:$C$5000,$B44,Datos!$D$2:$D$5000,H$2))</f>
        <v/>
      </c>
      <c r="I44" s="9">
        <f>IF(COUNTIFS(Datos!$A$2:$A$5000,I$1,Datos!$B$2:$B$5000,$A44,Datos!$C$2:$C$5000,$B44,Datos!$D$2:$D$5000,I$2)=0,"",SUMIFS(Datos!$E$2:$E$5000,Datos!$A$2:$A$5000,I$1,Datos!$B$2:$B$5000,$A44,Datos!$C$2:$C$5000,$B44,Datos!$D$2:$D$5000,I$2))</f>
        <v/>
      </c>
      <c r="J44" s="9">
        <f>IF(COUNTIFS(Datos!$A$2:$A$5000,J$1,Datos!$B$2:$B$5000,$A44,Datos!$C$2:$C$5000,$B44,Datos!$D$2:$D$5000,J$2)=0,"",SUMIFS(Datos!$E$2:$E$5000,Datos!$A$2:$A$5000,J$1,Datos!$B$2:$B$5000,$A44,Datos!$C$2:$C$5000,$B44,Datos!$D$2:$D$5000,J$2))</f>
        <v/>
      </c>
    </row>
    <row r="45">
      <c r="A45" s="8" t="inlineStr">
        <is>
          <t>Brasil</t>
        </is>
      </c>
      <c r="B45" s="8" t="n">
        <v>1995</v>
      </c>
      <c r="C45" s="9">
        <f>IF(COUNTIFS(Datos!$A$2:$A$5000,C$1,Datos!$B$2:$B$5000,$A45,Datos!$C$2:$C$5000,$B45,Datos!$D$2:$D$5000,C$2)=0,"",SUMIFS(Datos!$E$2:$E$5000,Datos!$A$2:$A$5000,C$1,Datos!$B$2:$B$5000,$A45,Datos!$C$2:$C$5000,$B45,Datos!$D$2:$D$5000,C$2))</f>
        <v/>
      </c>
      <c r="D45" s="9">
        <f>IF(COUNTIFS(Datos!$A$2:$A$5000,D$1,Datos!$B$2:$B$5000,$A45,Datos!$C$2:$C$5000,$B45,Datos!$D$2:$D$5000,D$2)=0,"",SUMIFS(Datos!$E$2:$E$5000,Datos!$A$2:$A$5000,D$1,Datos!$B$2:$B$5000,$A45,Datos!$C$2:$C$5000,$B45,Datos!$D$2:$D$5000,D$2))</f>
        <v/>
      </c>
      <c r="E45" s="9">
        <f>IF(COUNTIFS(Datos!$A$2:$A$5000,E$1,Datos!$B$2:$B$5000,$A45,Datos!$C$2:$C$5000,$B45,Datos!$D$2:$D$5000,E$2)=0,"",SUMIFS(Datos!$E$2:$E$5000,Datos!$A$2:$A$5000,E$1,Datos!$B$2:$B$5000,$A45,Datos!$C$2:$C$5000,$B45,Datos!$D$2:$D$5000,E$2))</f>
        <v/>
      </c>
      <c r="F45" s="9">
        <f>IF(COUNTIFS(Datos!$A$2:$A$5000,F$1,Datos!$B$2:$B$5000,$A45,Datos!$C$2:$C$5000,$B45,Datos!$D$2:$D$5000,F$2)=0,"",SUMIFS(Datos!$E$2:$E$5000,Datos!$A$2:$A$5000,F$1,Datos!$B$2:$B$5000,$A45,Datos!$C$2:$C$5000,$B45,Datos!$D$2:$D$5000,F$2))</f>
        <v/>
      </c>
      <c r="G45" s="9">
        <f>IF(COUNTIFS(Datos!$A$2:$A$5000,G$1,Datos!$B$2:$B$5000,$A45,Datos!$C$2:$C$5000,$B45,Datos!$D$2:$D$5000,G$2)=0,"",SUMIFS(Datos!$E$2:$E$5000,Datos!$A$2:$A$5000,G$1,Datos!$B$2:$B$5000,$A45,Datos!$C$2:$C$5000,$B45,Datos!$D$2:$D$5000,G$2))</f>
        <v/>
      </c>
      <c r="H45" s="9">
        <f>IF(COUNTIFS(Datos!$A$2:$A$5000,H$1,Datos!$B$2:$B$5000,$A45,Datos!$C$2:$C$5000,$B45,Datos!$D$2:$D$5000,H$2)=0,"",SUMIFS(Datos!$E$2:$E$5000,Datos!$A$2:$A$5000,H$1,Datos!$B$2:$B$5000,$A45,Datos!$C$2:$C$5000,$B45,Datos!$D$2:$D$5000,H$2))</f>
        <v/>
      </c>
      <c r="I45" s="9">
        <f>IF(COUNTIFS(Datos!$A$2:$A$5000,I$1,Datos!$B$2:$B$5000,$A45,Datos!$C$2:$C$5000,$B45,Datos!$D$2:$D$5000,I$2)=0,"",SUMIFS(Datos!$E$2:$E$5000,Datos!$A$2:$A$5000,I$1,Datos!$B$2:$B$5000,$A45,Datos!$C$2:$C$5000,$B45,Datos!$D$2:$D$5000,I$2))</f>
        <v/>
      </c>
      <c r="J45" s="9">
        <f>IF(COUNTIFS(Datos!$A$2:$A$5000,J$1,Datos!$B$2:$B$5000,$A45,Datos!$C$2:$C$5000,$B45,Datos!$D$2:$D$5000,J$2)=0,"",SUMIFS(Datos!$E$2:$E$5000,Datos!$A$2:$A$5000,J$1,Datos!$B$2:$B$5000,$A45,Datos!$C$2:$C$5000,$B45,Datos!$D$2:$D$5000,J$2))</f>
        <v/>
      </c>
    </row>
    <row r="46">
      <c r="A46" s="8" t="inlineStr">
        <is>
          <t>Brasil</t>
        </is>
      </c>
      <c r="B46" s="8" t="n">
        <v>1996</v>
      </c>
      <c r="C46" s="9">
        <f>IF(COUNTIFS(Datos!$A$2:$A$5000,C$1,Datos!$B$2:$B$5000,$A46,Datos!$C$2:$C$5000,$B46,Datos!$D$2:$D$5000,C$2)=0,"",SUMIFS(Datos!$E$2:$E$5000,Datos!$A$2:$A$5000,C$1,Datos!$B$2:$B$5000,$A46,Datos!$C$2:$C$5000,$B46,Datos!$D$2:$D$5000,C$2))</f>
        <v/>
      </c>
      <c r="D46" s="9">
        <f>IF(COUNTIFS(Datos!$A$2:$A$5000,D$1,Datos!$B$2:$B$5000,$A46,Datos!$C$2:$C$5000,$B46,Datos!$D$2:$D$5000,D$2)=0,"",SUMIFS(Datos!$E$2:$E$5000,Datos!$A$2:$A$5000,D$1,Datos!$B$2:$B$5000,$A46,Datos!$C$2:$C$5000,$B46,Datos!$D$2:$D$5000,D$2))</f>
        <v/>
      </c>
      <c r="E46" s="9">
        <f>IF(COUNTIFS(Datos!$A$2:$A$5000,E$1,Datos!$B$2:$B$5000,$A46,Datos!$C$2:$C$5000,$B46,Datos!$D$2:$D$5000,E$2)=0,"",SUMIFS(Datos!$E$2:$E$5000,Datos!$A$2:$A$5000,E$1,Datos!$B$2:$B$5000,$A46,Datos!$C$2:$C$5000,$B46,Datos!$D$2:$D$5000,E$2))</f>
        <v/>
      </c>
      <c r="F46" s="9">
        <f>IF(COUNTIFS(Datos!$A$2:$A$5000,F$1,Datos!$B$2:$B$5000,$A46,Datos!$C$2:$C$5000,$B46,Datos!$D$2:$D$5000,F$2)=0,"",SUMIFS(Datos!$E$2:$E$5000,Datos!$A$2:$A$5000,F$1,Datos!$B$2:$B$5000,$A46,Datos!$C$2:$C$5000,$B46,Datos!$D$2:$D$5000,F$2))</f>
        <v/>
      </c>
      <c r="G46" s="9">
        <f>IF(COUNTIFS(Datos!$A$2:$A$5000,G$1,Datos!$B$2:$B$5000,$A46,Datos!$C$2:$C$5000,$B46,Datos!$D$2:$D$5000,G$2)=0,"",SUMIFS(Datos!$E$2:$E$5000,Datos!$A$2:$A$5000,G$1,Datos!$B$2:$B$5000,$A46,Datos!$C$2:$C$5000,$B46,Datos!$D$2:$D$5000,G$2))</f>
        <v/>
      </c>
      <c r="H46" s="9">
        <f>IF(COUNTIFS(Datos!$A$2:$A$5000,H$1,Datos!$B$2:$B$5000,$A46,Datos!$C$2:$C$5000,$B46,Datos!$D$2:$D$5000,H$2)=0,"",SUMIFS(Datos!$E$2:$E$5000,Datos!$A$2:$A$5000,H$1,Datos!$B$2:$B$5000,$A46,Datos!$C$2:$C$5000,$B46,Datos!$D$2:$D$5000,H$2))</f>
        <v/>
      </c>
      <c r="I46" s="9">
        <f>IF(COUNTIFS(Datos!$A$2:$A$5000,I$1,Datos!$B$2:$B$5000,$A46,Datos!$C$2:$C$5000,$B46,Datos!$D$2:$D$5000,I$2)=0,"",SUMIFS(Datos!$E$2:$E$5000,Datos!$A$2:$A$5000,I$1,Datos!$B$2:$B$5000,$A46,Datos!$C$2:$C$5000,$B46,Datos!$D$2:$D$5000,I$2))</f>
        <v/>
      </c>
      <c r="J46" s="9">
        <f>IF(COUNTIFS(Datos!$A$2:$A$5000,J$1,Datos!$B$2:$B$5000,$A46,Datos!$C$2:$C$5000,$B46,Datos!$D$2:$D$5000,J$2)=0,"",SUMIFS(Datos!$E$2:$E$5000,Datos!$A$2:$A$5000,J$1,Datos!$B$2:$B$5000,$A46,Datos!$C$2:$C$5000,$B46,Datos!$D$2:$D$5000,J$2))</f>
        <v/>
      </c>
    </row>
    <row r="47">
      <c r="A47" s="8" t="inlineStr">
        <is>
          <t>Brasil</t>
        </is>
      </c>
      <c r="B47" s="8" t="n">
        <v>1997</v>
      </c>
      <c r="C47" s="9">
        <f>IF(COUNTIFS(Datos!$A$2:$A$5000,C$1,Datos!$B$2:$B$5000,$A47,Datos!$C$2:$C$5000,$B47,Datos!$D$2:$D$5000,C$2)=0,"",SUMIFS(Datos!$E$2:$E$5000,Datos!$A$2:$A$5000,C$1,Datos!$B$2:$B$5000,$A47,Datos!$C$2:$C$5000,$B47,Datos!$D$2:$D$5000,C$2))</f>
        <v/>
      </c>
      <c r="D47" s="9">
        <f>IF(COUNTIFS(Datos!$A$2:$A$5000,D$1,Datos!$B$2:$B$5000,$A47,Datos!$C$2:$C$5000,$B47,Datos!$D$2:$D$5000,D$2)=0,"",SUMIFS(Datos!$E$2:$E$5000,Datos!$A$2:$A$5000,D$1,Datos!$B$2:$B$5000,$A47,Datos!$C$2:$C$5000,$B47,Datos!$D$2:$D$5000,D$2))</f>
        <v/>
      </c>
      <c r="E47" s="9">
        <f>IF(COUNTIFS(Datos!$A$2:$A$5000,E$1,Datos!$B$2:$B$5000,$A47,Datos!$C$2:$C$5000,$B47,Datos!$D$2:$D$5000,E$2)=0,"",SUMIFS(Datos!$E$2:$E$5000,Datos!$A$2:$A$5000,E$1,Datos!$B$2:$B$5000,$A47,Datos!$C$2:$C$5000,$B47,Datos!$D$2:$D$5000,E$2))</f>
        <v/>
      </c>
      <c r="F47" s="9">
        <f>IF(COUNTIFS(Datos!$A$2:$A$5000,F$1,Datos!$B$2:$B$5000,$A47,Datos!$C$2:$C$5000,$B47,Datos!$D$2:$D$5000,F$2)=0,"",SUMIFS(Datos!$E$2:$E$5000,Datos!$A$2:$A$5000,F$1,Datos!$B$2:$B$5000,$A47,Datos!$C$2:$C$5000,$B47,Datos!$D$2:$D$5000,F$2))</f>
        <v/>
      </c>
      <c r="G47" s="9">
        <f>IF(COUNTIFS(Datos!$A$2:$A$5000,G$1,Datos!$B$2:$B$5000,$A47,Datos!$C$2:$C$5000,$B47,Datos!$D$2:$D$5000,G$2)=0,"",SUMIFS(Datos!$E$2:$E$5000,Datos!$A$2:$A$5000,G$1,Datos!$B$2:$B$5000,$A47,Datos!$C$2:$C$5000,$B47,Datos!$D$2:$D$5000,G$2))</f>
        <v/>
      </c>
      <c r="H47" s="9">
        <f>IF(COUNTIFS(Datos!$A$2:$A$5000,H$1,Datos!$B$2:$B$5000,$A47,Datos!$C$2:$C$5000,$B47,Datos!$D$2:$D$5000,H$2)=0,"",SUMIFS(Datos!$E$2:$E$5000,Datos!$A$2:$A$5000,H$1,Datos!$B$2:$B$5000,$A47,Datos!$C$2:$C$5000,$B47,Datos!$D$2:$D$5000,H$2))</f>
        <v/>
      </c>
      <c r="I47" s="9">
        <f>IF(COUNTIFS(Datos!$A$2:$A$5000,I$1,Datos!$B$2:$B$5000,$A47,Datos!$C$2:$C$5000,$B47,Datos!$D$2:$D$5000,I$2)=0,"",SUMIFS(Datos!$E$2:$E$5000,Datos!$A$2:$A$5000,I$1,Datos!$B$2:$B$5000,$A47,Datos!$C$2:$C$5000,$B47,Datos!$D$2:$D$5000,I$2))</f>
        <v/>
      </c>
      <c r="J47" s="9">
        <f>IF(COUNTIFS(Datos!$A$2:$A$5000,J$1,Datos!$B$2:$B$5000,$A47,Datos!$C$2:$C$5000,$B47,Datos!$D$2:$D$5000,J$2)=0,"",SUMIFS(Datos!$E$2:$E$5000,Datos!$A$2:$A$5000,J$1,Datos!$B$2:$B$5000,$A47,Datos!$C$2:$C$5000,$B47,Datos!$D$2:$D$5000,J$2))</f>
        <v/>
      </c>
    </row>
    <row r="48">
      <c r="A48" s="8" t="inlineStr">
        <is>
          <t>Brasil</t>
        </is>
      </c>
      <c r="B48" s="8" t="n">
        <v>1998</v>
      </c>
      <c r="C48" s="9">
        <f>IF(COUNTIFS(Datos!$A$2:$A$5000,C$1,Datos!$B$2:$B$5000,$A48,Datos!$C$2:$C$5000,$B48,Datos!$D$2:$D$5000,C$2)=0,"",SUMIFS(Datos!$E$2:$E$5000,Datos!$A$2:$A$5000,C$1,Datos!$B$2:$B$5000,$A48,Datos!$C$2:$C$5000,$B48,Datos!$D$2:$D$5000,C$2))</f>
        <v/>
      </c>
      <c r="D48" s="9">
        <f>IF(COUNTIFS(Datos!$A$2:$A$5000,D$1,Datos!$B$2:$B$5000,$A48,Datos!$C$2:$C$5000,$B48,Datos!$D$2:$D$5000,D$2)=0,"",SUMIFS(Datos!$E$2:$E$5000,Datos!$A$2:$A$5000,D$1,Datos!$B$2:$B$5000,$A48,Datos!$C$2:$C$5000,$B48,Datos!$D$2:$D$5000,D$2))</f>
        <v/>
      </c>
      <c r="E48" s="9">
        <f>IF(COUNTIFS(Datos!$A$2:$A$5000,E$1,Datos!$B$2:$B$5000,$A48,Datos!$C$2:$C$5000,$B48,Datos!$D$2:$D$5000,E$2)=0,"",SUMIFS(Datos!$E$2:$E$5000,Datos!$A$2:$A$5000,E$1,Datos!$B$2:$B$5000,$A48,Datos!$C$2:$C$5000,$B48,Datos!$D$2:$D$5000,E$2))</f>
        <v/>
      </c>
      <c r="F48" s="9">
        <f>IF(COUNTIFS(Datos!$A$2:$A$5000,F$1,Datos!$B$2:$B$5000,$A48,Datos!$C$2:$C$5000,$B48,Datos!$D$2:$D$5000,F$2)=0,"",SUMIFS(Datos!$E$2:$E$5000,Datos!$A$2:$A$5000,F$1,Datos!$B$2:$B$5000,$A48,Datos!$C$2:$C$5000,$B48,Datos!$D$2:$D$5000,F$2))</f>
        <v/>
      </c>
      <c r="G48" s="9">
        <f>IF(COUNTIFS(Datos!$A$2:$A$5000,G$1,Datos!$B$2:$B$5000,$A48,Datos!$C$2:$C$5000,$B48,Datos!$D$2:$D$5000,G$2)=0,"",SUMIFS(Datos!$E$2:$E$5000,Datos!$A$2:$A$5000,G$1,Datos!$B$2:$B$5000,$A48,Datos!$C$2:$C$5000,$B48,Datos!$D$2:$D$5000,G$2))</f>
        <v/>
      </c>
      <c r="H48" s="9">
        <f>IF(COUNTIFS(Datos!$A$2:$A$5000,H$1,Datos!$B$2:$B$5000,$A48,Datos!$C$2:$C$5000,$B48,Datos!$D$2:$D$5000,H$2)=0,"",SUMIFS(Datos!$E$2:$E$5000,Datos!$A$2:$A$5000,H$1,Datos!$B$2:$B$5000,$A48,Datos!$C$2:$C$5000,$B48,Datos!$D$2:$D$5000,H$2))</f>
        <v/>
      </c>
      <c r="I48" s="9">
        <f>IF(COUNTIFS(Datos!$A$2:$A$5000,I$1,Datos!$B$2:$B$5000,$A48,Datos!$C$2:$C$5000,$B48,Datos!$D$2:$D$5000,I$2)=0,"",SUMIFS(Datos!$E$2:$E$5000,Datos!$A$2:$A$5000,I$1,Datos!$B$2:$B$5000,$A48,Datos!$C$2:$C$5000,$B48,Datos!$D$2:$D$5000,I$2))</f>
        <v/>
      </c>
      <c r="J48" s="9">
        <f>IF(COUNTIFS(Datos!$A$2:$A$5000,J$1,Datos!$B$2:$B$5000,$A48,Datos!$C$2:$C$5000,$B48,Datos!$D$2:$D$5000,J$2)=0,"",SUMIFS(Datos!$E$2:$E$5000,Datos!$A$2:$A$5000,J$1,Datos!$B$2:$B$5000,$A48,Datos!$C$2:$C$5000,$B48,Datos!$D$2:$D$5000,J$2))</f>
        <v/>
      </c>
    </row>
    <row r="49">
      <c r="A49" s="8" t="inlineStr">
        <is>
          <t>Brasil</t>
        </is>
      </c>
      <c r="B49" s="8" t="n">
        <v>2000</v>
      </c>
      <c r="C49" s="9">
        <f>IF(COUNTIFS(Datos!$A$2:$A$5000,C$1,Datos!$B$2:$B$5000,$A49,Datos!$C$2:$C$5000,$B49,Datos!$D$2:$D$5000,C$2)=0,"",SUMIFS(Datos!$E$2:$E$5000,Datos!$A$2:$A$5000,C$1,Datos!$B$2:$B$5000,$A49,Datos!$C$2:$C$5000,$B49,Datos!$D$2:$D$5000,C$2))</f>
        <v/>
      </c>
      <c r="D49" s="9">
        <f>IF(COUNTIFS(Datos!$A$2:$A$5000,D$1,Datos!$B$2:$B$5000,$A49,Datos!$C$2:$C$5000,$B49,Datos!$D$2:$D$5000,D$2)=0,"",SUMIFS(Datos!$E$2:$E$5000,Datos!$A$2:$A$5000,D$1,Datos!$B$2:$B$5000,$A49,Datos!$C$2:$C$5000,$B49,Datos!$D$2:$D$5000,D$2))</f>
        <v/>
      </c>
      <c r="E49" s="9">
        <f>IF(COUNTIFS(Datos!$A$2:$A$5000,E$1,Datos!$B$2:$B$5000,$A49,Datos!$C$2:$C$5000,$B49,Datos!$D$2:$D$5000,E$2)=0,"",SUMIFS(Datos!$E$2:$E$5000,Datos!$A$2:$A$5000,E$1,Datos!$B$2:$B$5000,$A49,Datos!$C$2:$C$5000,$B49,Datos!$D$2:$D$5000,E$2))</f>
        <v/>
      </c>
      <c r="F49" s="9">
        <f>IF(COUNTIFS(Datos!$A$2:$A$5000,F$1,Datos!$B$2:$B$5000,$A49,Datos!$C$2:$C$5000,$B49,Datos!$D$2:$D$5000,F$2)=0,"",SUMIFS(Datos!$E$2:$E$5000,Datos!$A$2:$A$5000,F$1,Datos!$B$2:$B$5000,$A49,Datos!$C$2:$C$5000,$B49,Datos!$D$2:$D$5000,F$2))</f>
        <v/>
      </c>
      <c r="G49" s="9">
        <f>IF(COUNTIFS(Datos!$A$2:$A$5000,G$1,Datos!$B$2:$B$5000,$A49,Datos!$C$2:$C$5000,$B49,Datos!$D$2:$D$5000,G$2)=0,"",SUMIFS(Datos!$E$2:$E$5000,Datos!$A$2:$A$5000,G$1,Datos!$B$2:$B$5000,$A49,Datos!$C$2:$C$5000,$B49,Datos!$D$2:$D$5000,G$2))</f>
        <v/>
      </c>
      <c r="H49" s="9">
        <f>IF(COUNTIFS(Datos!$A$2:$A$5000,H$1,Datos!$B$2:$B$5000,$A49,Datos!$C$2:$C$5000,$B49,Datos!$D$2:$D$5000,H$2)=0,"",SUMIFS(Datos!$E$2:$E$5000,Datos!$A$2:$A$5000,H$1,Datos!$B$2:$B$5000,$A49,Datos!$C$2:$C$5000,$B49,Datos!$D$2:$D$5000,H$2))</f>
        <v/>
      </c>
      <c r="I49" s="9">
        <f>IF(COUNTIFS(Datos!$A$2:$A$5000,I$1,Datos!$B$2:$B$5000,$A49,Datos!$C$2:$C$5000,$B49,Datos!$D$2:$D$5000,I$2)=0,"",SUMIFS(Datos!$E$2:$E$5000,Datos!$A$2:$A$5000,I$1,Datos!$B$2:$B$5000,$A49,Datos!$C$2:$C$5000,$B49,Datos!$D$2:$D$5000,I$2))</f>
        <v/>
      </c>
      <c r="J49" s="9">
        <f>IF(COUNTIFS(Datos!$A$2:$A$5000,J$1,Datos!$B$2:$B$5000,$A49,Datos!$C$2:$C$5000,$B49,Datos!$D$2:$D$5000,J$2)=0,"",SUMIFS(Datos!$E$2:$E$5000,Datos!$A$2:$A$5000,J$1,Datos!$B$2:$B$5000,$A49,Datos!$C$2:$C$5000,$B49,Datos!$D$2:$D$5000,J$2))</f>
        <v/>
      </c>
    </row>
    <row r="50">
      <c r="A50" s="8" t="inlineStr">
        <is>
          <t>Brasil</t>
        </is>
      </c>
      <c r="B50" s="8" t="n">
        <v>2001</v>
      </c>
      <c r="C50" s="9">
        <f>IF(COUNTIFS(Datos!$A$2:$A$5000,C$1,Datos!$B$2:$B$5000,$A50,Datos!$C$2:$C$5000,$B50,Datos!$D$2:$D$5000,C$2)=0,"",SUMIFS(Datos!$E$2:$E$5000,Datos!$A$2:$A$5000,C$1,Datos!$B$2:$B$5000,$A50,Datos!$C$2:$C$5000,$B50,Datos!$D$2:$D$5000,C$2))</f>
        <v/>
      </c>
      <c r="D50" s="9">
        <f>IF(COUNTIFS(Datos!$A$2:$A$5000,D$1,Datos!$B$2:$B$5000,$A50,Datos!$C$2:$C$5000,$B50,Datos!$D$2:$D$5000,D$2)=0,"",SUMIFS(Datos!$E$2:$E$5000,Datos!$A$2:$A$5000,D$1,Datos!$B$2:$B$5000,$A50,Datos!$C$2:$C$5000,$B50,Datos!$D$2:$D$5000,D$2))</f>
        <v/>
      </c>
      <c r="E50" s="9">
        <f>IF(COUNTIFS(Datos!$A$2:$A$5000,E$1,Datos!$B$2:$B$5000,$A50,Datos!$C$2:$C$5000,$B50,Datos!$D$2:$D$5000,E$2)=0,"",SUMIFS(Datos!$E$2:$E$5000,Datos!$A$2:$A$5000,E$1,Datos!$B$2:$B$5000,$A50,Datos!$C$2:$C$5000,$B50,Datos!$D$2:$D$5000,E$2))</f>
        <v/>
      </c>
      <c r="F50" s="9">
        <f>IF(COUNTIFS(Datos!$A$2:$A$5000,F$1,Datos!$B$2:$B$5000,$A50,Datos!$C$2:$C$5000,$B50,Datos!$D$2:$D$5000,F$2)=0,"",SUMIFS(Datos!$E$2:$E$5000,Datos!$A$2:$A$5000,F$1,Datos!$B$2:$B$5000,$A50,Datos!$C$2:$C$5000,$B50,Datos!$D$2:$D$5000,F$2))</f>
        <v/>
      </c>
      <c r="G50" s="9">
        <f>IF(COUNTIFS(Datos!$A$2:$A$5000,G$1,Datos!$B$2:$B$5000,$A50,Datos!$C$2:$C$5000,$B50,Datos!$D$2:$D$5000,G$2)=0,"",SUMIFS(Datos!$E$2:$E$5000,Datos!$A$2:$A$5000,G$1,Datos!$B$2:$B$5000,$A50,Datos!$C$2:$C$5000,$B50,Datos!$D$2:$D$5000,G$2))</f>
        <v/>
      </c>
      <c r="H50" s="9">
        <f>IF(COUNTIFS(Datos!$A$2:$A$5000,H$1,Datos!$B$2:$B$5000,$A50,Datos!$C$2:$C$5000,$B50,Datos!$D$2:$D$5000,H$2)=0,"",SUMIFS(Datos!$E$2:$E$5000,Datos!$A$2:$A$5000,H$1,Datos!$B$2:$B$5000,$A50,Datos!$C$2:$C$5000,$B50,Datos!$D$2:$D$5000,H$2))</f>
        <v/>
      </c>
      <c r="I50" s="9">
        <f>IF(COUNTIFS(Datos!$A$2:$A$5000,I$1,Datos!$B$2:$B$5000,$A50,Datos!$C$2:$C$5000,$B50,Datos!$D$2:$D$5000,I$2)=0,"",SUMIFS(Datos!$E$2:$E$5000,Datos!$A$2:$A$5000,I$1,Datos!$B$2:$B$5000,$A50,Datos!$C$2:$C$5000,$B50,Datos!$D$2:$D$5000,I$2))</f>
        <v/>
      </c>
      <c r="J50" s="9">
        <f>IF(COUNTIFS(Datos!$A$2:$A$5000,J$1,Datos!$B$2:$B$5000,$A50,Datos!$C$2:$C$5000,$B50,Datos!$D$2:$D$5000,J$2)=0,"",SUMIFS(Datos!$E$2:$E$5000,Datos!$A$2:$A$5000,J$1,Datos!$B$2:$B$5000,$A50,Datos!$C$2:$C$5000,$B50,Datos!$D$2:$D$5000,J$2))</f>
        <v/>
      </c>
    </row>
    <row r="51">
      <c r="A51" s="8" t="inlineStr">
        <is>
          <t>Brasil</t>
        </is>
      </c>
      <c r="B51" s="8" t="n">
        <v>2002</v>
      </c>
      <c r="C51" s="9">
        <f>IF(COUNTIFS(Datos!$A$2:$A$5000,C$1,Datos!$B$2:$B$5000,$A51,Datos!$C$2:$C$5000,$B51,Datos!$D$2:$D$5000,C$2)=0,"",SUMIFS(Datos!$E$2:$E$5000,Datos!$A$2:$A$5000,C$1,Datos!$B$2:$B$5000,$A51,Datos!$C$2:$C$5000,$B51,Datos!$D$2:$D$5000,C$2))</f>
        <v/>
      </c>
      <c r="D51" s="9">
        <f>IF(COUNTIFS(Datos!$A$2:$A$5000,D$1,Datos!$B$2:$B$5000,$A51,Datos!$C$2:$C$5000,$B51,Datos!$D$2:$D$5000,D$2)=0,"",SUMIFS(Datos!$E$2:$E$5000,Datos!$A$2:$A$5000,D$1,Datos!$B$2:$B$5000,$A51,Datos!$C$2:$C$5000,$B51,Datos!$D$2:$D$5000,D$2))</f>
        <v/>
      </c>
      <c r="E51" s="9">
        <f>IF(COUNTIFS(Datos!$A$2:$A$5000,E$1,Datos!$B$2:$B$5000,$A51,Datos!$C$2:$C$5000,$B51,Datos!$D$2:$D$5000,E$2)=0,"",SUMIFS(Datos!$E$2:$E$5000,Datos!$A$2:$A$5000,E$1,Datos!$B$2:$B$5000,$A51,Datos!$C$2:$C$5000,$B51,Datos!$D$2:$D$5000,E$2))</f>
        <v/>
      </c>
      <c r="F51" s="9">
        <f>IF(COUNTIFS(Datos!$A$2:$A$5000,F$1,Datos!$B$2:$B$5000,$A51,Datos!$C$2:$C$5000,$B51,Datos!$D$2:$D$5000,F$2)=0,"",SUMIFS(Datos!$E$2:$E$5000,Datos!$A$2:$A$5000,F$1,Datos!$B$2:$B$5000,$A51,Datos!$C$2:$C$5000,$B51,Datos!$D$2:$D$5000,F$2))</f>
        <v/>
      </c>
      <c r="G51" s="9">
        <f>IF(COUNTIFS(Datos!$A$2:$A$5000,G$1,Datos!$B$2:$B$5000,$A51,Datos!$C$2:$C$5000,$B51,Datos!$D$2:$D$5000,G$2)=0,"",SUMIFS(Datos!$E$2:$E$5000,Datos!$A$2:$A$5000,G$1,Datos!$B$2:$B$5000,$A51,Datos!$C$2:$C$5000,$B51,Datos!$D$2:$D$5000,G$2))</f>
        <v/>
      </c>
      <c r="H51" s="9">
        <f>IF(COUNTIFS(Datos!$A$2:$A$5000,H$1,Datos!$B$2:$B$5000,$A51,Datos!$C$2:$C$5000,$B51,Datos!$D$2:$D$5000,H$2)=0,"",SUMIFS(Datos!$E$2:$E$5000,Datos!$A$2:$A$5000,H$1,Datos!$B$2:$B$5000,$A51,Datos!$C$2:$C$5000,$B51,Datos!$D$2:$D$5000,H$2))</f>
        <v/>
      </c>
      <c r="I51" s="9">
        <f>IF(COUNTIFS(Datos!$A$2:$A$5000,I$1,Datos!$B$2:$B$5000,$A51,Datos!$C$2:$C$5000,$B51,Datos!$D$2:$D$5000,I$2)=0,"",SUMIFS(Datos!$E$2:$E$5000,Datos!$A$2:$A$5000,I$1,Datos!$B$2:$B$5000,$A51,Datos!$C$2:$C$5000,$B51,Datos!$D$2:$D$5000,I$2))</f>
        <v/>
      </c>
      <c r="J51" s="9">
        <f>IF(COUNTIFS(Datos!$A$2:$A$5000,J$1,Datos!$B$2:$B$5000,$A51,Datos!$C$2:$C$5000,$B51,Datos!$D$2:$D$5000,J$2)=0,"",SUMIFS(Datos!$E$2:$E$5000,Datos!$A$2:$A$5000,J$1,Datos!$B$2:$B$5000,$A51,Datos!$C$2:$C$5000,$B51,Datos!$D$2:$D$5000,J$2))</f>
        <v/>
      </c>
    </row>
    <row r="52">
      <c r="A52" s="8" t="inlineStr">
        <is>
          <t>Brasil</t>
        </is>
      </c>
      <c r="B52" s="8" t="n">
        <v>2003</v>
      </c>
      <c r="C52" s="9">
        <f>IF(COUNTIFS(Datos!$A$2:$A$5000,C$1,Datos!$B$2:$B$5000,$A52,Datos!$C$2:$C$5000,$B52,Datos!$D$2:$D$5000,C$2)=0,"",SUMIFS(Datos!$E$2:$E$5000,Datos!$A$2:$A$5000,C$1,Datos!$B$2:$B$5000,$A52,Datos!$C$2:$C$5000,$B52,Datos!$D$2:$D$5000,C$2))</f>
        <v/>
      </c>
      <c r="D52" s="9">
        <f>IF(COUNTIFS(Datos!$A$2:$A$5000,D$1,Datos!$B$2:$B$5000,$A52,Datos!$C$2:$C$5000,$B52,Datos!$D$2:$D$5000,D$2)=0,"",SUMIFS(Datos!$E$2:$E$5000,Datos!$A$2:$A$5000,D$1,Datos!$B$2:$B$5000,$A52,Datos!$C$2:$C$5000,$B52,Datos!$D$2:$D$5000,D$2))</f>
        <v/>
      </c>
      <c r="E52" s="9">
        <f>IF(COUNTIFS(Datos!$A$2:$A$5000,E$1,Datos!$B$2:$B$5000,$A52,Datos!$C$2:$C$5000,$B52,Datos!$D$2:$D$5000,E$2)=0,"",SUMIFS(Datos!$E$2:$E$5000,Datos!$A$2:$A$5000,E$1,Datos!$B$2:$B$5000,$A52,Datos!$C$2:$C$5000,$B52,Datos!$D$2:$D$5000,E$2))</f>
        <v/>
      </c>
      <c r="F52" s="9">
        <f>IF(COUNTIFS(Datos!$A$2:$A$5000,F$1,Datos!$B$2:$B$5000,$A52,Datos!$C$2:$C$5000,$B52,Datos!$D$2:$D$5000,F$2)=0,"",SUMIFS(Datos!$E$2:$E$5000,Datos!$A$2:$A$5000,F$1,Datos!$B$2:$B$5000,$A52,Datos!$C$2:$C$5000,$B52,Datos!$D$2:$D$5000,F$2))</f>
        <v/>
      </c>
      <c r="G52" s="9">
        <f>IF(COUNTIFS(Datos!$A$2:$A$5000,G$1,Datos!$B$2:$B$5000,$A52,Datos!$C$2:$C$5000,$B52,Datos!$D$2:$D$5000,G$2)=0,"",SUMIFS(Datos!$E$2:$E$5000,Datos!$A$2:$A$5000,G$1,Datos!$B$2:$B$5000,$A52,Datos!$C$2:$C$5000,$B52,Datos!$D$2:$D$5000,G$2))</f>
        <v/>
      </c>
      <c r="H52" s="9">
        <f>IF(COUNTIFS(Datos!$A$2:$A$5000,H$1,Datos!$B$2:$B$5000,$A52,Datos!$C$2:$C$5000,$B52,Datos!$D$2:$D$5000,H$2)=0,"",SUMIFS(Datos!$E$2:$E$5000,Datos!$A$2:$A$5000,H$1,Datos!$B$2:$B$5000,$A52,Datos!$C$2:$C$5000,$B52,Datos!$D$2:$D$5000,H$2))</f>
        <v/>
      </c>
      <c r="I52" s="9">
        <f>IF(COUNTIFS(Datos!$A$2:$A$5000,I$1,Datos!$B$2:$B$5000,$A52,Datos!$C$2:$C$5000,$B52,Datos!$D$2:$D$5000,I$2)=0,"",SUMIFS(Datos!$E$2:$E$5000,Datos!$A$2:$A$5000,I$1,Datos!$B$2:$B$5000,$A52,Datos!$C$2:$C$5000,$B52,Datos!$D$2:$D$5000,I$2))</f>
        <v/>
      </c>
      <c r="J52" s="9">
        <f>IF(COUNTIFS(Datos!$A$2:$A$5000,J$1,Datos!$B$2:$B$5000,$A52,Datos!$C$2:$C$5000,$B52,Datos!$D$2:$D$5000,J$2)=0,"",SUMIFS(Datos!$E$2:$E$5000,Datos!$A$2:$A$5000,J$1,Datos!$B$2:$B$5000,$A52,Datos!$C$2:$C$5000,$B52,Datos!$D$2:$D$5000,J$2))</f>
        <v/>
      </c>
    </row>
    <row r="53">
      <c r="A53" s="8" t="inlineStr">
        <is>
          <t>Brasil</t>
        </is>
      </c>
      <c r="B53" s="8" t="n">
        <v>2004</v>
      </c>
      <c r="C53" s="9">
        <f>IF(COUNTIFS(Datos!$A$2:$A$5000,C$1,Datos!$B$2:$B$5000,$A53,Datos!$C$2:$C$5000,$B53,Datos!$D$2:$D$5000,C$2)=0,"",SUMIFS(Datos!$E$2:$E$5000,Datos!$A$2:$A$5000,C$1,Datos!$B$2:$B$5000,$A53,Datos!$C$2:$C$5000,$B53,Datos!$D$2:$D$5000,C$2))</f>
        <v/>
      </c>
      <c r="D53" s="9">
        <f>IF(COUNTIFS(Datos!$A$2:$A$5000,D$1,Datos!$B$2:$B$5000,$A53,Datos!$C$2:$C$5000,$B53,Datos!$D$2:$D$5000,D$2)=0,"",SUMIFS(Datos!$E$2:$E$5000,Datos!$A$2:$A$5000,D$1,Datos!$B$2:$B$5000,$A53,Datos!$C$2:$C$5000,$B53,Datos!$D$2:$D$5000,D$2))</f>
        <v/>
      </c>
      <c r="E53" s="9">
        <f>IF(COUNTIFS(Datos!$A$2:$A$5000,E$1,Datos!$B$2:$B$5000,$A53,Datos!$C$2:$C$5000,$B53,Datos!$D$2:$D$5000,E$2)=0,"",SUMIFS(Datos!$E$2:$E$5000,Datos!$A$2:$A$5000,E$1,Datos!$B$2:$B$5000,$A53,Datos!$C$2:$C$5000,$B53,Datos!$D$2:$D$5000,E$2))</f>
        <v/>
      </c>
      <c r="F53" s="9">
        <f>IF(COUNTIFS(Datos!$A$2:$A$5000,F$1,Datos!$B$2:$B$5000,$A53,Datos!$C$2:$C$5000,$B53,Datos!$D$2:$D$5000,F$2)=0,"",SUMIFS(Datos!$E$2:$E$5000,Datos!$A$2:$A$5000,F$1,Datos!$B$2:$B$5000,$A53,Datos!$C$2:$C$5000,$B53,Datos!$D$2:$D$5000,F$2))</f>
        <v/>
      </c>
      <c r="G53" s="9">
        <f>IF(COUNTIFS(Datos!$A$2:$A$5000,G$1,Datos!$B$2:$B$5000,$A53,Datos!$C$2:$C$5000,$B53,Datos!$D$2:$D$5000,G$2)=0,"",SUMIFS(Datos!$E$2:$E$5000,Datos!$A$2:$A$5000,G$1,Datos!$B$2:$B$5000,$A53,Datos!$C$2:$C$5000,$B53,Datos!$D$2:$D$5000,G$2))</f>
        <v/>
      </c>
      <c r="H53" s="9">
        <f>IF(COUNTIFS(Datos!$A$2:$A$5000,H$1,Datos!$B$2:$B$5000,$A53,Datos!$C$2:$C$5000,$B53,Datos!$D$2:$D$5000,H$2)=0,"",SUMIFS(Datos!$E$2:$E$5000,Datos!$A$2:$A$5000,H$1,Datos!$B$2:$B$5000,$A53,Datos!$C$2:$C$5000,$B53,Datos!$D$2:$D$5000,H$2))</f>
        <v/>
      </c>
      <c r="I53" s="9">
        <f>IF(COUNTIFS(Datos!$A$2:$A$5000,I$1,Datos!$B$2:$B$5000,$A53,Datos!$C$2:$C$5000,$B53,Datos!$D$2:$D$5000,I$2)=0,"",SUMIFS(Datos!$E$2:$E$5000,Datos!$A$2:$A$5000,I$1,Datos!$B$2:$B$5000,$A53,Datos!$C$2:$C$5000,$B53,Datos!$D$2:$D$5000,I$2))</f>
        <v/>
      </c>
      <c r="J53" s="9">
        <f>IF(COUNTIFS(Datos!$A$2:$A$5000,J$1,Datos!$B$2:$B$5000,$A53,Datos!$C$2:$C$5000,$B53,Datos!$D$2:$D$5000,J$2)=0,"",SUMIFS(Datos!$E$2:$E$5000,Datos!$A$2:$A$5000,J$1,Datos!$B$2:$B$5000,$A53,Datos!$C$2:$C$5000,$B53,Datos!$D$2:$D$5000,J$2))</f>
        <v/>
      </c>
    </row>
    <row r="54">
      <c r="A54" s="8" t="inlineStr">
        <is>
          <t>Brasil</t>
        </is>
      </c>
      <c r="B54" s="8" t="n">
        <v>2005</v>
      </c>
      <c r="C54" s="9">
        <f>IF(COUNTIFS(Datos!$A$2:$A$5000,C$1,Datos!$B$2:$B$5000,$A54,Datos!$C$2:$C$5000,$B54,Datos!$D$2:$D$5000,C$2)=0,"",SUMIFS(Datos!$E$2:$E$5000,Datos!$A$2:$A$5000,C$1,Datos!$B$2:$B$5000,$A54,Datos!$C$2:$C$5000,$B54,Datos!$D$2:$D$5000,C$2))</f>
        <v/>
      </c>
      <c r="D54" s="9">
        <f>IF(COUNTIFS(Datos!$A$2:$A$5000,D$1,Datos!$B$2:$B$5000,$A54,Datos!$C$2:$C$5000,$B54,Datos!$D$2:$D$5000,D$2)=0,"",SUMIFS(Datos!$E$2:$E$5000,Datos!$A$2:$A$5000,D$1,Datos!$B$2:$B$5000,$A54,Datos!$C$2:$C$5000,$B54,Datos!$D$2:$D$5000,D$2))</f>
        <v/>
      </c>
      <c r="E54" s="9">
        <f>IF(COUNTIFS(Datos!$A$2:$A$5000,E$1,Datos!$B$2:$B$5000,$A54,Datos!$C$2:$C$5000,$B54,Datos!$D$2:$D$5000,E$2)=0,"",SUMIFS(Datos!$E$2:$E$5000,Datos!$A$2:$A$5000,E$1,Datos!$B$2:$B$5000,$A54,Datos!$C$2:$C$5000,$B54,Datos!$D$2:$D$5000,E$2))</f>
        <v/>
      </c>
      <c r="F54" s="9">
        <f>IF(COUNTIFS(Datos!$A$2:$A$5000,F$1,Datos!$B$2:$B$5000,$A54,Datos!$C$2:$C$5000,$B54,Datos!$D$2:$D$5000,F$2)=0,"",SUMIFS(Datos!$E$2:$E$5000,Datos!$A$2:$A$5000,F$1,Datos!$B$2:$B$5000,$A54,Datos!$C$2:$C$5000,$B54,Datos!$D$2:$D$5000,F$2))</f>
        <v/>
      </c>
      <c r="G54" s="9">
        <f>IF(COUNTIFS(Datos!$A$2:$A$5000,G$1,Datos!$B$2:$B$5000,$A54,Datos!$C$2:$C$5000,$B54,Datos!$D$2:$D$5000,G$2)=0,"",SUMIFS(Datos!$E$2:$E$5000,Datos!$A$2:$A$5000,G$1,Datos!$B$2:$B$5000,$A54,Datos!$C$2:$C$5000,$B54,Datos!$D$2:$D$5000,G$2))</f>
        <v/>
      </c>
      <c r="H54" s="9">
        <f>IF(COUNTIFS(Datos!$A$2:$A$5000,H$1,Datos!$B$2:$B$5000,$A54,Datos!$C$2:$C$5000,$B54,Datos!$D$2:$D$5000,H$2)=0,"",SUMIFS(Datos!$E$2:$E$5000,Datos!$A$2:$A$5000,H$1,Datos!$B$2:$B$5000,$A54,Datos!$C$2:$C$5000,$B54,Datos!$D$2:$D$5000,H$2))</f>
        <v/>
      </c>
      <c r="I54" s="9">
        <f>IF(COUNTIFS(Datos!$A$2:$A$5000,I$1,Datos!$B$2:$B$5000,$A54,Datos!$C$2:$C$5000,$B54,Datos!$D$2:$D$5000,I$2)=0,"",SUMIFS(Datos!$E$2:$E$5000,Datos!$A$2:$A$5000,I$1,Datos!$B$2:$B$5000,$A54,Datos!$C$2:$C$5000,$B54,Datos!$D$2:$D$5000,I$2))</f>
        <v/>
      </c>
      <c r="J54" s="9">
        <f>IF(COUNTIFS(Datos!$A$2:$A$5000,J$1,Datos!$B$2:$B$5000,$A54,Datos!$C$2:$C$5000,$B54,Datos!$D$2:$D$5000,J$2)=0,"",SUMIFS(Datos!$E$2:$E$5000,Datos!$A$2:$A$5000,J$1,Datos!$B$2:$B$5000,$A54,Datos!$C$2:$C$5000,$B54,Datos!$D$2:$D$5000,J$2))</f>
        <v/>
      </c>
    </row>
    <row r="55">
      <c r="A55" s="8" t="inlineStr">
        <is>
          <t>Brasil</t>
        </is>
      </c>
      <c r="B55" s="8" t="n">
        <v>2006</v>
      </c>
      <c r="C55" s="9">
        <f>IF(COUNTIFS(Datos!$A$2:$A$5000,C$1,Datos!$B$2:$B$5000,$A55,Datos!$C$2:$C$5000,$B55,Datos!$D$2:$D$5000,C$2)=0,"",SUMIFS(Datos!$E$2:$E$5000,Datos!$A$2:$A$5000,C$1,Datos!$B$2:$B$5000,$A55,Datos!$C$2:$C$5000,$B55,Datos!$D$2:$D$5000,C$2))</f>
        <v/>
      </c>
      <c r="D55" s="9">
        <f>IF(COUNTIFS(Datos!$A$2:$A$5000,D$1,Datos!$B$2:$B$5000,$A55,Datos!$C$2:$C$5000,$B55,Datos!$D$2:$D$5000,D$2)=0,"",SUMIFS(Datos!$E$2:$E$5000,Datos!$A$2:$A$5000,D$1,Datos!$B$2:$B$5000,$A55,Datos!$C$2:$C$5000,$B55,Datos!$D$2:$D$5000,D$2))</f>
        <v/>
      </c>
      <c r="E55" s="9">
        <f>IF(COUNTIFS(Datos!$A$2:$A$5000,E$1,Datos!$B$2:$B$5000,$A55,Datos!$C$2:$C$5000,$B55,Datos!$D$2:$D$5000,E$2)=0,"",SUMIFS(Datos!$E$2:$E$5000,Datos!$A$2:$A$5000,E$1,Datos!$B$2:$B$5000,$A55,Datos!$C$2:$C$5000,$B55,Datos!$D$2:$D$5000,E$2))</f>
        <v/>
      </c>
      <c r="F55" s="9">
        <f>IF(COUNTIFS(Datos!$A$2:$A$5000,F$1,Datos!$B$2:$B$5000,$A55,Datos!$C$2:$C$5000,$B55,Datos!$D$2:$D$5000,F$2)=0,"",SUMIFS(Datos!$E$2:$E$5000,Datos!$A$2:$A$5000,F$1,Datos!$B$2:$B$5000,$A55,Datos!$C$2:$C$5000,$B55,Datos!$D$2:$D$5000,F$2))</f>
        <v/>
      </c>
      <c r="G55" s="9">
        <f>IF(COUNTIFS(Datos!$A$2:$A$5000,G$1,Datos!$B$2:$B$5000,$A55,Datos!$C$2:$C$5000,$B55,Datos!$D$2:$D$5000,G$2)=0,"",SUMIFS(Datos!$E$2:$E$5000,Datos!$A$2:$A$5000,G$1,Datos!$B$2:$B$5000,$A55,Datos!$C$2:$C$5000,$B55,Datos!$D$2:$D$5000,G$2))</f>
        <v/>
      </c>
      <c r="H55" s="9">
        <f>IF(COUNTIFS(Datos!$A$2:$A$5000,H$1,Datos!$B$2:$B$5000,$A55,Datos!$C$2:$C$5000,$B55,Datos!$D$2:$D$5000,H$2)=0,"",SUMIFS(Datos!$E$2:$E$5000,Datos!$A$2:$A$5000,H$1,Datos!$B$2:$B$5000,$A55,Datos!$C$2:$C$5000,$B55,Datos!$D$2:$D$5000,H$2))</f>
        <v/>
      </c>
      <c r="I55" s="9">
        <f>IF(COUNTIFS(Datos!$A$2:$A$5000,I$1,Datos!$B$2:$B$5000,$A55,Datos!$C$2:$C$5000,$B55,Datos!$D$2:$D$5000,I$2)=0,"",SUMIFS(Datos!$E$2:$E$5000,Datos!$A$2:$A$5000,I$1,Datos!$B$2:$B$5000,$A55,Datos!$C$2:$C$5000,$B55,Datos!$D$2:$D$5000,I$2))</f>
        <v/>
      </c>
      <c r="J55" s="9">
        <f>IF(COUNTIFS(Datos!$A$2:$A$5000,J$1,Datos!$B$2:$B$5000,$A55,Datos!$C$2:$C$5000,$B55,Datos!$D$2:$D$5000,J$2)=0,"",SUMIFS(Datos!$E$2:$E$5000,Datos!$A$2:$A$5000,J$1,Datos!$B$2:$B$5000,$A55,Datos!$C$2:$C$5000,$B55,Datos!$D$2:$D$5000,J$2))</f>
        <v/>
      </c>
    </row>
    <row r="56">
      <c r="A56" s="8" t="inlineStr">
        <is>
          <t>Brasil</t>
        </is>
      </c>
      <c r="B56" s="8" t="n">
        <v>2007</v>
      </c>
      <c r="C56" s="9">
        <f>IF(COUNTIFS(Datos!$A$2:$A$5000,C$1,Datos!$B$2:$B$5000,$A56,Datos!$C$2:$C$5000,$B56,Datos!$D$2:$D$5000,C$2)=0,"",SUMIFS(Datos!$E$2:$E$5000,Datos!$A$2:$A$5000,C$1,Datos!$B$2:$B$5000,$A56,Datos!$C$2:$C$5000,$B56,Datos!$D$2:$D$5000,C$2))</f>
        <v/>
      </c>
      <c r="D56" s="9">
        <f>IF(COUNTIFS(Datos!$A$2:$A$5000,D$1,Datos!$B$2:$B$5000,$A56,Datos!$C$2:$C$5000,$B56,Datos!$D$2:$D$5000,D$2)=0,"",SUMIFS(Datos!$E$2:$E$5000,Datos!$A$2:$A$5000,D$1,Datos!$B$2:$B$5000,$A56,Datos!$C$2:$C$5000,$B56,Datos!$D$2:$D$5000,D$2))</f>
        <v/>
      </c>
      <c r="E56" s="9">
        <f>IF(COUNTIFS(Datos!$A$2:$A$5000,E$1,Datos!$B$2:$B$5000,$A56,Datos!$C$2:$C$5000,$B56,Datos!$D$2:$D$5000,E$2)=0,"",SUMIFS(Datos!$E$2:$E$5000,Datos!$A$2:$A$5000,E$1,Datos!$B$2:$B$5000,$A56,Datos!$C$2:$C$5000,$B56,Datos!$D$2:$D$5000,E$2))</f>
        <v/>
      </c>
      <c r="F56" s="9">
        <f>IF(COUNTIFS(Datos!$A$2:$A$5000,F$1,Datos!$B$2:$B$5000,$A56,Datos!$C$2:$C$5000,$B56,Datos!$D$2:$D$5000,F$2)=0,"",SUMIFS(Datos!$E$2:$E$5000,Datos!$A$2:$A$5000,F$1,Datos!$B$2:$B$5000,$A56,Datos!$C$2:$C$5000,$B56,Datos!$D$2:$D$5000,F$2))</f>
        <v/>
      </c>
      <c r="G56" s="9">
        <f>IF(COUNTIFS(Datos!$A$2:$A$5000,G$1,Datos!$B$2:$B$5000,$A56,Datos!$C$2:$C$5000,$B56,Datos!$D$2:$D$5000,G$2)=0,"",SUMIFS(Datos!$E$2:$E$5000,Datos!$A$2:$A$5000,G$1,Datos!$B$2:$B$5000,$A56,Datos!$C$2:$C$5000,$B56,Datos!$D$2:$D$5000,G$2))</f>
        <v/>
      </c>
      <c r="H56" s="9">
        <f>IF(COUNTIFS(Datos!$A$2:$A$5000,H$1,Datos!$B$2:$B$5000,$A56,Datos!$C$2:$C$5000,$B56,Datos!$D$2:$D$5000,H$2)=0,"",SUMIFS(Datos!$E$2:$E$5000,Datos!$A$2:$A$5000,H$1,Datos!$B$2:$B$5000,$A56,Datos!$C$2:$C$5000,$B56,Datos!$D$2:$D$5000,H$2))</f>
        <v/>
      </c>
      <c r="I56" s="9">
        <f>IF(COUNTIFS(Datos!$A$2:$A$5000,I$1,Datos!$B$2:$B$5000,$A56,Datos!$C$2:$C$5000,$B56,Datos!$D$2:$D$5000,I$2)=0,"",SUMIFS(Datos!$E$2:$E$5000,Datos!$A$2:$A$5000,I$1,Datos!$B$2:$B$5000,$A56,Datos!$C$2:$C$5000,$B56,Datos!$D$2:$D$5000,I$2))</f>
        <v/>
      </c>
      <c r="J56" s="9">
        <f>IF(COUNTIFS(Datos!$A$2:$A$5000,J$1,Datos!$B$2:$B$5000,$A56,Datos!$C$2:$C$5000,$B56,Datos!$D$2:$D$5000,J$2)=0,"",SUMIFS(Datos!$E$2:$E$5000,Datos!$A$2:$A$5000,J$1,Datos!$B$2:$B$5000,$A56,Datos!$C$2:$C$5000,$B56,Datos!$D$2:$D$5000,J$2))</f>
        <v/>
      </c>
    </row>
    <row r="57">
      <c r="A57" s="8" t="inlineStr">
        <is>
          <t>Brasil</t>
        </is>
      </c>
      <c r="B57" s="8" t="n">
        <v>2008</v>
      </c>
      <c r="C57" s="9">
        <f>IF(COUNTIFS(Datos!$A$2:$A$5000,C$1,Datos!$B$2:$B$5000,$A57,Datos!$C$2:$C$5000,$B57,Datos!$D$2:$D$5000,C$2)=0,"",SUMIFS(Datos!$E$2:$E$5000,Datos!$A$2:$A$5000,C$1,Datos!$B$2:$B$5000,$A57,Datos!$C$2:$C$5000,$B57,Datos!$D$2:$D$5000,C$2))</f>
        <v/>
      </c>
      <c r="D57" s="9">
        <f>IF(COUNTIFS(Datos!$A$2:$A$5000,D$1,Datos!$B$2:$B$5000,$A57,Datos!$C$2:$C$5000,$B57,Datos!$D$2:$D$5000,D$2)=0,"",SUMIFS(Datos!$E$2:$E$5000,Datos!$A$2:$A$5000,D$1,Datos!$B$2:$B$5000,$A57,Datos!$C$2:$C$5000,$B57,Datos!$D$2:$D$5000,D$2))</f>
        <v/>
      </c>
      <c r="E57" s="9">
        <f>IF(COUNTIFS(Datos!$A$2:$A$5000,E$1,Datos!$B$2:$B$5000,$A57,Datos!$C$2:$C$5000,$B57,Datos!$D$2:$D$5000,E$2)=0,"",SUMIFS(Datos!$E$2:$E$5000,Datos!$A$2:$A$5000,E$1,Datos!$B$2:$B$5000,$A57,Datos!$C$2:$C$5000,$B57,Datos!$D$2:$D$5000,E$2))</f>
        <v/>
      </c>
      <c r="F57" s="9">
        <f>IF(COUNTIFS(Datos!$A$2:$A$5000,F$1,Datos!$B$2:$B$5000,$A57,Datos!$C$2:$C$5000,$B57,Datos!$D$2:$D$5000,F$2)=0,"",SUMIFS(Datos!$E$2:$E$5000,Datos!$A$2:$A$5000,F$1,Datos!$B$2:$B$5000,$A57,Datos!$C$2:$C$5000,$B57,Datos!$D$2:$D$5000,F$2))</f>
        <v/>
      </c>
      <c r="G57" s="9">
        <f>IF(COUNTIFS(Datos!$A$2:$A$5000,G$1,Datos!$B$2:$B$5000,$A57,Datos!$C$2:$C$5000,$B57,Datos!$D$2:$D$5000,G$2)=0,"",SUMIFS(Datos!$E$2:$E$5000,Datos!$A$2:$A$5000,G$1,Datos!$B$2:$B$5000,$A57,Datos!$C$2:$C$5000,$B57,Datos!$D$2:$D$5000,G$2))</f>
        <v/>
      </c>
      <c r="H57" s="9">
        <f>IF(COUNTIFS(Datos!$A$2:$A$5000,H$1,Datos!$B$2:$B$5000,$A57,Datos!$C$2:$C$5000,$B57,Datos!$D$2:$D$5000,H$2)=0,"",SUMIFS(Datos!$E$2:$E$5000,Datos!$A$2:$A$5000,H$1,Datos!$B$2:$B$5000,$A57,Datos!$C$2:$C$5000,$B57,Datos!$D$2:$D$5000,H$2))</f>
        <v/>
      </c>
      <c r="I57" s="9">
        <f>IF(COUNTIFS(Datos!$A$2:$A$5000,I$1,Datos!$B$2:$B$5000,$A57,Datos!$C$2:$C$5000,$B57,Datos!$D$2:$D$5000,I$2)=0,"",SUMIFS(Datos!$E$2:$E$5000,Datos!$A$2:$A$5000,I$1,Datos!$B$2:$B$5000,$A57,Datos!$C$2:$C$5000,$B57,Datos!$D$2:$D$5000,I$2))</f>
        <v/>
      </c>
      <c r="J57" s="9">
        <f>IF(COUNTIFS(Datos!$A$2:$A$5000,J$1,Datos!$B$2:$B$5000,$A57,Datos!$C$2:$C$5000,$B57,Datos!$D$2:$D$5000,J$2)=0,"",SUMIFS(Datos!$E$2:$E$5000,Datos!$A$2:$A$5000,J$1,Datos!$B$2:$B$5000,$A57,Datos!$C$2:$C$5000,$B57,Datos!$D$2:$D$5000,J$2))</f>
        <v/>
      </c>
    </row>
    <row r="58">
      <c r="A58" s="8" t="inlineStr">
        <is>
          <t>Brasil</t>
        </is>
      </c>
      <c r="B58" s="8" t="n">
        <v>2009</v>
      </c>
      <c r="C58" s="9">
        <f>IF(COUNTIFS(Datos!$A$2:$A$5000,C$1,Datos!$B$2:$B$5000,$A58,Datos!$C$2:$C$5000,$B58,Datos!$D$2:$D$5000,C$2)=0,"",SUMIFS(Datos!$E$2:$E$5000,Datos!$A$2:$A$5000,C$1,Datos!$B$2:$B$5000,$A58,Datos!$C$2:$C$5000,$B58,Datos!$D$2:$D$5000,C$2))</f>
        <v/>
      </c>
      <c r="D58" s="9">
        <f>IF(COUNTIFS(Datos!$A$2:$A$5000,D$1,Datos!$B$2:$B$5000,$A58,Datos!$C$2:$C$5000,$B58,Datos!$D$2:$D$5000,D$2)=0,"",SUMIFS(Datos!$E$2:$E$5000,Datos!$A$2:$A$5000,D$1,Datos!$B$2:$B$5000,$A58,Datos!$C$2:$C$5000,$B58,Datos!$D$2:$D$5000,D$2))</f>
        <v/>
      </c>
      <c r="E58" s="9">
        <f>IF(COUNTIFS(Datos!$A$2:$A$5000,E$1,Datos!$B$2:$B$5000,$A58,Datos!$C$2:$C$5000,$B58,Datos!$D$2:$D$5000,E$2)=0,"",SUMIFS(Datos!$E$2:$E$5000,Datos!$A$2:$A$5000,E$1,Datos!$B$2:$B$5000,$A58,Datos!$C$2:$C$5000,$B58,Datos!$D$2:$D$5000,E$2))</f>
        <v/>
      </c>
      <c r="F58" s="9">
        <f>IF(COUNTIFS(Datos!$A$2:$A$5000,F$1,Datos!$B$2:$B$5000,$A58,Datos!$C$2:$C$5000,$B58,Datos!$D$2:$D$5000,F$2)=0,"",SUMIFS(Datos!$E$2:$E$5000,Datos!$A$2:$A$5000,F$1,Datos!$B$2:$B$5000,$A58,Datos!$C$2:$C$5000,$B58,Datos!$D$2:$D$5000,F$2))</f>
        <v/>
      </c>
      <c r="G58" s="9">
        <f>IF(COUNTIFS(Datos!$A$2:$A$5000,G$1,Datos!$B$2:$B$5000,$A58,Datos!$C$2:$C$5000,$B58,Datos!$D$2:$D$5000,G$2)=0,"",SUMIFS(Datos!$E$2:$E$5000,Datos!$A$2:$A$5000,G$1,Datos!$B$2:$B$5000,$A58,Datos!$C$2:$C$5000,$B58,Datos!$D$2:$D$5000,G$2))</f>
        <v/>
      </c>
      <c r="H58" s="9">
        <f>IF(COUNTIFS(Datos!$A$2:$A$5000,H$1,Datos!$B$2:$B$5000,$A58,Datos!$C$2:$C$5000,$B58,Datos!$D$2:$D$5000,H$2)=0,"",SUMIFS(Datos!$E$2:$E$5000,Datos!$A$2:$A$5000,H$1,Datos!$B$2:$B$5000,$A58,Datos!$C$2:$C$5000,$B58,Datos!$D$2:$D$5000,H$2))</f>
        <v/>
      </c>
      <c r="I58" s="9">
        <f>IF(COUNTIFS(Datos!$A$2:$A$5000,I$1,Datos!$B$2:$B$5000,$A58,Datos!$C$2:$C$5000,$B58,Datos!$D$2:$D$5000,I$2)=0,"",SUMIFS(Datos!$E$2:$E$5000,Datos!$A$2:$A$5000,I$1,Datos!$B$2:$B$5000,$A58,Datos!$C$2:$C$5000,$B58,Datos!$D$2:$D$5000,I$2))</f>
        <v/>
      </c>
      <c r="J58" s="9">
        <f>IF(COUNTIFS(Datos!$A$2:$A$5000,J$1,Datos!$B$2:$B$5000,$A58,Datos!$C$2:$C$5000,$B58,Datos!$D$2:$D$5000,J$2)=0,"",SUMIFS(Datos!$E$2:$E$5000,Datos!$A$2:$A$5000,J$1,Datos!$B$2:$B$5000,$A58,Datos!$C$2:$C$5000,$B58,Datos!$D$2:$D$5000,J$2))</f>
        <v/>
      </c>
    </row>
    <row r="59">
      <c r="A59" s="8" t="inlineStr">
        <is>
          <t>Brasil</t>
        </is>
      </c>
      <c r="B59" s="8" t="n">
        <v>2010</v>
      </c>
      <c r="C59" s="9">
        <f>IF(COUNTIFS(Datos!$A$2:$A$5000,C$1,Datos!$B$2:$B$5000,$A59,Datos!$C$2:$C$5000,$B59,Datos!$D$2:$D$5000,C$2)=0,"",SUMIFS(Datos!$E$2:$E$5000,Datos!$A$2:$A$5000,C$1,Datos!$B$2:$B$5000,$A59,Datos!$C$2:$C$5000,$B59,Datos!$D$2:$D$5000,C$2))</f>
        <v/>
      </c>
      <c r="D59" s="9">
        <f>IF(COUNTIFS(Datos!$A$2:$A$5000,D$1,Datos!$B$2:$B$5000,$A59,Datos!$C$2:$C$5000,$B59,Datos!$D$2:$D$5000,D$2)=0,"",SUMIFS(Datos!$E$2:$E$5000,Datos!$A$2:$A$5000,D$1,Datos!$B$2:$B$5000,$A59,Datos!$C$2:$C$5000,$B59,Datos!$D$2:$D$5000,D$2))</f>
        <v/>
      </c>
      <c r="E59" s="9">
        <f>IF(COUNTIFS(Datos!$A$2:$A$5000,E$1,Datos!$B$2:$B$5000,$A59,Datos!$C$2:$C$5000,$B59,Datos!$D$2:$D$5000,E$2)=0,"",SUMIFS(Datos!$E$2:$E$5000,Datos!$A$2:$A$5000,E$1,Datos!$B$2:$B$5000,$A59,Datos!$C$2:$C$5000,$B59,Datos!$D$2:$D$5000,E$2))</f>
        <v/>
      </c>
      <c r="F59" s="9">
        <f>IF(COUNTIFS(Datos!$A$2:$A$5000,F$1,Datos!$B$2:$B$5000,$A59,Datos!$C$2:$C$5000,$B59,Datos!$D$2:$D$5000,F$2)=0,"",SUMIFS(Datos!$E$2:$E$5000,Datos!$A$2:$A$5000,F$1,Datos!$B$2:$B$5000,$A59,Datos!$C$2:$C$5000,$B59,Datos!$D$2:$D$5000,F$2))</f>
        <v/>
      </c>
      <c r="G59" s="9">
        <f>IF(COUNTIFS(Datos!$A$2:$A$5000,G$1,Datos!$B$2:$B$5000,$A59,Datos!$C$2:$C$5000,$B59,Datos!$D$2:$D$5000,G$2)=0,"",SUMIFS(Datos!$E$2:$E$5000,Datos!$A$2:$A$5000,G$1,Datos!$B$2:$B$5000,$A59,Datos!$C$2:$C$5000,$B59,Datos!$D$2:$D$5000,G$2))</f>
        <v/>
      </c>
      <c r="H59" s="9">
        <f>IF(COUNTIFS(Datos!$A$2:$A$5000,H$1,Datos!$B$2:$B$5000,$A59,Datos!$C$2:$C$5000,$B59,Datos!$D$2:$D$5000,H$2)=0,"",SUMIFS(Datos!$E$2:$E$5000,Datos!$A$2:$A$5000,H$1,Datos!$B$2:$B$5000,$A59,Datos!$C$2:$C$5000,$B59,Datos!$D$2:$D$5000,H$2))</f>
        <v/>
      </c>
      <c r="I59" s="9">
        <f>IF(COUNTIFS(Datos!$A$2:$A$5000,I$1,Datos!$B$2:$B$5000,$A59,Datos!$C$2:$C$5000,$B59,Datos!$D$2:$D$5000,I$2)=0,"",SUMIFS(Datos!$E$2:$E$5000,Datos!$A$2:$A$5000,I$1,Datos!$B$2:$B$5000,$A59,Datos!$C$2:$C$5000,$B59,Datos!$D$2:$D$5000,I$2))</f>
        <v/>
      </c>
      <c r="J59" s="9">
        <f>IF(COUNTIFS(Datos!$A$2:$A$5000,J$1,Datos!$B$2:$B$5000,$A59,Datos!$C$2:$C$5000,$B59,Datos!$D$2:$D$5000,J$2)=0,"",SUMIFS(Datos!$E$2:$E$5000,Datos!$A$2:$A$5000,J$1,Datos!$B$2:$B$5000,$A59,Datos!$C$2:$C$5000,$B59,Datos!$D$2:$D$5000,J$2))</f>
        <v/>
      </c>
    </row>
    <row r="60">
      <c r="A60" s="8" t="inlineStr">
        <is>
          <t>Brasil</t>
        </is>
      </c>
      <c r="B60" s="8" t="n">
        <v>2011</v>
      </c>
      <c r="C60" s="9">
        <f>IF(COUNTIFS(Datos!$A$2:$A$5000,C$1,Datos!$B$2:$B$5000,$A60,Datos!$C$2:$C$5000,$B60,Datos!$D$2:$D$5000,C$2)=0,"",SUMIFS(Datos!$E$2:$E$5000,Datos!$A$2:$A$5000,C$1,Datos!$B$2:$B$5000,$A60,Datos!$C$2:$C$5000,$B60,Datos!$D$2:$D$5000,C$2))</f>
        <v/>
      </c>
      <c r="D60" s="9">
        <f>IF(COUNTIFS(Datos!$A$2:$A$5000,D$1,Datos!$B$2:$B$5000,$A60,Datos!$C$2:$C$5000,$B60,Datos!$D$2:$D$5000,D$2)=0,"",SUMIFS(Datos!$E$2:$E$5000,Datos!$A$2:$A$5000,D$1,Datos!$B$2:$B$5000,$A60,Datos!$C$2:$C$5000,$B60,Datos!$D$2:$D$5000,D$2))</f>
        <v/>
      </c>
      <c r="E60" s="9">
        <f>IF(COUNTIFS(Datos!$A$2:$A$5000,E$1,Datos!$B$2:$B$5000,$A60,Datos!$C$2:$C$5000,$B60,Datos!$D$2:$D$5000,E$2)=0,"",SUMIFS(Datos!$E$2:$E$5000,Datos!$A$2:$A$5000,E$1,Datos!$B$2:$B$5000,$A60,Datos!$C$2:$C$5000,$B60,Datos!$D$2:$D$5000,E$2))</f>
        <v/>
      </c>
      <c r="F60" s="9">
        <f>IF(COUNTIFS(Datos!$A$2:$A$5000,F$1,Datos!$B$2:$B$5000,$A60,Datos!$C$2:$C$5000,$B60,Datos!$D$2:$D$5000,F$2)=0,"",SUMIFS(Datos!$E$2:$E$5000,Datos!$A$2:$A$5000,F$1,Datos!$B$2:$B$5000,$A60,Datos!$C$2:$C$5000,$B60,Datos!$D$2:$D$5000,F$2))</f>
        <v/>
      </c>
      <c r="G60" s="9">
        <f>IF(COUNTIFS(Datos!$A$2:$A$5000,G$1,Datos!$B$2:$B$5000,$A60,Datos!$C$2:$C$5000,$B60,Datos!$D$2:$D$5000,G$2)=0,"",SUMIFS(Datos!$E$2:$E$5000,Datos!$A$2:$A$5000,G$1,Datos!$B$2:$B$5000,$A60,Datos!$C$2:$C$5000,$B60,Datos!$D$2:$D$5000,G$2))</f>
        <v/>
      </c>
      <c r="H60" s="9">
        <f>IF(COUNTIFS(Datos!$A$2:$A$5000,H$1,Datos!$B$2:$B$5000,$A60,Datos!$C$2:$C$5000,$B60,Datos!$D$2:$D$5000,H$2)=0,"",SUMIFS(Datos!$E$2:$E$5000,Datos!$A$2:$A$5000,H$1,Datos!$B$2:$B$5000,$A60,Datos!$C$2:$C$5000,$B60,Datos!$D$2:$D$5000,H$2))</f>
        <v/>
      </c>
      <c r="I60" s="9">
        <f>IF(COUNTIFS(Datos!$A$2:$A$5000,I$1,Datos!$B$2:$B$5000,$A60,Datos!$C$2:$C$5000,$B60,Datos!$D$2:$D$5000,I$2)=0,"",SUMIFS(Datos!$E$2:$E$5000,Datos!$A$2:$A$5000,I$1,Datos!$B$2:$B$5000,$A60,Datos!$C$2:$C$5000,$B60,Datos!$D$2:$D$5000,I$2))</f>
        <v/>
      </c>
      <c r="J60" s="9">
        <f>IF(COUNTIFS(Datos!$A$2:$A$5000,J$1,Datos!$B$2:$B$5000,$A60,Datos!$C$2:$C$5000,$B60,Datos!$D$2:$D$5000,J$2)=0,"",SUMIFS(Datos!$E$2:$E$5000,Datos!$A$2:$A$5000,J$1,Datos!$B$2:$B$5000,$A60,Datos!$C$2:$C$5000,$B60,Datos!$D$2:$D$5000,J$2))</f>
        <v/>
      </c>
    </row>
    <row r="61">
      <c r="A61" s="8" t="inlineStr">
        <is>
          <t>Brasil</t>
        </is>
      </c>
      <c r="B61" s="8" t="n">
        <v>2015</v>
      </c>
      <c r="C61" s="9">
        <f>IF(COUNTIFS(Datos!$A$2:$A$5000,C$1,Datos!$B$2:$B$5000,$A61,Datos!$C$2:$C$5000,$B61,Datos!$D$2:$D$5000,C$2)=0,"",SUMIFS(Datos!$E$2:$E$5000,Datos!$A$2:$A$5000,C$1,Datos!$B$2:$B$5000,$A61,Datos!$C$2:$C$5000,$B61,Datos!$D$2:$D$5000,C$2))</f>
        <v/>
      </c>
      <c r="D61" s="9">
        <f>IF(COUNTIFS(Datos!$A$2:$A$5000,D$1,Datos!$B$2:$B$5000,$A61,Datos!$C$2:$C$5000,$B61,Datos!$D$2:$D$5000,D$2)=0,"",SUMIFS(Datos!$E$2:$E$5000,Datos!$A$2:$A$5000,D$1,Datos!$B$2:$B$5000,$A61,Datos!$C$2:$C$5000,$B61,Datos!$D$2:$D$5000,D$2))</f>
        <v/>
      </c>
      <c r="E61" s="9">
        <f>IF(COUNTIFS(Datos!$A$2:$A$5000,E$1,Datos!$B$2:$B$5000,$A61,Datos!$C$2:$C$5000,$B61,Datos!$D$2:$D$5000,E$2)=0,"",SUMIFS(Datos!$E$2:$E$5000,Datos!$A$2:$A$5000,E$1,Datos!$B$2:$B$5000,$A61,Datos!$C$2:$C$5000,$B61,Datos!$D$2:$D$5000,E$2))</f>
        <v/>
      </c>
      <c r="F61" s="9">
        <f>IF(COUNTIFS(Datos!$A$2:$A$5000,F$1,Datos!$B$2:$B$5000,$A61,Datos!$C$2:$C$5000,$B61,Datos!$D$2:$D$5000,F$2)=0,"",SUMIFS(Datos!$E$2:$E$5000,Datos!$A$2:$A$5000,F$1,Datos!$B$2:$B$5000,$A61,Datos!$C$2:$C$5000,$B61,Datos!$D$2:$D$5000,F$2))</f>
        <v/>
      </c>
      <c r="G61" s="9">
        <f>IF(COUNTIFS(Datos!$A$2:$A$5000,G$1,Datos!$B$2:$B$5000,$A61,Datos!$C$2:$C$5000,$B61,Datos!$D$2:$D$5000,G$2)=0,"",SUMIFS(Datos!$E$2:$E$5000,Datos!$A$2:$A$5000,G$1,Datos!$B$2:$B$5000,$A61,Datos!$C$2:$C$5000,$B61,Datos!$D$2:$D$5000,G$2))</f>
        <v/>
      </c>
      <c r="H61" s="9">
        <f>IF(COUNTIFS(Datos!$A$2:$A$5000,H$1,Datos!$B$2:$B$5000,$A61,Datos!$C$2:$C$5000,$B61,Datos!$D$2:$D$5000,H$2)=0,"",SUMIFS(Datos!$E$2:$E$5000,Datos!$A$2:$A$5000,H$1,Datos!$B$2:$B$5000,$A61,Datos!$C$2:$C$5000,$B61,Datos!$D$2:$D$5000,H$2))</f>
        <v/>
      </c>
      <c r="I61" s="9">
        <f>IF(COUNTIFS(Datos!$A$2:$A$5000,I$1,Datos!$B$2:$B$5000,$A61,Datos!$C$2:$C$5000,$B61,Datos!$D$2:$D$5000,I$2)=0,"",SUMIFS(Datos!$E$2:$E$5000,Datos!$A$2:$A$5000,I$1,Datos!$B$2:$B$5000,$A61,Datos!$C$2:$C$5000,$B61,Datos!$D$2:$D$5000,I$2))</f>
        <v/>
      </c>
      <c r="J61" s="9">
        <f>IF(COUNTIFS(Datos!$A$2:$A$5000,J$1,Datos!$B$2:$B$5000,$A61,Datos!$C$2:$C$5000,$B61,Datos!$D$2:$D$5000,J$2)=0,"",SUMIFS(Datos!$E$2:$E$5000,Datos!$A$2:$A$5000,J$1,Datos!$B$2:$B$5000,$A61,Datos!$C$2:$C$5000,$B61,Datos!$D$2:$D$5000,J$2))</f>
        <v/>
      </c>
    </row>
    <row r="62">
      <c r="A62" s="8" t="inlineStr">
        <is>
          <t>Brasil</t>
        </is>
      </c>
      <c r="B62" s="8" t="n">
        <v>2016</v>
      </c>
      <c r="C62" s="9">
        <f>IF(COUNTIFS(Datos!$A$2:$A$5000,C$1,Datos!$B$2:$B$5000,$A62,Datos!$C$2:$C$5000,$B62,Datos!$D$2:$D$5000,C$2)=0,"",SUMIFS(Datos!$E$2:$E$5000,Datos!$A$2:$A$5000,C$1,Datos!$B$2:$B$5000,$A62,Datos!$C$2:$C$5000,$B62,Datos!$D$2:$D$5000,C$2))</f>
        <v/>
      </c>
      <c r="D62" s="9">
        <f>IF(COUNTIFS(Datos!$A$2:$A$5000,D$1,Datos!$B$2:$B$5000,$A62,Datos!$C$2:$C$5000,$B62,Datos!$D$2:$D$5000,D$2)=0,"",SUMIFS(Datos!$E$2:$E$5000,Datos!$A$2:$A$5000,D$1,Datos!$B$2:$B$5000,$A62,Datos!$C$2:$C$5000,$B62,Datos!$D$2:$D$5000,D$2))</f>
        <v/>
      </c>
      <c r="E62" s="9">
        <f>IF(COUNTIFS(Datos!$A$2:$A$5000,E$1,Datos!$B$2:$B$5000,$A62,Datos!$C$2:$C$5000,$B62,Datos!$D$2:$D$5000,E$2)=0,"",SUMIFS(Datos!$E$2:$E$5000,Datos!$A$2:$A$5000,E$1,Datos!$B$2:$B$5000,$A62,Datos!$C$2:$C$5000,$B62,Datos!$D$2:$D$5000,E$2))</f>
        <v/>
      </c>
      <c r="F62" s="9">
        <f>IF(COUNTIFS(Datos!$A$2:$A$5000,F$1,Datos!$B$2:$B$5000,$A62,Datos!$C$2:$C$5000,$B62,Datos!$D$2:$D$5000,F$2)=0,"",SUMIFS(Datos!$E$2:$E$5000,Datos!$A$2:$A$5000,F$1,Datos!$B$2:$B$5000,$A62,Datos!$C$2:$C$5000,$B62,Datos!$D$2:$D$5000,F$2))</f>
        <v/>
      </c>
      <c r="G62" s="9">
        <f>IF(COUNTIFS(Datos!$A$2:$A$5000,G$1,Datos!$B$2:$B$5000,$A62,Datos!$C$2:$C$5000,$B62,Datos!$D$2:$D$5000,G$2)=0,"",SUMIFS(Datos!$E$2:$E$5000,Datos!$A$2:$A$5000,G$1,Datos!$B$2:$B$5000,$A62,Datos!$C$2:$C$5000,$B62,Datos!$D$2:$D$5000,G$2))</f>
        <v/>
      </c>
      <c r="H62" s="9">
        <f>IF(COUNTIFS(Datos!$A$2:$A$5000,H$1,Datos!$B$2:$B$5000,$A62,Datos!$C$2:$C$5000,$B62,Datos!$D$2:$D$5000,H$2)=0,"",SUMIFS(Datos!$E$2:$E$5000,Datos!$A$2:$A$5000,H$1,Datos!$B$2:$B$5000,$A62,Datos!$C$2:$C$5000,$B62,Datos!$D$2:$D$5000,H$2))</f>
        <v/>
      </c>
      <c r="I62" s="9">
        <f>IF(COUNTIFS(Datos!$A$2:$A$5000,I$1,Datos!$B$2:$B$5000,$A62,Datos!$C$2:$C$5000,$B62,Datos!$D$2:$D$5000,I$2)=0,"",SUMIFS(Datos!$E$2:$E$5000,Datos!$A$2:$A$5000,I$1,Datos!$B$2:$B$5000,$A62,Datos!$C$2:$C$5000,$B62,Datos!$D$2:$D$5000,I$2))</f>
        <v/>
      </c>
      <c r="J62" s="9">
        <f>IF(COUNTIFS(Datos!$A$2:$A$5000,J$1,Datos!$B$2:$B$5000,$A62,Datos!$C$2:$C$5000,$B62,Datos!$D$2:$D$5000,J$2)=0,"",SUMIFS(Datos!$E$2:$E$5000,Datos!$A$2:$A$5000,J$1,Datos!$B$2:$B$5000,$A62,Datos!$C$2:$C$5000,$B62,Datos!$D$2:$D$5000,J$2))</f>
        <v/>
      </c>
    </row>
    <row r="63">
      <c r="A63" s="8" t="inlineStr">
        <is>
          <t>Brasil</t>
        </is>
      </c>
      <c r="B63" s="8" t="n">
        <v>2017</v>
      </c>
      <c r="C63" s="9">
        <f>IF(COUNTIFS(Datos!$A$2:$A$5000,C$1,Datos!$B$2:$B$5000,$A63,Datos!$C$2:$C$5000,$B63,Datos!$D$2:$D$5000,C$2)=0,"",SUMIFS(Datos!$E$2:$E$5000,Datos!$A$2:$A$5000,C$1,Datos!$B$2:$B$5000,$A63,Datos!$C$2:$C$5000,$B63,Datos!$D$2:$D$5000,C$2))</f>
        <v/>
      </c>
      <c r="D63" s="9">
        <f>IF(COUNTIFS(Datos!$A$2:$A$5000,D$1,Datos!$B$2:$B$5000,$A63,Datos!$C$2:$C$5000,$B63,Datos!$D$2:$D$5000,D$2)=0,"",SUMIFS(Datos!$E$2:$E$5000,Datos!$A$2:$A$5000,D$1,Datos!$B$2:$B$5000,$A63,Datos!$C$2:$C$5000,$B63,Datos!$D$2:$D$5000,D$2))</f>
        <v/>
      </c>
      <c r="E63" s="9">
        <f>IF(COUNTIFS(Datos!$A$2:$A$5000,E$1,Datos!$B$2:$B$5000,$A63,Datos!$C$2:$C$5000,$B63,Datos!$D$2:$D$5000,E$2)=0,"",SUMIFS(Datos!$E$2:$E$5000,Datos!$A$2:$A$5000,E$1,Datos!$B$2:$B$5000,$A63,Datos!$C$2:$C$5000,$B63,Datos!$D$2:$D$5000,E$2))</f>
        <v/>
      </c>
      <c r="F63" s="9">
        <f>IF(COUNTIFS(Datos!$A$2:$A$5000,F$1,Datos!$B$2:$B$5000,$A63,Datos!$C$2:$C$5000,$B63,Datos!$D$2:$D$5000,F$2)=0,"",SUMIFS(Datos!$E$2:$E$5000,Datos!$A$2:$A$5000,F$1,Datos!$B$2:$B$5000,$A63,Datos!$C$2:$C$5000,$B63,Datos!$D$2:$D$5000,F$2))</f>
        <v/>
      </c>
      <c r="G63" s="9">
        <f>IF(COUNTIFS(Datos!$A$2:$A$5000,G$1,Datos!$B$2:$B$5000,$A63,Datos!$C$2:$C$5000,$B63,Datos!$D$2:$D$5000,G$2)=0,"",SUMIFS(Datos!$E$2:$E$5000,Datos!$A$2:$A$5000,G$1,Datos!$B$2:$B$5000,$A63,Datos!$C$2:$C$5000,$B63,Datos!$D$2:$D$5000,G$2))</f>
        <v/>
      </c>
      <c r="H63" s="9">
        <f>IF(COUNTIFS(Datos!$A$2:$A$5000,H$1,Datos!$B$2:$B$5000,$A63,Datos!$C$2:$C$5000,$B63,Datos!$D$2:$D$5000,H$2)=0,"",SUMIFS(Datos!$E$2:$E$5000,Datos!$A$2:$A$5000,H$1,Datos!$B$2:$B$5000,$A63,Datos!$C$2:$C$5000,$B63,Datos!$D$2:$D$5000,H$2))</f>
        <v/>
      </c>
      <c r="I63" s="9">
        <f>IF(COUNTIFS(Datos!$A$2:$A$5000,I$1,Datos!$B$2:$B$5000,$A63,Datos!$C$2:$C$5000,$B63,Datos!$D$2:$D$5000,I$2)=0,"",SUMIFS(Datos!$E$2:$E$5000,Datos!$A$2:$A$5000,I$1,Datos!$B$2:$B$5000,$A63,Datos!$C$2:$C$5000,$B63,Datos!$D$2:$D$5000,I$2))</f>
        <v/>
      </c>
      <c r="J63" s="9">
        <f>IF(COUNTIFS(Datos!$A$2:$A$5000,J$1,Datos!$B$2:$B$5000,$A63,Datos!$C$2:$C$5000,$B63,Datos!$D$2:$D$5000,J$2)=0,"",SUMIFS(Datos!$E$2:$E$5000,Datos!$A$2:$A$5000,J$1,Datos!$B$2:$B$5000,$A63,Datos!$C$2:$C$5000,$B63,Datos!$D$2:$D$5000,J$2))</f>
        <v/>
      </c>
    </row>
    <row r="64">
      <c r="A64" s="8" t="inlineStr">
        <is>
          <t>Brasil</t>
        </is>
      </c>
      <c r="B64" s="8" t="n">
        <v>2018</v>
      </c>
      <c r="C64" s="9">
        <f>IF(COUNTIFS(Datos!$A$2:$A$5000,C$1,Datos!$B$2:$B$5000,$A64,Datos!$C$2:$C$5000,$B64,Datos!$D$2:$D$5000,C$2)=0,"",SUMIFS(Datos!$E$2:$E$5000,Datos!$A$2:$A$5000,C$1,Datos!$B$2:$B$5000,$A64,Datos!$C$2:$C$5000,$B64,Datos!$D$2:$D$5000,C$2))</f>
        <v/>
      </c>
      <c r="D64" s="9">
        <f>IF(COUNTIFS(Datos!$A$2:$A$5000,D$1,Datos!$B$2:$B$5000,$A64,Datos!$C$2:$C$5000,$B64,Datos!$D$2:$D$5000,D$2)=0,"",SUMIFS(Datos!$E$2:$E$5000,Datos!$A$2:$A$5000,D$1,Datos!$B$2:$B$5000,$A64,Datos!$C$2:$C$5000,$B64,Datos!$D$2:$D$5000,D$2))</f>
        <v/>
      </c>
      <c r="E64" s="9">
        <f>IF(COUNTIFS(Datos!$A$2:$A$5000,E$1,Datos!$B$2:$B$5000,$A64,Datos!$C$2:$C$5000,$B64,Datos!$D$2:$D$5000,E$2)=0,"",SUMIFS(Datos!$E$2:$E$5000,Datos!$A$2:$A$5000,E$1,Datos!$B$2:$B$5000,$A64,Datos!$C$2:$C$5000,$B64,Datos!$D$2:$D$5000,E$2))</f>
        <v/>
      </c>
      <c r="F64" s="9">
        <f>IF(COUNTIFS(Datos!$A$2:$A$5000,F$1,Datos!$B$2:$B$5000,$A64,Datos!$C$2:$C$5000,$B64,Datos!$D$2:$D$5000,F$2)=0,"",SUMIFS(Datos!$E$2:$E$5000,Datos!$A$2:$A$5000,F$1,Datos!$B$2:$B$5000,$A64,Datos!$C$2:$C$5000,$B64,Datos!$D$2:$D$5000,F$2))</f>
        <v/>
      </c>
      <c r="G64" s="9">
        <f>IF(COUNTIFS(Datos!$A$2:$A$5000,G$1,Datos!$B$2:$B$5000,$A64,Datos!$C$2:$C$5000,$B64,Datos!$D$2:$D$5000,G$2)=0,"",SUMIFS(Datos!$E$2:$E$5000,Datos!$A$2:$A$5000,G$1,Datos!$B$2:$B$5000,$A64,Datos!$C$2:$C$5000,$B64,Datos!$D$2:$D$5000,G$2))</f>
        <v/>
      </c>
      <c r="H64" s="9">
        <f>IF(COUNTIFS(Datos!$A$2:$A$5000,H$1,Datos!$B$2:$B$5000,$A64,Datos!$C$2:$C$5000,$B64,Datos!$D$2:$D$5000,H$2)=0,"",SUMIFS(Datos!$E$2:$E$5000,Datos!$A$2:$A$5000,H$1,Datos!$B$2:$B$5000,$A64,Datos!$C$2:$C$5000,$B64,Datos!$D$2:$D$5000,H$2))</f>
        <v/>
      </c>
      <c r="I64" s="9">
        <f>IF(COUNTIFS(Datos!$A$2:$A$5000,I$1,Datos!$B$2:$B$5000,$A64,Datos!$C$2:$C$5000,$B64,Datos!$D$2:$D$5000,I$2)=0,"",SUMIFS(Datos!$E$2:$E$5000,Datos!$A$2:$A$5000,I$1,Datos!$B$2:$B$5000,$A64,Datos!$C$2:$C$5000,$B64,Datos!$D$2:$D$5000,I$2))</f>
        <v/>
      </c>
      <c r="J64" s="9">
        <f>IF(COUNTIFS(Datos!$A$2:$A$5000,J$1,Datos!$B$2:$B$5000,$A64,Datos!$C$2:$C$5000,$B64,Datos!$D$2:$D$5000,J$2)=0,"",SUMIFS(Datos!$E$2:$E$5000,Datos!$A$2:$A$5000,J$1,Datos!$B$2:$B$5000,$A64,Datos!$C$2:$C$5000,$B64,Datos!$D$2:$D$5000,J$2))</f>
        <v/>
      </c>
    </row>
    <row r="65">
      <c r="A65" s="8" t="inlineStr">
        <is>
          <t>Brasil</t>
        </is>
      </c>
      <c r="B65" s="8" t="n">
        <v>2020</v>
      </c>
      <c r="C65" s="9">
        <f>IF(COUNTIFS(Datos!$A$2:$A$5000,C$1,Datos!$B$2:$B$5000,$A65,Datos!$C$2:$C$5000,$B65,Datos!$D$2:$D$5000,C$2)=0,"",SUMIFS(Datos!$E$2:$E$5000,Datos!$A$2:$A$5000,C$1,Datos!$B$2:$B$5000,$A65,Datos!$C$2:$C$5000,$B65,Datos!$D$2:$D$5000,C$2))</f>
        <v/>
      </c>
      <c r="D65" s="9">
        <f>IF(COUNTIFS(Datos!$A$2:$A$5000,D$1,Datos!$B$2:$B$5000,$A65,Datos!$C$2:$C$5000,$B65,Datos!$D$2:$D$5000,D$2)=0,"",SUMIFS(Datos!$E$2:$E$5000,Datos!$A$2:$A$5000,D$1,Datos!$B$2:$B$5000,$A65,Datos!$C$2:$C$5000,$B65,Datos!$D$2:$D$5000,D$2))</f>
        <v/>
      </c>
      <c r="E65" s="9">
        <f>IF(COUNTIFS(Datos!$A$2:$A$5000,E$1,Datos!$B$2:$B$5000,$A65,Datos!$C$2:$C$5000,$B65,Datos!$D$2:$D$5000,E$2)=0,"",SUMIFS(Datos!$E$2:$E$5000,Datos!$A$2:$A$5000,E$1,Datos!$B$2:$B$5000,$A65,Datos!$C$2:$C$5000,$B65,Datos!$D$2:$D$5000,E$2))</f>
        <v/>
      </c>
      <c r="F65" s="9">
        <f>IF(COUNTIFS(Datos!$A$2:$A$5000,F$1,Datos!$B$2:$B$5000,$A65,Datos!$C$2:$C$5000,$B65,Datos!$D$2:$D$5000,F$2)=0,"",SUMIFS(Datos!$E$2:$E$5000,Datos!$A$2:$A$5000,F$1,Datos!$B$2:$B$5000,$A65,Datos!$C$2:$C$5000,$B65,Datos!$D$2:$D$5000,F$2))</f>
        <v/>
      </c>
      <c r="G65" s="9">
        <f>IF(COUNTIFS(Datos!$A$2:$A$5000,G$1,Datos!$B$2:$B$5000,$A65,Datos!$C$2:$C$5000,$B65,Datos!$D$2:$D$5000,G$2)=0,"",SUMIFS(Datos!$E$2:$E$5000,Datos!$A$2:$A$5000,G$1,Datos!$B$2:$B$5000,$A65,Datos!$C$2:$C$5000,$B65,Datos!$D$2:$D$5000,G$2))</f>
        <v/>
      </c>
      <c r="H65" s="9">
        <f>IF(COUNTIFS(Datos!$A$2:$A$5000,H$1,Datos!$B$2:$B$5000,$A65,Datos!$C$2:$C$5000,$B65,Datos!$D$2:$D$5000,H$2)=0,"",SUMIFS(Datos!$E$2:$E$5000,Datos!$A$2:$A$5000,H$1,Datos!$B$2:$B$5000,$A65,Datos!$C$2:$C$5000,$B65,Datos!$D$2:$D$5000,H$2))</f>
        <v/>
      </c>
      <c r="I65" s="9">
        <f>IF(COUNTIFS(Datos!$A$2:$A$5000,I$1,Datos!$B$2:$B$5000,$A65,Datos!$C$2:$C$5000,$B65,Datos!$D$2:$D$5000,I$2)=0,"",SUMIFS(Datos!$E$2:$E$5000,Datos!$A$2:$A$5000,I$1,Datos!$B$2:$B$5000,$A65,Datos!$C$2:$C$5000,$B65,Datos!$D$2:$D$5000,I$2))</f>
        <v/>
      </c>
      <c r="J65" s="9">
        <f>IF(COUNTIFS(Datos!$A$2:$A$5000,J$1,Datos!$B$2:$B$5000,$A65,Datos!$C$2:$C$5000,$B65,Datos!$D$2:$D$5000,J$2)=0,"",SUMIFS(Datos!$E$2:$E$5000,Datos!$A$2:$A$5000,J$1,Datos!$B$2:$B$5000,$A65,Datos!$C$2:$C$5000,$B65,Datos!$D$2:$D$5000,J$2))</f>
        <v/>
      </c>
    </row>
    <row r="66">
      <c r="A66" s="8" t="inlineStr">
        <is>
          <t>Brasil</t>
        </is>
      </c>
      <c r="B66" s="8" t="n">
        <v>2024</v>
      </c>
      <c r="C66" s="9">
        <f>IF(COUNTIFS(Datos!$A$2:$A$5000,C$1,Datos!$B$2:$B$5000,$A66,Datos!$C$2:$C$5000,$B66,Datos!$D$2:$D$5000,C$2)=0,"",SUMIFS(Datos!$E$2:$E$5000,Datos!$A$2:$A$5000,C$1,Datos!$B$2:$B$5000,$A66,Datos!$C$2:$C$5000,$B66,Datos!$D$2:$D$5000,C$2))</f>
        <v/>
      </c>
      <c r="D66" s="9">
        <f>IF(COUNTIFS(Datos!$A$2:$A$5000,D$1,Datos!$B$2:$B$5000,$A66,Datos!$C$2:$C$5000,$B66,Datos!$D$2:$D$5000,D$2)=0,"",SUMIFS(Datos!$E$2:$E$5000,Datos!$A$2:$A$5000,D$1,Datos!$B$2:$B$5000,$A66,Datos!$C$2:$C$5000,$B66,Datos!$D$2:$D$5000,D$2))</f>
        <v/>
      </c>
      <c r="E66" s="9">
        <f>IF(COUNTIFS(Datos!$A$2:$A$5000,E$1,Datos!$B$2:$B$5000,$A66,Datos!$C$2:$C$5000,$B66,Datos!$D$2:$D$5000,E$2)=0,"",SUMIFS(Datos!$E$2:$E$5000,Datos!$A$2:$A$5000,E$1,Datos!$B$2:$B$5000,$A66,Datos!$C$2:$C$5000,$B66,Datos!$D$2:$D$5000,E$2))</f>
        <v/>
      </c>
      <c r="F66" s="9">
        <f>IF(COUNTIFS(Datos!$A$2:$A$5000,F$1,Datos!$B$2:$B$5000,$A66,Datos!$C$2:$C$5000,$B66,Datos!$D$2:$D$5000,F$2)=0,"",SUMIFS(Datos!$E$2:$E$5000,Datos!$A$2:$A$5000,F$1,Datos!$B$2:$B$5000,$A66,Datos!$C$2:$C$5000,$B66,Datos!$D$2:$D$5000,F$2))</f>
        <v/>
      </c>
      <c r="G66" s="9">
        <f>IF(COUNTIFS(Datos!$A$2:$A$5000,G$1,Datos!$B$2:$B$5000,$A66,Datos!$C$2:$C$5000,$B66,Datos!$D$2:$D$5000,G$2)=0,"",SUMIFS(Datos!$E$2:$E$5000,Datos!$A$2:$A$5000,G$1,Datos!$B$2:$B$5000,$A66,Datos!$C$2:$C$5000,$B66,Datos!$D$2:$D$5000,G$2))</f>
        <v/>
      </c>
      <c r="H66" s="9">
        <f>IF(COUNTIFS(Datos!$A$2:$A$5000,H$1,Datos!$B$2:$B$5000,$A66,Datos!$C$2:$C$5000,$B66,Datos!$D$2:$D$5000,H$2)=0,"",SUMIFS(Datos!$E$2:$E$5000,Datos!$A$2:$A$5000,H$1,Datos!$B$2:$B$5000,$A66,Datos!$C$2:$C$5000,$B66,Datos!$D$2:$D$5000,H$2))</f>
        <v/>
      </c>
      <c r="I66" s="9">
        <f>IF(COUNTIFS(Datos!$A$2:$A$5000,I$1,Datos!$B$2:$B$5000,$A66,Datos!$C$2:$C$5000,$B66,Datos!$D$2:$D$5000,I$2)=0,"",SUMIFS(Datos!$E$2:$E$5000,Datos!$A$2:$A$5000,I$1,Datos!$B$2:$B$5000,$A66,Datos!$C$2:$C$5000,$B66,Datos!$D$2:$D$5000,I$2))</f>
        <v/>
      </c>
      <c r="J66" s="9">
        <f>IF(COUNTIFS(Datos!$A$2:$A$5000,J$1,Datos!$B$2:$B$5000,$A66,Datos!$C$2:$C$5000,$B66,Datos!$D$2:$D$5000,J$2)=0,"",SUMIFS(Datos!$E$2:$E$5000,Datos!$A$2:$A$5000,J$1,Datos!$B$2:$B$5000,$A66,Datos!$C$2:$C$5000,$B66,Datos!$D$2:$D$5000,J$2))</f>
        <v/>
      </c>
    </row>
    <row r="67">
      <c r="A67" s="8" t="inlineStr">
        <is>
          <t>Chile</t>
        </is>
      </c>
      <c r="B67" s="8" t="n">
        <v>1995</v>
      </c>
      <c r="C67" s="9">
        <f>IF(COUNTIFS(Datos!$A$2:$A$5000,C$1,Datos!$B$2:$B$5000,$A67,Datos!$C$2:$C$5000,$B67,Datos!$D$2:$D$5000,C$2)=0,"",SUMIFS(Datos!$E$2:$E$5000,Datos!$A$2:$A$5000,C$1,Datos!$B$2:$B$5000,$A67,Datos!$C$2:$C$5000,$B67,Datos!$D$2:$D$5000,C$2))</f>
        <v/>
      </c>
      <c r="D67" s="9">
        <f>IF(COUNTIFS(Datos!$A$2:$A$5000,D$1,Datos!$B$2:$B$5000,$A67,Datos!$C$2:$C$5000,$B67,Datos!$D$2:$D$5000,D$2)=0,"",SUMIFS(Datos!$E$2:$E$5000,Datos!$A$2:$A$5000,D$1,Datos!$B$2:$B$5000,$A67,Datos!$C$2:$C$5000,$B67,Datos!$D$2:$D$5000,D$2))</f>
        <v/>
      </c>
      <c r="E67" s="9">
        <f>IF(COUNTIFS(Datos!$A$2:$A$5000,E$1,Datos!$B$2:$B$5000,$A67,Datos!$C$2:$C$5000,$B67,Datos!$D$2:$D$5000,E$2)=0,"",SUMIFS(Datos!$E$2:$E$5000,Datos!$A$2:$A$5000,E$1,Datos!$B$2:$B$5000,$A67,Datos!$C$2:$C$5000,$B67,Datos!$D$2:$D$5000,E$2))</f>
        <v/>
      </c>
      <c r="F67" s="9">
        <f>IF(COUNTIFS(Datos!$A$2:$A$5000,F$1,Datos!$B$2:$B$5000,$A67,Datos!$C$2:$C$5000,$B67,Datos!$D$2:$D$5000,F$2)=0,"",SUMIFS(Datos!$E$2:$E$5000,Datos!$A$2:$A$5000,F$1,Datos!$B$2:$B$5000,$A67,Datos!$C$2:$C$5000,$B67,Datos!$D$2:$D$5000,F$2))</f>
        <v/>
      </c>
      <c r="G67" s="9">
        <f>IF(COUNTIFS(Datos!$A$2:$A$5000,G$1,Datos!$B$2:$B$5000,$A67,Datos!$C$2:$C$5000,$B67,Datos!$D$2:$D$5000,G$2)=0,"",SUMIFS(Datos!$E$2:$E$5000,Datos!$A$2:$A$5000,G$1,Datos!$B$2:$B$5000,$A67,Datos!$C$2:$C$5000,$B67,Datos!$D$2:$D$5000,G$2))</f>
        <v/>
      </c>
      <c r="H67" s="9">
        <f>IF(COUNTIFS(Datos!$A$2:$A$5000,H$1,Datos!$B$2:$B$5000,$A67,Datos!$C$2:$C$5000,$B67,Datos!$D$2:$D$5000,H$2)=0,"",SUMIFS(Datos!$E$2:$E$5000,Datos!$A$2:$A$5000,H$1,Datos!$B$2:$B$5000,$A67,Datos!$C$2:$C$5000,$B67,Datos!$D$2:$D$5000,H$2))</f>
        <v/>
      </c>
      <c r="I67" s="9">
        <f>IF(COUNTIFS(Datos!$A$2:$A$5000,I$1,Datos!$B$2:$B$5000,$A67,Datos!$C$2:$C$5000,$B67,Datos!$D$2:$D$5000,I$2)=0,"",SUMIFS(Datos!$E$2:$E$5000,Datos!$A$2:$A$5000,I$1,Datos!$B$2:$B$5000,$A67,Datos!$C$2:$C$5000,$B67,Datos!$D$2:$D$5000,I$2))</f>
        <v/>
      </c>
      <c r="J67" s="9">
        <f>IF(COUNTIFS(Datos!$A$2:$A$5000,J$1,Datos!$B$2:$B$5000,$A67,Datos!$C$2:$C$5000,$B67,Datos!$D$2:$D$5000,J$2)=0,"",SUMIFS(Datos!$E$2:$E$5000,Datos!$A$2:$A$5000,J$1,Datos!$B$2:$B$5000,$A67,Datos!$C$2:$C$5000,$B67,Datos!$D$2:$D$5000,J$2))</f>
        <v/>
      </c>
    </row>
    <row r="68">
      <c r="A68" s="8" t="inlineStr">
        <is>
          <t>Chile</t>
        </is>
      </c>
      <c r="B68" s="8" t="n">
        <v>1996</v>
      </c>
      <c r="C68" s="9">
        <f>IF(COUNTIFS(Datos!$A$2:$A$5000,C$1,Datos!$B$2:$B$5000,$A68,Datos!$C$2:$C$5000,$B68,Datos!$D$2:$D$5000,C$2)=0,"",SUMIFS(Datos!$E$2:$E$5000,Datos!$A$2:$A$5000,C$1,Datos!$B$2:$B$5000,$A68,Datos!$C$2:$C$5000,$B68,Datos!$D$2:$D$5000,C$2))</f>
        <v/>
      </c>
      <c r="D68" s="9">
        <f>IF(COUNTIFS(Datos!$A$2:$A$5000,D$1,Datos!$B$2:$B$5000,$A68,Datos!$C$2:$C$5000,$B68,Datos!$D$2:$D$5000,D$2)=0,"",SUMIFS(Datos!$E$2:$E$5000,Datos!$A$2:$A$5000,D$1,Datos!$B$2:$B$5000,$A68,Datos!$C$2:$C$5000,$B68,Datos!$D$2:$D$5000,D$2))</f>
        <v/>
      </c>
      <c r="E68" s="9">
        <f>IF(COUNTIFS(Datos!$A$2:$A$5000,E$1,Datos!$B$2:$B$5000,$A68,Datos!$C$2:$C$5000,$B68,Datos!$D$2:$D$5000,E$2)=0,"",SUMIFS(Datos!$E$2:$E$5000,Datos!$A$2:$A$5000,E$1,Datos!$B$2:$B$5000,$A68,Datos!$C$2:$C$5000,$B68,Datos!$D$2:$D$5000,E$2))</f>
        <v/>
      </c>
      <c r="F68" s="9">
        <f>IF(COUNTIFS(Datos!$A$2:$A$5000,F$1,Datos!$B$2:$B$5000,$A68,Datos!$C$2:$C$5000,$B68,Datos!$D$2:$D$5000,F$2)=0,"",SUMIFS(Datos!$E$2:$E$5000,Datos!$A$2:$A$5000,F$1,Datos!$B$2:$B$5000,$A68,Datos!$C$2:$C$5000,$B68,Datos!$D$2:$D$5000,F$2))</f>
        <v/>
      </c>
      <c r="G68" s="9">
        <f>IF(COUNTIFS(Datos!$A$2:$A$5000,G$1,Datos!$B$2:$B$5000,$A68,Datos!$C$2:$C$5000,$B68,Datos!$D$2:$D$5000,G$2)=0,"",SUMIFS(Datos!$E$2:$E$5000,Datos!$A$2:$A$5000,G$1,Datos!$B$2:$B$5000,$A68,Datos!$C$2:$C$5000,$B68,Datos!$D$2:$D$5000,G$2))</f>
        <v/>
      </c>
      <c r="H68" s="9">
        <f>IF(COUNTIFS(Datos!$A$2:$A$5000,H$1,Datos!$B$2:$B$5000,$A68,Datos!$C$2:$C$5000,$B68,Datos!$D$2:$D$5000,H$2)=0,"",SUMIFS(Datos!$E$2:$E$5000,Datos!$A$2:$A$5000,H$1,Datos!$B$2:$B$5000,$A68,Datos!$C$2:$C$5000,$B68,Datos!$D$2:$D$5000,H$2))</f>
        <v/>
      </c>
      <c r="I68" s="9">
        <f>IF(COUNTIFS(Datos!$A$2:$A$5000,I$1,Datos!$B$2:$B$5000,$A68,Datos!$C$2:$C$5000,$B68,Datos!$D$2:$D$5000,I$2)=0,"",SUMIFS(Datos!$E$2:$E$5000,Datos!$A$2:$A$5000,I$1,Datos!$B$2:$B$5000,$A68,Datos!$C$2:$C$5000,$B68,Datos!$D$2:$D$5000,I$2))</f>
        <v/>
      </c>
      <c r="J68" s="9">
        <f>IF(COUNTIFS(Datos!$A$2:$A$5000,J$1,Datos!$B$2:$B$5000,$A68,Datos!$C$2:$C$5000,$B68,Datos!$D$2:$D$5000,J$2)=0,"",SUMIFS(Datos!$E$2:$E$5000,Datos!$A$2:$A$5000,J$1,Datos!$B$2:$B$5000,$A68,Datos!$C$2:$C$5000,$B68,Datos!$D$2:$D$5000,J$2))</f>
        <v/>
      </c>
    </row>
    <row r="69">
      <c r="A69" s="8" t="inlineStr">
        <is>
          <t>Chile</t>
        </is>
      </c>
      <c r="B69" s="8" t="n">
        <v>1997</v>
      </c>
      <c r="C69" s="9">
        <f>IF(COUNTIFS(Datos!$A$2:$A$5000,C$1,Datos!$B$2:$B$5000,$A69,Datos!$C$2:$C$5000,$B69,Datos!$D$2:$D$5000,C$2)=0,"",SUMIFS(Datos!$E$2:$E$5000,Datos!$A$2:$A$5000,C$1,Datos!$B$2:$B$5000,$A69,Datos!$C$2:$C$5000,$B69,Datos!$D$2:$D$5000,C$2))</f>
        <v/>
      </c>
      <c r="D69" s="9">
        <f>IF(COUNTIFS(Datos!$A$2:$A$5000,D$1,Datos!$B$2:$B$5000,$A69,Datos!$C$2:$C$5000,$B69,Datos!$D$2:$D$5000,D$2)=0,"",SUMIFS(Datos!$E$2:$E$5000,Datos!$A$2:$A$5000,D$1,Datos!$B$2:$B$5000,$A69,Datos!$C$2:$C$5000,$B69,Datos!$D$2:$D$5000,D$2))</f>
        <v/>
      </c>
      <c r="E69" s="9">
        <f>IF(COUNTIFS(Datos!$A$2:$A$5000,E$1,Datos!$B$2:$B$5000,$A69,Datos!$C$2:$C$5000,$B69,Datos!$D$2:$D$5000,E$2)=0,"",SUMIFS(Datos!$E$2:$E$5000,Datos!$A$2:$A$5000,E$1,Datos!$B$2:$B$5000,$A69,Datos!$C$2:$C$5000,$B69,Datos!$D$2:$D$5000,E$2))</f>
        <v/>
      </c>
      <c r="F69" s="9">
        <f>IF(COUNTIFS(Datos!$A$2:$A$5000,F$1,Datos!$B$2:$B$5000,$A69,Datos!$C$2:$C$5000,$B69,Datos!$D$2:$D$5000,F$2)=0,"",SUMIFS(Datos!$E$2:$E$5000,Datos!$A$2:$A$5000,F$1,Datos!$B$2:$B$5000,$A69,Datos!$C$2:$C$5000,$B69,Datos!$D$2:$D$5000,F$2))</f>
        <v/>
      </c>
      <c r="G69" s="9">
        <f>IF(COUNTIFS(Datos!$A$2:$A$5000,G$1,Datos!$B$2:$B$5000,$A69,Datos!$C$2:$C$5000,$B69,Datos!$D$2:$D$5000,G$2)=0,"",SUMIFS(Datos!$E$2:$E$5000,Datos!$A$2:$A$5000,G$1,Datos!$B$2:$B$5000,$A69,Datos!$C$2:$C$5000,$B69,Datos!$D$2:$D$5000,G$2))</f>
        <v/>
      </c>
      <c r="H69" s="9">
        <f>IF(COUNTIFS(Datos!$A$2:$A$5000,H$1,Datos!$B$2:$B$5000,$A69,Datos!$C$2:$C$5000,$B69,Datos!$D$2:$D$5000,H$2)=0,"",SUMIFS(Datos!$E$2:$E$5000,Datos!$A$2:$A$5000,H$1,Datos!$B$2:$B$5000,$A69,Datos!$C$2:$C$5000,$B69,Datos!$D$2:$D$5000,H$2))</f>
        <v/>
      </c>
      <c r="I69" s="9">
        <f>IF(COUNTIFS(Datos!$A$2:$A$5000,I$1,Datos!$B$2:$B$5000,$A69,Datos!$C$2:$C$5000,$B69,Datos!$D$2:$D$5000,I$2)=0,"",SUMIFS(Datos!$E$2:$E$5000,Datos!$A$2:$A$5000,I$1,Datos!$B$2:$B$5000,$A69,Datos!$C$2:$C$5000,$B69,Datos!$D$2:$D$5000,I$2))</f>
        <v/>
      </c>
      <c r="J69" s="9">
        <f>IF(COUNTIFS(Datos!$A$2:$A$5000,J$1,Datos!$B$2:$B$5000,$A69,Datos!$C$2:$C$5000,$B69,Datos!$D$2:$D$5000,J$2)=0,"",SUMIFS(Datos!$E$2:$E$5000,Datos!$A$2:$A$5000,J$1,Datos!$B$2:$B$5000,$A69,Datos!$C$2:$C$5000,$B69,Datos!$D$2:$D$5000,J$2))</f>
        <v/>
      </c>
    </row>
    <row r="70">
      <c r="A70" s="8" t="inlineStr">
        <is>
          <t>Chile</t>
        </is>
      </c>
      <c r="B70" s="8" t="n">
        <v>1998</v>
      </c>
      <c r="C70" s="9">
        <f>IF(COUNTIFS(Datos!$A$2:$A$5000,C$1,Datos!$B$2:$B$5000,$A70,Datos!$C$2:$C$5000,$B70,Datos!$D$2:$D$5000,C$2)=0,"",SUMIFS(Datos!$E$2:$E$5000,Datos!$A$2:$A$5000,C$1,Datos!$B$2:$B$5000,$A70,Datos!$C$2:$C$5000,$B70,Datos!$D$2:$D$5000,C$2))</f>
        <v/>
      </c>
      <c r="D70" s="9">
        <f>IF(COUNTIFS(Datos!$A$2:$A$5000,D$1,Datos!$B$2:$B$5000,$A70,Datos!$C$2:$C$5000,$B70,Datos!$D$2:$D$5000,D$2)=0,"",SUMIFS(Datos!$E$2:$E$5000,Datos!$A$2:$A$5000,D$1,Datos!$B$2:$B$5000,$A70,Datos!$C$2:$C$5000,$B70,Datos!$D$2:$D$5000,D$2))</f>
        <v/>
      </c>
      <c r="E70" s="9">
        <f>IF(COUNTIFS(Datos!$A$2:$A$5000,E$1,Datos!$B$2:$B$5000,$A70,Datos!$C$2:$C$5000,$B70,Datos!$D$2:$D$5000,E$2)=0,"",SUMIFS(Datos!$E$2:$E$5000,Datos!$A$2:$A$5000,E$1,Datos!$B$2:$B$5000,$A70,Datos!$C$2:$C$5000,$B70,Datos!$D$2:$D$5000,E$2))</f>
        <v/>
      </c>
      <c r="F70" s="9">
        <f>IF(COUNTIFS(Datos!$A$2:$A$5000,F$1,Datos!$B$2:$B$5000,$A70,Datos!$C$2:$C$5000,$B70,Datos!$D$2:$D$5000,F$2)=0,"",SUMIFS(Datos!$E$2:$E$5000,Datos!$A$2:$A$5000,F$1,Datos!$B$2:$B$5000,$A70,Datos!$C$2:$C$5000,$B70,Datos!$D$2:$D$5000,F$2))</f>
        <v/>
      </c>
      <c r="G70" s="9">
        <f>IF(COUNTIFS(Datos!$A$2:$A$5000,G$1,Datos!$B$2:$B$5000,$A70,Datos!$C$2:$C$5000,$B70,Datos!$D$2:$D$5000,G$2)=0,"",SUMIFS(Datos!$E$2:$E$5000,Datos!$A$2:$A$5000,G$1,Datos!$B$2:$B$5000,$A70,Datos!$C$2:$C$5000,$B70,Datos!$D$2:$D$5000,G$2))</f>
        <v/>
      </c>
      <c r="H70" s="9">
        <f>IF(COUNTIFS(Datos!$A$2:$A$5000,H$1,Datos!$B$2:$B$5000,$A70,Datos!$C$2:$C$5000,$B70,Datos!$D$2:$D$5000,H$2)=0,"",SUMIFS(Datos!$E$2:$E$5000,Datos!$A$2:$A$5000,H$1,Datos!$B$2:$B$5000,$A70,Datos!$C$2:$C$5000,$B70,Datos!$D$2:$D$5000,H$2))</f>
        <v/>
      </c>
      <c r="I70" s="9">
        <f>IF(COUNTIFS(Datos!$A$2:$A$5000,I$1,Datos!$B$2:$B$5000,$A70,Datos!$C$2:$C$5000,$B70,Datos!$D$2:$D$5000,I$2)=0,"",SUMIFS(Datos!$E$2:$E$5000,Datos!$A$2:$A$5000,I$1,Datos!$B$2:$B$5000,$A70,Datos!$C$2:$C$5000,$B70,Datos!$D$2:$D$5000,I$2))</f>
        <v/>
      </c>
      <c r="J70" s="9">
        <f>IF(COUNTIFS(Datos!$A$2:$A$5000,J$1,Datos!$B$2:$B$5000,$A70,Datos!$C$2:$C$5000,$B70,Datos!$D$2:$D$5000,J$2)=0,"",SUMIFS(Datos!$E$2:$E$5000,Datos!$A$2:$A$5000,J$1,Datos!$B$2:$B$5000,$A70,Datos!$C$2:$C$5000,$B70,Datos!$D$2:$D$5000,J$2))</f>
        <v/>
      </c>
    </row>
    <row r="71">
      <c r="A71" s="8" t="inlineStr">
        <is>
          <t>Chile</t>
        </is>
      </c>
      <c r="B71" s="8" t="n">
        <v>2000</v>
      </c>
      <c r="C71" s="9">
        <f>IF(COUNTIFS(Datos!$A$2:$A$5000,C$1,Datos!$B$2:$B$5000,$A71,Datos!$C$2:$C$5000,$B71,Datos!$D$2:$D$5000,C$2)=0,"",SUMIFS(Datos!$E$2:$E$5000,Datos!$A$2:$A$5000,C$1,Datos!$B$2:$B$5000,$A71,Datos!$C$2:$C$5000,$B71,Datos!$D$2:$D$5000,C$2))</f>
        <v/>
      </c>
      <c r="D71" s="9">
        <f>IF(COUNTIFS(Datos!$A$2:$A$5000,D$1,Datos!$B$2:$B$5000,$A71,Datos!$C$2:$C$5000,$B71,Datos!$D$2:$D$5000,D$2)=0,"",SUMIFS(Datos!$E$2:$E$5000,Datos!$A$2:$A$5000,D$1,Datos!$B$2:$B$5000,$A71,Datos!$C$2:$C$5000,$B71,Datos!$D$2:$D$5000,D$2))</f>
        <v/>
      </c>
      <c r="E71" s="9">
        <f>IF(COUNTIFS(Datos!$A$2:$A$5000,E$1,Datos!$B$2:$B$5000,$A71,Datos!$C$2:$C$5000,$B71,Datos!$D$2:$D$5000,E$2)=0,"",SUMIFS(Datos!$E$2:$E$5000,Datos!$A$2:$A$5000,E$1,Datos!$B$2:$B$5000,$A71,Datos!$C$2:$C$5000,$B71,Datos!$D$2:$D$5000,E$2))</f>
        <v/>
      </c>
      <c r="F71" s="9">
        <f>IF(COUNTIFS(Datos!$A$2:$A$5000,F$1,Datos!$B$2:$B$5000,$A71,Datos!$C$2:$C$5000,$B71,Datos!$D$2:$D$5000,F$2)=0,"",SUMIFS(Datos!$E$2:$E$5000,Datos!$A$2:$A$5000,F$1,Datos!$B$2:$B$5000,$A71,Datos!$C$2:$C$5000,$B71,Datos!$D$2:$D$5000,F$2))</f>
        <v/>
      </c>
      <c r="G71" s="9">
        <f>IF(COUNTIFS(Datos!$A$2:$A$5000,G$1,Datos!$B$2:$B$5000,$A71,Datos!$C$2:$C$5000,$B71,Datos!$D$2:$D$5000,G$2)=0,"",SUMIFS(Datos!$E$2:$E$5000,Datos!$A$2:$A$5000,G$1,Datos!$B$2:$B$5000,$A71,Datos!$C$2:$C$5000,$B71,Datos!$D$2:$D$5000,G$2))</f>
        <v/>
      </c>
      <c r="H71" s="9">
        <f>IF(COUNTIFS(Datos!$A$2:$A$5000,H$1,Datos!$B$2:$B$5000,$A71,Datos!$C$2:$C$5000,$B71,Datos!$D$2:$D$5000,H$2)=0,"",SUMIFS(Datos!$E$2:$E$5000,Datos!$A$2:$A$5000,H$1,Datos!$B$2:$B$5000,$A71,Datos!$C$2:$C$5000,$B71,Datos!$D$2:$D$5000,H$2))</f>
        <v/>
      </c>
      <c r="I71" s="9">
        <f>IF(COUNTIFS(Datos!$A$2:$A$5000,I$1,Datos!$B$2:$B$5000,$A71,Datos!$C$2:$C$5000,$B71,Datos!$D$2:$D$5000,I$2)=0,"",SUMIFS(Datos!$E$2:$E$5000,Datos!$A$2:$A$5000,I$1,Datos!$B$2:$B$5000,$A71,Datos!$C$2:$C$5000,$B71,Datos!$D$2:$D$5000,I$2))</f>
        <v/>
      </c>
      <c r="J71" s="9">
        <f>IF(COUNTIFS(Datos!$A$2:$A$5000,J$1,Datos!$B$2:$B$5000,$A71,Datos!$C$2:$C$5000,$B71,Datos!$D$2:$D$5000,J$2)=0,"",SUMIFS(Datos!$E$2:$E$5000,Datos!$A$2:$A$5000,J$1,Datos!$B$2:$B$5000,$A71,Datos!$C$2:$C$5000,$B71,Datos!$D$2:$D$5000,J$2))</f>
        <v/>
      </c>
    </row>
    <row r="72">
      <c r="A72" s="8" t="inlineStr">
        <is>
          <t>Chile</t>
        </is>
      </c>
      <c r="B72" s="8" t="n">
        <v>2001</v>
      </c>
      <c r="C72" s="9">
        <f>IF(COUNTIFS(Datos!$A$2:$A$5000,C$1,Datos!$B$2:$B$5000,$A72,Datos!$C$2:$C$5000,$B72,Datos!$D$2:$D$5000,C$2)=0,"",SUMIFS(Datos!$E$2:$E$5000,Datos!$A$2:$A$5000,C$1,Datos!$B$2:$B$5000,$A72,Datos!$C$2:$C$5000,$B72,Datos!$D$2:$D$5000,C$2))</f>
        <v/>
      </c>
      <c r="D72" s="9">
        <f>IF(COUNTIFS(Datos!$A$2:$A$5000,D$1,Datos!$B$2:$B$5000,$A72,Datos!$C$2:$C$5000,$B72,Datos!$D$2:$D$5000,D$2)=0,"",SUMIFS(Datos!$E$2:$E$5000,Datos!$A$2:$A$5000,D$1,Datos!$B$2:$B$5000,$A72,Datos!$C$2:$C$5000,$B72,Datos!$D$2:$D$5000,D$2))</f>
        <v/>
      </c>
      <c r="E72" s="9">
        <f>IF(COUNTIFS(Datos!$A$2:$A$5000,E$1,Datos!$B$2:$B$5000,$A72,Datos!$C$2:$C$5000,$B72,Datos!$D$2:$D$5000,E$2)=0,"",SUMIFS(Datos!$E$2:$E$5000,Datos!$A$2:$A$5000,E$1,Datos!$B$2:$B$5000,$A72,Datos!$C$2:$C$5000,$B72,Datos!$D$2:$D$5000,E$2))</f>
        <v/>
      </c>
      <c r="F72" s="9">
        <f>IF(COUNTIFS(Datos!$A$2:$A$5000,F$1,Datos!$B$2:$B$5000,$A72,Datos!$C$2:$C$5000,$B72,Datos!$D$2:$D$5000,F$2)=0,"",SUMIFS(Datos!$E$2:$E$5000,Datos!$A$2:$A$5000,F$1,Datos!$B$2:$B$5000,$A72,Datos!$C$2:$C$5000,$B72,Datos!$D$2:$D$5000,F$2))</f>
        <v/>
      </c>
      <c r="G72" s="9">
        <f>IF(COUNTIFS(Datos!$A$2:$A$5000,G$1,Datos!$B$2:$B$5000,$A72,Datos!$C$2:$C$5000,$B72,Datos!$D$2:$D$5000,G$2)=0,"",SUMIFS(Datos!$E$2:$E$5000,Datos!$A$2:$A$5000,G$1,Datos!$B$2:$B$5000,$A72,Datos!$C$2:$C$5000,$B72,Datos!$D$2:$D$5000,G$2))</f>
        <v/>
      </c>
      <c r="H72" s="9">
        <f>IF(COUNTIFS(Datos!$A$2:$A$5000,H$1,Datos!$B$2:$B$5000,$A72,Datos!$C$2:$C$5000,$B72,Datos!$D$2:$D$5000,H$2)=0,"",SUMIFS(Datos!$E$2:$E$5000,Datos!$A$2:$A$5000,H$1,Datos!$B$2:$B$5000,$A72,Datos!$C$2:$C$5000,$B72,Datos!$D$2:$D$5000,H$2))</f>
        <v/>
      </c>
      <c r="I72" s="9">
        <f>IF(COUNTIFS(Datos!$A$2:$A$5000,I$1,Datos!$B$2:$B$5000,$A72,Datos!$C$2:$C$5000,$B72,Datos!$D$2:$D$5000,I$2)=0,"",SUMIFS(Datos!$E$2:$E$5000,Datos!$A$2:$A$5000,I$1,Datos!$B$2:$B$5000,$A72,Datos!$C$2:$C$5000,$B72,Datos!$D$2:$D$5000,I$2))</f>
        <v/>
      </c>
      <c r="J72" s="9">
        <f>IF(COUNTIFS(Datos!$A$2:$A$5000,J$1,Datos!$B$2:$B$5000,$A72,Datos!$C$2:$C$5000,$B72,Datos!$D$2:$D$5000,J$2)=0,"",SUMIFS(Datos!$E$2:$E$5000,Datos!$A$2:$A$5000,J$1,Datos!$B$2:$B$5000,$A72,Datos!$C$2:$C$5000,$B72,Datos!$D$2:$D$5000,J$2))</f>
        <v/>
      </c>
    </row>
    <row r="73">
      <c r="A73" s="8" t="inlineStr">
        <is>
          <t>Chile</t>
        </is>
      </c>
      <c r="B73" s="8" t="n">
        <v>2002</v>
      </c>
      <c r="C73" s="9">
        <f>IF(COUNTIFS(Datos!$A$2:$A$5000,C$1,Datos!$B$2:$B$5000,$A73,Datos!$C$2:$C$5000,$B73,Datos!$D$2:$D$5000,C$2)=0,"",SUMIFS(Datos!$E$2:$E$5000,Datos!$A$2:$A$5000,C$1,Datos!$B$2:$B$5000,$A73,Datos!$C$2:$C$5000,$B73,Datos!$D$2:$D$5000,C$2))</f>
        <v/>
      </c>
      <c r="D73" s="9">
        <f>IF(COUNTIFS(Datos!$A$2:$A$5000,D$1,Datos!$B$2:$B$5000,$A73,Datos!$C$2:$C$5000,$B73,Datos!$D$2:$D$5000,D$2)=0,"",SUMIFS(Datos!$E$2:$E$5000,Datos!$A$2:$A$5000,D$1,Datos!$B$2:$B$5000,$A73,Datos!$C$2:$C$5000,$B73,Datos!$D$2:$D$5000,D$2))</f>
        <v/>
      </c>
      <c r="E73" s="9">
        <f>IF(COUNTIFS(Datos!$A$2:$A$5000,E$1,Datos!$B$2:$B$5000,$A73,Datos!$C$2:$C$5000,$B73,Datos!$D$2:$D$5000,E$2)=0,"",SUMIFS(Datos!$E$2:$E$5000,Datos!$A$2:$A$5000,E$1,Datos!$B$2:$B$5000,$A73,Datos!$C$2:$C$5000,$B73,Datos!$D$2:$D$5000,E$2))</f>
        <v/>
      </c>
      <c r="F73" s="9">
        <f>IF(COUNTIFS(Datos!$A$2:$A$5000,F$1,Datos!$B$2:$B$5000,$A73,Datos!$C$2:$C$5000,$B73,Datos!$D$2:$D$5000,F$2)=0,"",SUMIFS(Datos!$E$2:$E$5000,Datos!$A$2:$A$5000,F$1,Datos!$B$2:$B$5000,$A73,Datos!$C$2:$C$5000,$B73,Datos!$D$2:$D$5000,F$2))</f>
        <v/>
      </c>
      <c r="G73" s="9">
        <f>IF(COUNTIFS(Datos!$A$2:$A$5000,G$1,Datos!$B$2:$B$5000,$A73,Datos!$C$2:$C$5000,$B73,Datos!$D$2:$D$5000,G$2)=0,"",SUMIFS(Datos!$E$2:$E$5000,Datos!$A$2:$A$5000,G$1,Datos!$B$2:$B$5000,$A73,Datos!$C$2:$C$5000,$B73,Datos!$D$2:$D$5000,G$2))</f>
        <v/>
      </c>
      <c r="H73" s="9">
        <f>IF(COUNTIFS(Datos!$A$2:$A$5000,H$1,Datos!$B$2:$B$5000,$A73,Datos!$C$2:$C$5000,$B73,Datos!$D$2:$D$5000,H$2)=0,"",SUMIFS(Datos!$E$2:$E$5000,Datos!$A$2:$A$5000,H$1,Datos!$B$2:$B$5000,$A73,Datos!$C$2:$C$5000,$B73,Datos!$D$2:$D$5000,H$2))</f>
        <v/>
      </c>
      <c r="I73" s="9">
        <f>IF(COUNTIFS(Datos!$A$2:$A$5000,I$1,Datos!$B$2:$B$5000,$A73,Datos!$C$2:$C$5000,$B73,Datos!$D$2:$D$5000,I$2)=0,"",SUMIFS(Datos!$E$2:$E$5000,Datos!$A$2:$A$5000,I$1,Datos!$B$2:$B$5000,$A73,Datos!$C$2:$C$5000,$B73,Datos!$D$2:$D$5000,I$2))</f>
        <v/>
      </c>
      <c r="J73" s="9">
        <f>IF(COUNTIFS(Datos!$A$2:$A$5000,J$1,Datos!$B$2:$B$5000,$A73,Datos!$C$2:$C$5000,$B73,Datos!$D$2:$D$5000,J$2)=0,"",SUMIFS(Datos!$E$2:$E$5000,Datos!$A$2:$A$5000,J$1,Datos!$B$2:$B$5000,$A73,Datos!$C$2:$C$5000,$B73,Datos!$D$2:$D$5000,J$2))</f>
        <v/>
      </c>
    </row>
    <row r="74">
      <c r="A74" s="8" t="inlineStr">
        <is>
          <t>Chile</t>
        </is>
      </c>
      <c r="B74" s="8" t="n">
        <v>2003</v>
      </c>
      <c r="C74" s="9">
        <f>IF(COUNTIFS(Datos!$A$2:$A$5000,C$1,Datos!$B$2:$B$5000,$A74,Datos!$C$2:$C$5000,$B74,Datos!$D$2:$D$5000,C$2)=0,"",SUMIFS(Datos!$E$2:$E$5000,Datos!$A$2:$A$5000,C$1,Datos!$B$2:$B$5000,$A74,Datos!$C$2:$C$5000,$B74,Datos!$D$2:$D$5000,C$2))</f>
        <v/>
      </c>
      <c r="D74" s="9">
        <f>IF(COUNTIFS(Datos!$A$2:$A$5000,D$1,Datos!$B$2:$B$5000,$A74,Datos!$C$2:$C$5000,$B74,Datos!$D$2:$D$5000,D$2)=0,"",SUMIFS(Datos!$E$2:$E$5000,Datos!$A$2:$A$5000,D$1,Datos!$B$2:$B$5000,$A74,Datos!$C$2:$C$5000,$B74,Datos!$D$2:$D$5000,D$2))</f>
        <v/>
      </c>
      <c r="E74" s="9">
        <f>IF(COUNTIFS(Datos!$A$2:$A$5000,E$1,Datos!$B$2:$B$5000,$A74,Datos!$C$2:$C$5000,$B74,Datos!$D$2:$D$5000,E$2)=0,"",SUMIFS(Datos!$E$2:$E$5000,Datos!$A$2:$A$5000,E$1,Datos!$B$2:$B$5000,$A74,Datos!$C$2:$C$5000,$B74,Datos!$D$2:$D$5000,E$2))</f>
        <v/>
      </c>
      <c r="F74" s="9">
        <f>IF(COUNTIFS(Datos!$A$2:$A$5000,F$1,Datos!$B$2:$B$5000,$A74,Datos!$C$2:$C$5000,$B74,Datos!$D$2:$D$5000,F$2)=0,"",SUMIFS(Datos!$E$2:$E$5000,Datos!$A$2:$A$5000,F$1,Datos!$B$2:$B$5000,$A74,Datos!$C$2:$C$5000,$B74,Datos!$D$2:$D$5000,F$2))</f>
        <v/>
      </c>
      <c r="G74" s="9">
        <f>IF(COUNTIFS(Datos!$A$2:$A$5000,G$1,Datos!$B$2:$B$5000,$A74,Datos!$C$2:$C$5000,$B74,Datos!$D$2:$D$5000,G$2)=0,"",SUMIFS(Datos!$E$2:$E$5000,Datos!$A$2:$A$5000,G$1,Datos!$B$2:$B$5000,$A74,Datos!$C$2:$C$5000,$B74,Datos!$D$2:$D$5000,G$2))</f>
        <v/>
      </c>
      <c r="H74" s="9">
        <f>IF(COUNTIFS(Datos!$A$2:$A$5000,H$1,Datos!$B$2:$B$5000,$A74,Datos!$C$2:$C$5000,$B74,Datos!$D$2:$D$5000,H$2)=0,"",SUMIFS(Datos!$E$2:$E$5000,Datos!$A$2:$A$5000,H$1,Datos!$B$2:$B$5000,$A74,Datos!$C$2:$C$5000,$B74,Datos!$D$2:$D$5000,H$2))</f>
        <v/>
      </c>
      <c r="I74" s="9">
        <f>IF(COUNTIFS(Datos!$A$2:$A$5000,I$1,Datos!$B$2:$B$5000,$A74,Datos!$C$2:$C$5000,$B74,Datos!$D$2:$D$5000,I$2)=0,"",SUMIFS(Datos!$E$2:$E$5000,Datos!$A$2:$A$5000,I$1,Datos!$B$2:$B$5000,$A74,Datos!$C$2:$C$5000,$B74,Datos!$D$2:$D$5000,I$2))</f>
        <v/>
      </c>
      <c r="J74" s="9">
        <f>IF(COUNTIFS(Datos!$A$2:$A$5000,J$1,Datos!$B$2:$B$5000,$A74,Datos!$C$2:$C$5000,$B74,Datos!$D$2:$D$5000,J$2)=0,"",SUMIFS(Datos!$E$2:$E$5000,Datos!$A$2:$A$5000,J$1,Datos!$B$2:$B$5000,$A74,Datos!$C$2:$C$5000,$B74,Datos!$D$2:$D$5000,J$2))</f>
        <v/>
      </c>
    </row>
    <row r="75">
      <c r="A75" s="8" t="inlineStr">
        <is>
          <t>Chile</t>
        </is>
      </c>
      <c r="B75" s="8" t="n">
        <v>2004</v>
      </c>
      <c r="C75" s="9">
        <f>IF(COUNTIFS(Datos!$A$2:$A$5000,C$1,Datos!$B$2:$B$5000,$A75,Datos!$C$2:$C$5000,$B75,Datos!$D$2:$D$5000,C$2)=0,"",SUMIFS(Datos!$E$2:$E$5000,Datos!$A$2:$A$5000,C$1,Datos!$B$2:$B$5000,$A75,Datos!$C$2:$C$5000,$B75,Datos!$D$2:$D$5000,C$2))</f>
        <v/>
      </c>
      <c r="D75" s="9">
        <f>IF(COUNTIFS(Datos!$A$2:$A$5000,D$1,Datos!$B$2:$B$5000,$A75,Datos!$C$2:$C$5000,$B75,Datos!$D$2:$D$5000,D$2)=0,"",SUMIFS(Datos!$E$2:$E$5000,Datos!$A$2:$A$5000,D$1,Datos!$B$2:$B$5000,$A75,Datos!$C$2:$C$5000,$B75,Datos!$D$2:$D$5000,D$2))</f>
        <v/>
      </c>
      <c r="E75" s="9">
        <f>IF(COUNTIFS(Datos!$A$2:$A$5000,E$1,Datos!$B$2:$B$5000,$A75,Datos!$C$2:$C$5000,$B75,Datos!$D$2:$D$5000,E$2)=0,"",SUMIFS(Datos!$E$2:$E$5000,Datos!$A$2:$A$5000,E$1,Datos!$B$2:$B$5000,$A75,Datos!$C$2:$C$5000,$B75,Datos!$D$2:$D$5000,E$2))</f>
        <v/>
      </c>
      <c r="F75" s="9">
        <f>IF(COUNTIFS(Datos!$A$2:$A$5000,F$1,Datos!$B$2:$B$5000,$A75,Datos!$C$2:$C$5000,$B75,Datos!$D$2:$D$5000,F$2)=0,"",SUMIFS(Datos!$E$2:$E$5000,Datos!$A$2:$A$5000,F$1,Datos!$B$2:$B$5000,$A75,Datos!$C$2:$C$5000,$B75,Datos!$D$2:$D$5000,F$2))</f>
        <v/>
      </c>
      <c r="G75" s="9">
        <f>IF(COUNTIFS(Datos!$A$2:$A$5000,G$1,Datos!$B$2:$B$5000,$A75,Datos!$C$2:$C$5000,$B75,Datos!$D$2:$D$5000,G$2)=0,"",SUMIFS(Datos!$E$2:$E$5000,Datos!$A$2:$A$5000,G$1,Datos!$B$2:$B$5000,$A75,Datos!$C$2:$C$5000,$B75,Datos!$D$2:$D$5000,G$2))</f>
        <v/>
      </c>
      <c r="H75" s="9">
        <f>IF(COUNTIFS(Datos!$A$2:$A$5000,H$1,Datos!$B$2:$B$5000,$A75,Datos!$C$2:$C$5000,$B75,Datos!$D$2:$D$5000,H$2)=0,"",SUMIFS(Datos!$E$2:$E$5000,Datos!$A$2:$A$5000,H$1,Datos!$B$2:$B$5000,$A75,Datos!$C$2:$C$5000,$B75,Datos!$D$2:$D$5000,H$2))</f>
        <v/>
      </c>
      <c r="I75" s="9">
        <f>IF(COUNTIFS(Datos!$A$2:$A$5000,I$1,Datos!$B$2:$B$5000,$A75,Datos!$C$2:$C$5000,$B75,Datos!$D$2:$D$5000,I$2)=0,"",SUMIFS(Datos!$E$2:$E$5000,Datos!$A$2:$A$5000,I$1,Datos!$B$2:$B$5000,$A75,Datos!$C$2:$C$5000,$B75,Datos!$D$2:$D$5000,I$2))</f>
        <v/>
      </c>
      <c r="J75" s="9">
        <f>IF(COUNTIFS(Datos!$A$2:$A$5000,J$1,Datos!$B$2:$B$5000,$A75,Datos!$C$2:$C$5000,$B75,Datos!$D$2:$D$5000,J$2)=0,"",SUMIFS(Datos!$E$2:$E$5000,Datos!$A$2:$A$5000,J$1,Datos!$B$2:$B$5000,$A75,Datos!$C$2:$C$5000,$B75,Datos!$D$2:$D$5000,J$2))</f>
        <v/>
      </c>
    </row>
    <row r="76">
      <c r="A76" s="8" t="inlineStr">
        <is>
          <t>Chile</t>
        </is>
      </c>
      <c r="B76" s="8" t="n">
        <v>2005</v>
      </c>
      <c r="C76" s="9">
        <f>IF(COUNTIFS(Datos!$A$2:$A$5000,C$1,Datos!$B$2:$B$5000,$A76,Datos!$C$2:$C$5000,$B76,Datos!$D$2:$D$5000,C$2)=0,"",SUMIFS(Datos!$E$2:$E$5000,Datos!$A$2:$A$5000,C$1,Datos!$B$2:$B$5000,$A76,Datos!$C$2:$C$5000,$B76,Datos!$D$2:$D$5000,C$2))</f>
        <v/>
      </c>
      <c r="D76" s="9">
        <f>IF(COUNTIFS(Datos!$A$2:$A$5000,D$1,Datos!$B$2:$B$5000,$A76,Datos!$C$2:$C$5000,$B76,Datos!$D$2:$D$5000,D$2)=0,"",SUMIFS(Datos!$E$2:$E$5000,Datos!$A$2:$A$5000,D$1,Datos!$B$2:$B$5000,$A76,Datos!$C$2:$C$5000,$B76,Datos!$D$2:$D$5000,D$2))</f>
        <v/>
      </c>
      <c r="E76" s="9">
        <f>IF(COUNTIFS(Datos!$A$2:$A$5000,E$1,Datos!$B$2:$B$5000,$A76,Datos!$C$2:$C$5000,$B76,Datos!$D$2:$D$5000,E$2)=0,"",SUMIFS(Datos!$E$2:$E$5000,Datos!$A$2:$A$5000,E$1,Datos!$B$2:$B$5000,$A76,Datos!$C$2:$C$5000,$B76,Datos!$D$2:$D$5000,E$2))</f>
        <v/>
      </c>
      <c r="F76" s="9">
        <f>IF(COUNTIFS(Datos!$A$2:$A$5000,F$1,Datos!$B$2:$B$5000,$A76,Datos!$C$2:$C$5000,$B76,Datos!$D$2:$D$5000,F$2)=0,"",SUMIFS(Datos!$E$2:$E$5000,Datos!$A$2:$A$5000,F$1,Datos!$B$2:$B$5000,$A76,Datos!$C$2:$C$5000,$B76,Datos!$D$2:$D$5000,F$2))</f>
        <v/>
      </c>
      <c r="G76" s="9">
        <f>IF(COUNTIFS(Datos!$A$2:$A$5000,G$1,Datos!$B$2:$B$5000,$A76,Datos!$C$2:$C$5000,$B76,Datos!$D$2:$D$5000,G$2)=0,"",SUMIFS(Datos!$E$2:$E$5000,Datos!$A$2:$A$5000,G$1,Datos!$B$2:$B$5000,$A76,Datos!$C$2:$C$5000,$B76,Datos!$D$2:$D$5000,G$2))</f>
        <v/>
      </c>
      <c r="H76" s="9">
        <f>IF(COUNTIFS(Datos!$A$2:$A$5000,H$1,Datos!$B$2:$B$5000,$A76,Datos!$C$2:$C$5000,$B76,Datos!$D$2:$D$5000,H$2)=0,"",SUMIFS(Datos!$E$2:$E$5000,Datos!$A$2:$A$5000,H$1,Datos!$B$2:$B$5000,$A76,Datos!$C$2:$C$5000,$B76,Datos!$D$2:$D$5000,H$2))</f>
        <v/>
      </c>
      <c r="I76" s="9">
        <f>IF(COUNTIFS(Datos!$A$2:$A$5000,I$1,Datos!$B$2:$B$5000,$A76,Datos!$C$2:$C$5000,$B76,Datos!$D$2:$D$5000,I$2)=0,"",SUMIFS(Datos!$E$2:$E$5000,Datos!$A$2:$A$5000,I$1,Datos!$B$2:$B$5000,$A76,Datos!$C$2:$C$5000,$B76,Datos!$D$2:$D$5000,I$2))</f>
        <v/>
      </c>
      <c r="J76" s="9">
        <f>IF(COUNTIFS(Datos!$A$2:$A$5000,J$1,Datos!$B$2:$B$5000,$A76,Datos!$C$2:$C$5000,$B76,Datos!$D$2:$D$5000,J$2)=0,"",SUMIFS(Datos!$E$2:$E$5000,Datos!$A$2:$A$5000,J$1,Datos!$B$2:$B$5000,$A76,Datos!$C$2:$C$5000,$B76,Datos!$D$2:$D$5000,J$2))</f>
        <v/>
      </c>
    </row>
    <row r="77">
      <c r="A77" s="8" t="inlineStr">
        <is>
          <t>Chile</t>
        </is>
      </c>
      <c r="B77" s="8" t="n">
        <v>2006</v>
      </c>
      <c r="C77" s="9">
        <f>IF(COUNTIFS(Datos!$A$2:$A$5000,C$1,Datos!$B$2:$B$5000,$A77,Datos!$C$2:$C$5000,$B77,Datos!$D$2:$D$5000,C$2)=0,"",SUMIFS(Datos!$E$2:$E$5000,Datos!$A$2:$A$5000,C$1,Datos!$B$2:$B$5000,$A77,Datos!$C$2:$C$5000,$B77,Datos!$D$2:$D$5000,C$2))</f>
        <v/>
      </c>
      <c r="D77" s="9">
        <f>IF(COUNTIFS(Datos!$A$2:$A$5000,D$1,Datos!$B$2:$B$5000,$A77,Datos!$C$2:$C$5000,$B77,Datos!$D$2:$D$5000,D$2)=0,"",SUMIFS(Datos!$E$2:$E$5000,Datos!$A$2:$A$5000,D$1,Datos!$B$2:$B$5000,$A77,Datos!$C$2:$C$5000,$B77,Datos!$D$2:$D$5000,D$2))</f>
        <v/>
      </c>
      <c r="E77" s="9">
        <f>IF(COUNTIFS(Datos!$A$2:$A$5000,E$1,Datos!$B$2:$B$5000,$A77,Datos!$C$2:$C$5000,$B77,Datos!$D$2:$D$5000,E$2)=0,"",SUMIFS(Datos!$E$2:$E$5000,Datos!$A$2:$A$5000,E$1,Datos!$B$2:$B$5000,$A77,Datos!$C$2:$C$5000,$B77,Datos!$D$2:$D$5000,E$2))</f>
        <v/>
      </c>
      <c r="F77" s="9">
        <f>IF(COUNTIFS(Datos!$A$2:$A$5000,F$1,Datos!$B$2:$B$5000,$A77,Datos!$C$2:$C$5000,$B77,Datos!$D$2:$D$5000,F$2)=0,"",SUMIFS(Datos!$E$2:$E$5000,Datos!$A$2:$A$5000,F$1,Datos!$B$2:$B$5000,$A77,Datos!$C$2:$C$5000,$B77,Datos!$D$2:$D$5000,F$2))</f>
        <v/>
      </c>
      <c r="G77" s="9">
        <f>IF(COUNTIFS(Datos!$A$2:$A$5000,G$1,Datos!$B$2:$B$5000,$A77,Datos!$C$2:$C$5000,$B77,Datos!$D$2:$D$5000,G$2)=0,"",SUMIFS(Datos!$E$2:$E$5000,Datos!$A$2:$A$5000,G$1,Datos!$B$2:$B$5000,$A77,Datos!$C$2:$C$5000,$B77,Datos!$D$2:$D$5000,G$2))</f>
        <v/>
      </c>
      <c r="H77" s="9">
        <f>IF(COUNTIFS(Datos!$A$2:$A$5000,H$1,Datos!$B$2:$B$5000,$A77,Datos!$C$2:$C$5000,$B77,Datos!$D$2:$D$5000,H$2)=0,"",SUMIFS(Datos!$E$2:$E$5000,Datos!$A$2:$A$5000,H$1,Datos!$B$2:$B$5000,$A77,Datos!$C$2:$C$5000,$B77,Datos!$D$2:$D$5000,H$2))</f>
        <v/>
      </c>
      <c r="I77" s="9">
        <f>IF(COUNTIFS(Datos!$A$2:$A$5000,I$1,Datos!$B$2:$B$5000,$A77,Datos!$C$2:$C$5000,$B77,Datos!$D$2:$D$5000,I$2)=0,"",SUMIFS(Datos!$E$2:$E$5000,Datos!$A$2:$A$5000,I$1,Datos!$B$2:$B$5000,$A77,Datos!$C$2:$C$5000,$B77,Datos!$D$2:$D$5000,I$2))</f>
        <v/>
      </c>
      <c r="J77" s="9">
        <f>IF(COUNTIFS(Datos!$A$2:$A$5000,J$1,Datos!$B$2:$B$5000,$A77,Datos!$C$2:$C$5000,$B77,Datos!$D$2:$D$5000,J$2)=0,"",SUMIFS(Datos!$E$2:$E$5000,Datos!$A$2:$A$5000,J$1,Datos!$B$2:$B$5000,$A77,Datos!$C$2:$C$5000,$B77,Datos!$D$2:$D$5000,J$2))</f>
        <v/>
      </c>
    </row>
    <row r="78">
      <c r="A78" s="8" t="inlineStr">
        <is>
          <t>Chile</t>
        </is>
      </c>
      <c r="B78" s="8" t="n">
        <v>2007</v>
      </c>
      <c r="C78" s="9">
        <f>IF(COUNTIFS(Datos!$A$2:$A$5000,C$1,Datos!$B$2:$B$5000,$A78,Datos!$C$2:$C$5000,$B78,Datos!$D$2:$D$5000,C$2)=0,"",SUMIFS(Datos!$E$2:$E$5000,Datos!$A$2:$A$5000,C$1,Datos!$B$2:$B$5000,$A78,Datos!$C$2:$C$5000,$B78,Datos!$D$2:$D$5000,C$2))</f>
        <v/>
      </c>
      <c r="D78" s="9">
        <f>IF(COUNTIFS(Datos!$A$2:$A$5000,D$1,Datos!$B$2:$B$5000,$A78,Datos!$C$2:$C$5000,$B78,Datos!$D$2:$D$5000,D$2)=0,"",SUMIFS(Datos!$E$2:$E$5000,Datos!$A$2:$A$5000,D$1,Datos!$B$2:$B$5000,$A78,Datos!$C$2:$C$5000,$B78,Datos!$D$2:$D$5000,D$2))</f>
        <v/>
      </c>
      <c r="E78" s="9">
        <f>IF(COUNTIFS(Datos!$A$2:$A$5000,E$1,Datos!$B$2:$B$5000,$A78,Datos!$C$2:$C$5000,$B78,Datos!$D$2:$D$5000,E$2)=0,"",SUMIFS(Datos!$E$2:$E$5000,Datos!$A$2:$A$5000,E$1,Datos!$B$2:$B$5000,$A78,Datos!$C$2:$C$5000,$B78,Datos!$D$2:$D$5000,E$2))</f>
        <v/>
      </c>
      <c r="F78" s="9">
        <f>IF(COUNTIFS(Datos!$A$2:$A$5000,F$1,Datos!$B$2:$B$5000,$A78,Datos!$C$2:$C$5000,$B78,Datos!$D$2:$D$5000,F$2)=0,"",SUMIFS(Datos!$E$2:$E$5000,Datos!$A$2:$A$5000,F$1,Datos!$B$2:$B$5000,$A78,Datos!$C$2:$C$5000,$B78,Datos!$D$2:$D$5000,F$2))</f>
        <v/>
      </c>
      <c r="G78" s="9">
        <f>IF(COUNTIFS(Datos!$A$2:$A$5000,G$1,Datos!$B$2:$B$5000,$A78,Datos!$C$2:$C$5000,$B78,Datos!$D$2:$D$5000,G$2)=0,"",SUMIFS(Datos!$E$2:$E$5000,Datos!$A$2:$A$5000,G$1,Datos!$B$2:$B$5000,$A78,Datos!$C$2:$C$5000,$B78,Datos!$D$2:$D$5000,G$2))</f>
        <v/>
      </c>
      <c r="H78" s="9">
        <f>IF(COUNTIFS(Datos!$A$2:$A$5000,H$1,Datos!$B$2:$B$5000,$A78,Datos!$C$2:$C$5000,$B78,Datos!$D$2:$D$5000,H$2)=0,"",SUMIFS(Datos!$E$2:$E$5000,Datos!$A$2:$A$5000,H$1,Datos!$B$2:$B$5000,$A78,Datos!$C$2:$C$5000,$B78,Datos!$D$2:$D$5000,H$2))</f>
        <v/>
      </c>
      <c r="I78" s="9">
        <f>IF(COUNTIFS(Datos!$A$2:$A$5000,I$1,Datos!$B$2:$B$5000,$A78,Datos!$C$2:$C$5000,$B78,Datos!$D$2:$D$5000,I$2)=0,"",SUMIFS(Datos!$E$2:$E$5000,Datos!$A$2:$A$5000,I$1,Datos!$B$2:$B$5000,$A78,Datos!$C$2:$C$5000,$B78,Datos!$D$2:$D$5000,I$2))</f>
        <v/>
      </c>
      <c r="J78" s="9">
        <f>IF(COUNTIFS(Datos!$A$2:$A$5000,J$1,Datos!$B$2:$B$5000,$A78,Datos!$C$2:$C$5000,$B78,Datos!$D$2:$D$5000,J$2)=0,"",SUMIFS(Datos!$E$2:$E$5000,Datos!$A$2:$A$5000,J$1,Datos!$B$2:$B$5000,$A78,Datos!$C$2:$C$5000,$B78,Datos!$D$2:$D$5000,J$2))</f>
        <v/>
      </c>
    </row>
    <row r="79">
      <c r="A79" s="8" t="inlineStr">
        <is>
          <t>Chile</t>
        </is>
      </c>
      <c r="B79" s="8" t="n">
        <v>2008</v>
      </c>
      <c r="C79" s="9">
        <f>IF(COUNTIFS(Datos!$A$2:$A$5000,C$1,Datos!$B$2:$B$5000,$A79,Datos!$C$2:$C$5000,$B79,Datos!$D$2:$D$5000,C$2)=0,"",SUMIFS(Datos!$E$2:$E$5000,Datos!$A$2:$A$5000,C$1,Datos!$B$2:$B$5000,$A79,Datos!$C$2:$C$5000,$B79,Datos!$D$2:$D$5000,C$2))</f>
        <v/>
      </c>
      <c r="D79" s="9">
        <f>IF(COUNTIFS(Datos!$A$2:$A$5000,D$1,Datos!$B$2:$B$5000,$A79,Datos!$C$2:$C$5000,$B79,Datos!$D$2:$D$5000,D$2)=0,"",SUMIFS(Datos!$E$2:$E$5000,Datos!$A$2:$A$5000,D$1,Datos!$B$2:$B$5000,$A79,Datos!$C$2:$C$5000,$B79,Datos!$D$2:$D$5000,D$2))</f>
        <v/>
      </c>
      <c r="E79" s="9">
        <f>IF(COUNTIFS(Datos!$A$2:$A$5000,E$1,Datos!$B$2:$B$5000,$A79,Datos!$C$2:$C$5000,$B79,Datos!$D$2:$D$5000,E$2)=0,"",SUMIFS(Datos!$E$2:$E$5000,Datos!$A$2:$A$5000,E$1,Datos!$B$2:$B$5000,$A79,Datos!$C$2:$C$5000,$B79,Datos!$D$2:$D$5000,E$2))</f>
        <v/>
      </c>
      <c r="F79" s="9">
        <f>IF(COUNTIFS(Datos!$A$2:$A$5000,F$1,Datos!$B$2:$B$5000,$A79,Datos!$C$2:$C$5000,$B79,Datos!$D$2:$D$5000,F$2)=0,"",SUMIFS(Datos!$E$2:$E$5000,Datos!$A$2:$A$5000,F$1,Datos!$B$2:$B$5000,$A79,Datos!$C$2:$C$5000,$B79,Datos!$D$2:$D$5000,F$2))</f>
        <v/>
      </c>
      <c r="G79" s="9">
        <f>IF(COUNTIFS(Datos!$A$2:$A$5000,G$1,Datos!$B$2:$B$5000,$A79,Datos!$C$2:$C$5000,$B79,Datos!$D$2:$D$5000,G$2)=0,"",SUMIFS(Datos!$E$2:$E$5000,Datos!$A$2:$A$5000,G$1,Datos!$B$2:$B$5000,$A79,Datos!$C$2:$C$5000,$B79,Datos!$D$2:$D$5000,G$2))</f>
        <v/>
      </c>
      <c r="H79" s="9">
        <f>IF(COUNTIFS(Datos!$A$2:$A$5000,H$1,Datos!$B$2:$B$5000,$A79,Datos!$C$2:$C$5000,$B79,Datos!$D$2:$D$5000,H$2)=0,"",SUMIFS(Datos!$E$2:$E$5000,Datos!$A$2:$A$5000,H$1,Datos!$B$2:$B$5000,$A79,Datos!$C$2:$C$5000,$B79,Datos!$D$2:$D$5000,H$2))</f>
        <v/>
      </c>
      <c r="I79" s="9">
        <f>IF(COUNTIFS(Datos!$A$2:$A$5000,I$1,Datos!$B$2:$B$5000,$A79,Datos!$C$2:$C$5000,$B79,Datos!$D$2:$D$5000,I$2)=0,"",SUMIFS(Datos!$E$2:$E$5000,Datos!$A$2:$A$5000,I$1,Datos!$B$2:$B$5000,$A79,Datos!$C$2:$C$5000,$B79,Datos!$D$2:$D$5000,I$2))</f>
        <v/>
      </c>
      <c r="J79" s="9">
        <f>IF(COUNTIFS(Datos!$A$2:$A$5000,J$1,Datos!$B$2:$B$5000,$A79,Datos!$C$2:$C$5000,$B79,Datos!$D$2:$D$5000,J$2)=0,"",SUMIFS(Datos!$E$2:$E$5000,Datos!$A$2:$A$5000,J$1,Datos!$B$2:$B$5000,$A79,Datos!$C$2:$C$5000,$B79,Datos!$D$2:$D$5000,J$2))</f>
        <v/>
      </c>
    </row>
    <row r="80">
      <c r="A80" s="8" t="inlineStr">
        <is>
          <t>Chile</t>
        </is>
      </c>
      <c r="B80" s="8" t="n">
        <v>2009</v>
      </c>
      <c r="C80" s="9">
        <f>IF(COUNTIFS(Datos!$A$2:$A$5000,C$1,Datos!$B$2:$B$5000,$A80,Datos!$C$2:$C$5000,$B80,Datos!$D$2:$D$5000,C$2)=0,"",SUMIFS(Datos!$E$2:$E$5000,Datos!$A$2:$A$5000,C$1,Datos!$B$2:$B$5000,$A80,Datos!$C$2:$C$5000,$B80,Datos!$D$2:$D$5000,C$2))</f>
        <v/>
      </c>
      <c r="D80" s="9">
        <f>IF(COUNTIFS(Datos!$A$2:$A$5000,D$1,Datos!$B$2:$B$5000,$A80,Datos!$C$2:$C$5000,$B80,Datos!$D$2:$D$5000,D$2)=0,"",SUMIFS(Datos!$E$2:$E$5000,Datos!$A$2:$A$5000,D$1,Datos!$B$2:$B$5000,$A80,Datos!$C$2:$C$5000,$B80,Datos!$D$2:$D$5000,D$2))</f>
        <v/>
      </c>
      <c r="E80" s="9">
        <f>IF(COUNTIFS(Datos!$A$2:$A$5000,E$1,Datos!$B$2:$B$5000,$A80,Datos!$C$2:$C$5000,$B80,Datos!$D$2:$D$5000,E$2)=0,"",SUMIFS(Datos!$E$2:$E$5000,Datos!$A$2:$A$5000,E$1,Datos!$B$2:$B$5000,$A80,Datos!$C$2:$C$5000,$B80,Datos!$D$2:$D$5000,E$2))</f>
        <v/>
      </c>
      <c r="F80" s="9">
        <f>IF(COUNTIFS(Datos!$A$2:$A$5000,F$1,Datos!$B$2:$B$5000,$A80,Datos!$C$2:$C$5000,$B80,Datos!$D$2:$D$5000,F$2)=0,"",SUMIFS(Datos!$E$2:$E$5000,Datos!$A$2:$A$5000,F$1,Datos!$B$2:$B$5000,$A80,Datos!$C$2:$C$5000,$B80,Datos!$D$2:$D$5000,F$2))</f>
        <v/>
      </c>
      <c r="G80" s="9">
        <f>IF(COUNTIFS(Datos!$A$2:$A$5000,G$1,Datos!$B$2:$B$5000,$A80,Datos!$C$2:$C$5000,$B80,Datos!$D$2:$D$5000,G$2)=0,"",SUMIFS(Datos!$E$2:$E$5000,Datos!$A$2:$A$5000,G$1,Datos!$B$2:$B$5000,$A80,Datos!$C$2:$C$5000,$B80,Datos!$D$2:$D$5000,G$2))</f>
        <v/>
      </c>
      <c r="H80" s="9">
        <f>IF(COUNTIFS(Datos!$A$2:$A$5000,H$1,Datos!$B$2:$B$5000,$A80,Datos!$C$2:$C$5000,$B80,Datos!$D$2:$D$5000,H$2)=0,"",SUMIFS(Datos!$E$2:$E$5000,Datos!$A$2:$A$5000,H$1,Datos!$B$2:$B$5000,$A80,Datos!$C$2:$C$5000,$B80,Datos!$D$2:$D$5000,H$2))</f>
        <v/>
      </c>
      <c r="I80" s="9">
        <f>IF(COUNTIFS(Datos!$A$2:$A$5000,I$1,Datos!$B$2:$B$5000,$A80,Datos!$C$2:$C$5000,$B80,Datos!$D$2:$D$5000,I$2)=0,"",SUMIFS(Datos!$E$2:$E$5000,Datos!$A$2:$A$5000,I$1,Datos!$B$2:$B$5000,$A80,Datos!$C$2:$C$5000,$B80,Datos!$D$2:$D$5000,I$2))</f>
        <v/>
      </c>
      <c r="J80" s="9">
        <f>IF(COUNTIFS(Datos!$A$2:$A$5000,J$1,Datos!$B$2:$B$5000,$A80,Datos!$C$2:$C$5000,$B80,Datos!$D$2:$D$5000,J$2)=0,"",SUMIFS(Datos!$E$2:$E$5000,Datos!$A$2:$A$5000,J$1,Datos!$B$2:$B$5000,$A80,Datos!$C$2:$C$5000,$B80,Datos!$D$2:$D$5000,J$2))</f>
        <v/>
      </c>
    </row>
    <row r="81">
      <c r="A81" s="8" t="inlineStr">
        <is>
          <t>Chile</t>
        </is>
      </c>
      <c r="B81" s="8" t="n">
        <v>2010</v>
      </c>
      <c r="C81" s="9">
        <f>IF(COUNTIFS(Datos!$A$2:$A$5000,C$1,Datos!$B$2:$B$5000,$A81,Datos!$C$2:$C$5000,$B81,Datos!$D$2:$D$5000,C$2)=0,"",SUMIFS(Datos!$E$2:$E$5000,Datos!$A$2:$A$5000,C$1,Datos!$B$2:$B$5000,$A81,Datos!$C$2:$C$5000,$B81,Datos!$D$2:$D$5000,C$2))</f>
        <v/>
      </c>
      <c r="D81" s="9">
        <f>IF(COUNTIFS(Datos!$A$2:$A$5000,D$1,Datos!$B$2:$B$5000,$A81,Datos!$C$2:$C$5000,$B81,Datos!$D$2:$D$5000,D$2)=0,"",SUMIFS(Datos!$E$2:$E$5000,Datos!$A$2:$A$5000,D$1,Datos!$B$2:$B$5000,$A81,Datos!$C$2:$C$5000,$B81,Datos!$D$2:$D$5000,D$2))</f>
        <v/>
      </c>
      <c r="E81" s="9">
        <f>IF(COUNTIFS(Datos!$A$2:$A$5000,E$1,Datos!$B$2:$B$5000,$A81,Datos!$C$2:$C$5000,$B81,Datos!$D$2:$D$5000,E$2)=0,"",SUMIFS(Datos!$E$2:$E$5000,Datos!$A$2:$A$5000,E$1,Datos!$B$2:$B$5000,$A81,Datos!$C$2:$C$5000,$B81,Datos!$D$2:$D$5000,E$2))</f>
        <v/>
      </c>
      <c r="F81" s="9">
        <f>IF(COUNTIFS(Datos!$A$2:$A$5000,F$1,Datos!$B$2:$B$5000,$A81,Datos!$C$2:$C$5000,$B81,Datos!$D$2:$D$5000,F$2)=0,"",SUMIFS(Datos!$E$2:$E$5000,Datos!$A$2:$A$5000,F$1,Datos!$B$2:$B$5000,$A81,Datos!$C$2:$C$5000,$B81,Datos!$D$2:$D$5000,F$2))</f>
        <v/>
      </c>
      <c r="G81" s="9">
        <f>IF(COUNTIFS(Datos!$A$2:$A$5000,G$1,Datos!$B$2:$B$5000,$A81,Datos!$C$2:$C$5000,$B81,Datos!$D$2:$D$5000,G$2)=0,"",SUMIFS(Datos!$E$2:$E$5000,Datos!$A$2:$A$5000,G$1,Datos!$B$2:$B$5000,$A81,Datos!$C$2:$C$5000,$B81,Datos!$D$2:$D$5000,G$2))</f>
        <v/>
      </c>
      <c r="H81" s="9">
        <f>IF(COUNTIFS(Datos!$A$2:$A$5000,H$1,Datos!$B$2:$B$5000,$A81,Datos!$C$2:$C$5000,$B81,Datos!$D$2:$D$5000,H$2)=0,"",SUMIFS(Datos!$E$2:$E$5000,Datos!$A$2:$A$5000,H$1,Datos!$B$2:$B$5000,$A81,Datos!$C$2:$C$5000,$B81,Datos!$D$2:$D$5000,H$2))</f>
        <v/>
      </c>
      <c r="I81" s="9">
        <f>IF(COUNTIFS(Datos!$A$2:$A$5000,I$1,Datos!$B$2:$B$5000,$A81,Datos!$C$2:$C$5000,$B81,Datos!$D$2:$D$5000,I$2)=0,"",SUMIFS(Datos!$E$2:$E$5000,Datos!$A$2:$A$5000,I$1,Datos!$B$2:$B$5000,$A81,Datos!$C$2:$C$5000,$B81,Datos!$D$2:$D$5000,I$2))</f>
        <v/>
      </c>
      <c r="J81" s="9">
        <f>IF(COUNTIFS(Datos!$A$2:$A$5000,J$1,Datos!$B$2:$B$5000,$A81,Datos!$C$2:$C$5000,$B81,Datos!$D$2:$D$5000,J$2)=0,"",SUMIFS(Datos!$E$2:$E$5000,Datos!$A$2:$A$5000,J$1,Datos!$B$2:$B$5000,$A81,Datos!$C$2:$C$5000,$B81,Datos!$D$2:$D$5000,J$2))</f>
        <v/>
      </c>
    </row>
    <row r="82">
      <c r="A82" s="8" t="inlineStr">
        <is>
          <t>Chile</t>
        </is>
      </c>
      <c r="B82" s="8" t="n">
        <v>2011</v>
      </c>
      <c r="C82" s="9">
        <f>IF(COUNTIFS(Datos!$A$2:$A$5000,C$1,Datos!$B$2:$B$5000,$A82,Datos!$C$2:$C$5000,$B82,Datos!$D$2:$D$5000,C$2)=0,"",SUMIFS(Datos!$E$2:$E$5000,Datos!$A$2:$A$5000,C$1,Datos!$B$2:$B$5000,$A82,Datos!$C$2:$C$5000,$B82,Datos!$D$2:$D$5000,C$2))</f>
        <v/>
      </c>
      <c r="D82" s="9">
        <f>IF(COUNTIFS(Datos!$A$2:$A$5000,D$1,Datos!$B$2:$B$5000,$A82,Datos!$C$2:$C$5000,$B82,Datos!$D$2:$D$5000,D$2)=0,"",SUMIFS(Datos!$E$2:$E$5000,Datos!$A$2:$A$5000,D$1,Datos!$B$2:$B$5000,$A82,Datos!$C$2:$C$5000,$B82,Datos!$D$2:$D$5000,D$2))</f>
        <v/>
      </c>
      <c r="E82" s="9">
        <f>IF(COUNTIFS(Datos!$A$2:$A$5000,E$1,Datos!$B$2:$B$5000,$A82,Datos!$C$2:$C$5000,$B82,Datos!$D$2:$D$5000,E$2)=0,"",SUMIFS(Datos!$E$2:$E$5000,Datos!$A$2:$A$5000,E$1,Datos!$B$2:$B$5000,$A82,Datos!$C$2:$C$5000,$B82,Datos!$D$2:$D$5000,E$2))</f>
        <v/>
      </c>
      <c r="F82" s="9">
        <f>IF(COUNTIFS(Datos!$A$2:$A$5000,F$1,Datos!$B$2:$B$5000,$A82,Datos!$C$2:$C$5000,$B82,Datos!$D$2:$D$5000,F$2)=0,"",SUMIFS(Datos!$E$2:$E$5000,Datos!$A$2:$A$5000,F$1,Datos!$B$2:$B$5000,$A82,Datos!$C$2:$C$5000,$B82,Datos!$D$2:$D$5000,F$2))</f>
        <v/>
      </c>
      <c r="G82" s="9">
        <f>IF(COUNTIFS(Datos!$A$2:$A$5000,G$1,Datos!$B$2:$B$5000,$A82,Datos!$C$2:$C$5000,$B82,Datos!$D$2:$D$5000,G$2)=0,"",SUMIFS(Datos!$E$2:$E$5000,Datos!$A$2:$A$5000,G$1,Datos!$B$2:$B$5000,$A82,Datos!$C$2:$C$5000,$B82,Datos!$D$2:$D$5000,G$2))</f>
        <v/>
      </c>
      <c r="H82" s="9">
        <f>IF(COUNTIFS(Datos!$A$2:$A$5000,H$1,Datos!$B$2:$B$5000,$A82,Datos!$C$2:$C$5000,$B82,Datos!$D$2:$D$5000,H$2)=0,"",SUMIFS(Datos!$E$2:$E$5000,Datos!$A$2:$A$5000,H$1,Datos!$B$2:$B$5000,$A82,Datos!$C$2:$C$5000,$B82,Datos!$D$2:$D$5000,H$2))</f>
        <v/>
      </c>
      <c r="I82" s="9">
        <f>IF(COUNTIFS(Datos!$A$2:$A$5000,I$1,Datos!$B$2:$B$5000,$A82,Datos!$C$2:$C$5000,$B82,Datos!$D$2:$D$5000,I$2)=0,"",SUMIFS(Datos!$E$2:$E$5000,Datos!$A$2:$A$5000,I$1,Datos!$B$2:$B$5000,$A82,Datos!$C$2:$C$5000,$B82,Datos!$D$2:$D$5000,I$2))</f>
        <v/>
      </c>
      <c r="J82" s="9">
        <f>IF(COUNTIFS(Datos!$A$2:$A$5000,J$1,Datos!$B$2:$B$5000,$A82,Datos!$C$2:$C$5000,$B82,Datos!$D$2:$D$5000,J$2)=0,"",SUMIFS(Datos!$E$2:$E$5000,Datos!$A$2:$A$5000,J$1,Datos!$B$2:$B$5000,$A82,Datos!$C$2:$C$5000,$B82,Datos!$D$2:$D$5000,J$2))</f>
        <v/>
      </c>
    </row>
    <row r="83">
      <c r="A83" s="8" t="inlineStr">
        <is>
          <t>Chile</t>
        </is>
      </c>
      <c r="B83" s="8" t="n">
        <v>2016</v>
      </c>
      <c r="C83" s="9">
        <f>IF(COUNTIFS(Datos!$A$2:$A$5000,C$1,Datos!$B$2:$B$5000,$A83,Datos!$C$2:$C$5000,$B83,Datos!$D$2:$D$5000,C$2)=0,"",SUMIFS(Datos!$E$2:$E$5000,Datos!$A$2:$A$5000,C$1,Datos!$B$2:$B$5000,$A83,Datos!$C$2:$C$5000,$B83,Datos!$D$2:$D$5000,C$2))</f>
        <v/>
      </c>
      <c r="D83" s="9">
        <f>IF(COUNTIFS(Datos!$A$2:$A$5000,D$1,Datos!$B$2:$B$5000,$A83,Datos!$C$2:$C$5000,$B83,Datos!$D$2:$D$5000,D$2)=0,"",SUMIFS(Datos!$E$2:$E$5000,Datos!$A$2:$A$5000,D$1,Datos!$B$2:$B$5000,$A83,Datos!$C$2:$C$5000,$B83,Datos!$D$2:$D$5000,D$2))</f>
        <v/>
      </c>
      <c r="E83" s="9">
        <f>IF(COUNTIFS(Datos!$A$2:$A$5000,E$1,Datos!$B$2:$B$5000,$A83,Datos!$C$2:$C$5000,$B83,Datos!$D$2:$D$5000,E$2)=0,"",SUMIFS(Datos!$E$2:$E$5000,Datos!$A$2:$A$5000,E$1,Datos!$B$2:$B$5000,$A83,Datos!$C$2:$C$5000,$B83,Datos!$D$2:$D$5000,E$2))</f>
        <v/>
      </c>
      <c r="F83" s="9">
        <f>IF(COUNTIFS(Datos!$A$2:$A$5000,F$1,Datos!$B$2:$B$5000,$A83,Datos!$C$2:$C$5000,$B83,Datos!$D$2:$D$5000,F$2)=0,"",SUMIFS(Datos!$E$2:$E$5000,Datos!$A$2:$A$5000,F$1,Datos!$B$2:$B$5000,$A83,Datos!$C$2:$C$5000,$B83,Datos!$D$2:$D$5000,F$2))</f>
        <v/>
      </c>
      <c r="G83" s="9">
        <f>IF(COUNTIFS(Datos!$A$2:$A$5000,G$1,Datos!$B$2:$B$5000,$A83,Datos!$C$2:$C$5000,$B83,Datos!$D$2:$D$5000,G$2)=0,"",SUMIFS(Datos!$E$2:$E$5000,Datos!$A$2:$A$5000,G$1,Datos!$B$2:$B$5000,$A83,Datos!$C$2:$C$5000,$B83,Datos!$D$2:$D$5000,G$2))</f>
        <v/>
      </c>
      <c r="H83" s="9">
        <f>IF(COUNTIFS(Datos!$A$2:$A$5000,H$1,Datos!$B$2:$B$5000,$A83,Datos!$C$2:$C$5000,$B83,Datos!$D$2:$D$5000,H$2)=0,"",SUMIFS(Datos!$E$2:$E$5000,Datos!$A$2:$A$5000,H$1,Datos!$B$2:$B$5000,$A83,Datos!$C$2:$C$5000,$B83,Datos!$D$2:$D$5000,H$2))</f>
        <v/>
      </c>
      <c r="I83" s="9">
        <f>IF(COUNTIFS(Datos!$A$2:$A$5000,I$1,Datos!$B$2:$B$5000,$A83,Datos!$C$2:$C$5000,$B83,Datos!$D$2:$D$5000,I$2)=0,"",SUMIFS(Datos!$E$2:$E$5000,Datos!$A$2:$A$5000,I$1,Datos!$B$2:$B$5000,$A83,Datos!$C$2:$C$5000,$B83,Datos!$D$2:$D$5000,I$2))</f>
        <v/>
      </c>
      <c r="J83" s="9">
        <f>IF(COUNTIFS(Datos!$A$2:$A$5000,J$1,Datos!$B$2:$B$5000,$A83,Datos!$C$2:$C$5000,$B83,Datos!$D$2:$D$5000,J$2)=0,"",SUMIFS(Datos!$E$2:$E$5000,Datos!$A$2:$A$5000,J$1,Datos!$B$2:$B$5000,$A83,Datos!$C$2:$C$5000,$B83,Datos!$D$2:$D$5000,J$2))</f>
        <v/>
      </c>
    </row>
    <row r="84">
      <c r="A84" s="8" t="inlineStr">
        <is>
          <t>Chile</t>
        </is>
      </c>
      <c r="B84" s="8" t="n">
        <v>2017</v>
      </c>
      <c r="C84" s="9">
        <f>IF(COUNTIFS(Datos!$A$2:$A$5000,C$1,Datos!$B$2:$B$5000,$A84,Datos!$C$2:$C$5000,$B84,Datos!$D$2:$D$5000,C$2)=0,"",SUMIFS(Datos!$E$2:$E$5000,Datos!$A$2:$A$5000,C$1,Datos!$B$2:$B$5000,$A84,Datos!$C$2:$C$5000,$B84,Datos!$D$2:$D$5000,C$2))</f>
        <v/>
      </c>
      <c r="D84" s="9">
        <f>IF(COUNTIFS(Datos!$A$2:$A$5000,D$1,Datos!$B$2:$B$5000,$A84,Datos!$C$2:$C$5000,$B84,Datos!$D$2:$D$5000,D$2)=0,"",SUMIFS(Datos!$E$2:$E$5000,Datos!$A$2:$A$5000,D$1,Datos!$B$2:$B$5000,$A84,Datos!$C$2:$C$5000,$B84,Datos!$D$2:$D$5000,D$2))</f>
        <v/>
      </c>
      <c r="E84" s="9">
        <f>IF(COUNTIFS(Datos!$A$2:$A$5000,E$1,Datos!$B$2:$B$5000,$A84,Datos!$C$2:$C$5000,$B84,Datos!$D$2:$D$5000,E$2)=0,"",SUMIFS(Datos!$E$2:$E$5000,Datos!$A$2:$A$5000,E$1,Datos!$B$2:$B$5000,$A84,Datos!$C$2:$C$5000,$B84,Datos!$D$2:$D$5000,E$2))</f>
        <v/>
      </c>
      <c r="F84" s="9">
        <f>IF(COUNTIFS(Datos!$A$2:$A$5000,F$1,Datos!$B$2:$B$5000,$A84,Datos!$C$2:$C$5000,$B84,Datos!$D$2:$D$5000,F$2)=0,"",SUMIFS(Datos!$E$2:$E$5000,Datos!$A$2:$A$5000,F$1,Datos!$B$2:$B$5000,$A84,Datos!$C$2:$C$5000,$B84,Datos!$D$2:$D$5000,F$2))</f>
        <v/>
      </c>
      <c r="G84" s="9">
        <f>IF(COUNTIFS(Datos!$A$2:$A$5000,G$1,Datos!$B$2:$B$5000,$A84,Datos!$C$2:$C$5000,$B84,Datos!$D$2:$D$5000,G$2)=0,"",SUMIFS(Datos!$E$2:$E$5000,Datos!$A$2:$A$5000,G$1,Datos!$B$2:$B$5000,$A84,Datos!$C$2:$C$5000,$B84,Datos!$D$2:$D$5000,G$2))</f>
        <v/>
      </c>
      <c r="H84" s="9">
        <f>IF(COUNTIFS(Datos!$A$2:$A$5000,H$1,Datos!$B$2:$B$5000,$A84,Datos!$C$2:$C$5000,$B84,Datos!$D$2:$D$5000,H$2)=0,"",SUMIFS(Datos!$E$2:$E$5000,Datos!$A$2:$A$5000,H$1,Datos!$B$2:$B$5000,$A84,Datos!$C$2:$C$5000,$B84,Datos!$D$2:$D$5000,H$2))</f>
        <v/>
      </c>
      <c r="I84" s="9">
        <f>IF(COUNTIFS(Datos!$A$2:$A$5000,I$1,Datos!$B$2:$B$5000,$A84,Datos!$C$2:$C$5000,$B84,Datos!$D$2:$D$5000,I$2)=0,"",SUMIFS(Datos!$E$2:$E$5000,Datos!$A$2:$A$5000,I$1,Datos!$B$2:$B$5000,$A84,Datos!$C$2:$C$5000,$B84,Datos!$D$2:$D$5000,I$2))</f>
        <v/>
      </c>
      <c r="J84" s="9">
        <f>IF(COUNTIFS(Datos!$A$2:$A$5000,J$1,Datos!$B$2:$B$5000,$A84,Datos!$C$2:$C$5000,$B84,Datos!$D$2:$D$5000,J$2)=0,"",SUMIFS(Datos!$E$2:$E$5000,Datos!$A$2:$A$5000,J$1,Datos!$B$2:$B$5000,$A84,Datos!$C$2:$C$5000,$B84,Datos!$D$2:$D$5000,J$2))</f>
        <v/>
      </c>
    </row>
    <row r="85">
      <c r="A85" s="8" t="inlineStr">
        <is>
          <t>Chile</t>
        </is>
      </c>
      <c r="B85" s="8" t="n">
        <v>2018</v>
      </c>
      <c r="C85" s="9">
        <f>IF(COUNTIFS(Datos!$A$2:$A$5000,C$1,Datos!$B$2:$B$5000,$A85,Datos!$C$2:$C$5000,$B85,Datos!$D$2:$D$5000,C$2)=0,"",SUMIFS(Datos!$E$2:$E$5000,Datos!$A$2:$A$5000,C$1,Datos!$B$2:$B$5000,$A85,Datos!$C$2:$C$5000,$B85,Datos!$D$2:$D$5000,C$2))</f>
        <v/>
      </c>
      <c r="D85" s="9">
        <f>IF(COUNTIFS(Datos!$A$2:$A$5000,D$1,Datos!$B$2:$B$5000,$A85,Datos!$C$2:$C$5000,$B85,Datos!$D$2:$D$5000,D$2)=0,"",SUMIFS(Datos!$E$2:$E$5000,Datos!$A$2:$A$5000,D$1,Datos!$B$2:$B$5000,$A85,Datos!$C$2:$C$5000,$B85,Datos!$D$2:$D$5000,D$2))</f>
        <v/>
      </c>
      <c r="E85" s="9">
        <f>IF(COUNTIFS(Datos!$A$2:$A$5000,E$1,Datos!$B$2:$B$5000,$A85,Datos!$C$2:$C$5000,$B85,Datos!$D$2:$D$5000,E$2)=0,"",SUMIFS(Datos!$E$2:$E$5000,Datos!$A$2:$A$5000,E$1,Datos!$B$2:$B$5000,$A85,Datos!$C$2:$C$5000,$B85,Datos!$D$2:$D$5000,E$2))</f>
        <v/>
      </c>
      <c r="F85" s="9">
        <f>IF(COUNTIFS(Datos!$A$2:$A$5000,F$1,Datos!$B$2:$B$5000,$A85,Datos!$C$2:$C$5000,$B85,Datos!$D$2:$D$5000,F$2)=0,"",SUMIFS(Datos!$E$2:$E$5000,Datos!$A$2:$A$5000,F$1,Datos!$B$2:$B$5000,$A85,Datos!$C$2:$C$5000,$B85,Datos!$D$2:$D$5000,F$2))</f>
        <v/>
      </c>
      <c r="G85" s="9">
        <f>IF(COUNTIFS(Datos!$A$2:$A$5000,G$1,Datos!$B$2:$B$5000,$A85,Datos!$C$2:$C$5000,$B85,Datos!$D$2:$D$5000,G$2)=0,"",SUMIFS(Datos!$E$2:$E$5000,Datos!$A$2:$A$5000,G$1,Datos!$B$2:$B$5000,$A85,Datos!$C$2:$C$5000,$B85,Datos!$D$2:$D$5000,G$2))</f>
        <v/>
      </c>
      <c r="H85" s="9">
        <f>IF(COUNTIFS(Datos!$A$2:$A$5000,H$1,Datos!$B$2:$B$5000,$A85,Datos!$C$2:$C$5000,$B85,Datos!$D$2:$D$5000,H$2)=0,"",SUMIFS(Datos!$E$2:$E$5000,Datos!$A$2:$A$5000,H$1,Datos!$B$2:$B$5000,$A85,Datos!$C$2:$C$5000,$B85,Datos!$D$2:$D$5000,H$2))</f>
        <v/>
      </c>
      <c r="I85" s="9">
        <f>IF(COUNTIFS(Datos!$A$2:$A$5000,I$1,Datos!$B$2:$B$5000,$A85,Datos!$C$2:$C$5000,$B85,Datos!$D$2:$D$5000,I$2)=0,"",SUMIFS(Datos!$E$2:$E$5000,Datos!$A$2:$A$5000,I$1,Datos!$B$2:$B$5000,$A85,Datos!$C$2:$C$5000,$B85,Datos!$D$2:$D$5000,I$2))</f>
        <v/>
      </c>
      <c r="J85" s="9">
        <f>IF(COUNTIFS(Datos!$A$2:$A$5000,J$1,Datos!$B$2:$B$5000,$A85,Datos!$C$2:$C$5000,$B85,Datos!$D$2:$D$5000,J$2)=0,"",SUMIFS(Datos!$E$2:$E$5000,Datos!$A$2:$A$5000,J$1,Datos!$B$2:$B$5000,$A85,Datos!$C$2:$C$5000,$B85,Datos!$D$2:$D$5000,J$2))</f>
        <v/>
      </c>
    </row>
    <row r="86">
      <c r="A86" s="8" t="inlineStr">
        <is>
          <t>Chile</t>
        </is>
      </c>
      <c r="B86" s="8" t="n">
        <v>2020</v>
      </c>
      <c r="C86" s="9">
        <f>IF(COUNTIFS(Datos!$A$2:$A$5000,C$1,Datos!$B$2:$B$5000,$A86,Datos!$C$2:$C$5000,$B86,Datos!$D$2:$D$5000,C$2)=0,"",SUMIFS(Datos!$E$2:$E$5000,Datos!$A$2:$A$5000,C$1,Datos!$B$2:$B$5000,$A86,Datos!$C$2:$C$5000,$B86,Datos!$D$2:$D$5000,C$2))</f>
        <v/>
      </c>
      <c r="D86" s="9">
        <f>IF(COUNTIFS(Datos!$A$2:$A$5000,D$1,Datos!$B$2:$B$5000,$A86,Datos!$C$2:$C$5000,$B86,Datos!$D$2:$D$5000,D$2)=0,"",SUMIFS(Datos!$E$2:$E$5000,Datos!$A$2:$A$5000,D$1,Datos!$B$2:$B$5000,$A86,Datos!$C$2:$C$5000,$B86,Datos!$D$2:$D$5000,D$2))</f>
        <v/>
      </c>
      <c r="E86" s="9">
        <f>IF(COUNTIFS(Datos!$A$2:$A$5000,E$1,Datos!$B$2:$B$5000,$A86,Datos!$C$2:$C$5000,$B86,Datos!$D$2:$D$5000,E$2)=0,"",SUMIFS(Datos!$E$2:$E$5000,Datos!$A$2:$A$5000,E$1,Datos!$B$2:$B$5000,$A86,Datos!$C$2:$C$5000,$B86,Datos!$D$2:$D$5000,E$2))</f>
        <v/>
      </c>
      <c r="F86" s="9">
        <f>IF(COUNTIFS(Datos!$A$2:$A$5000,F$1,Datos!$B$2:$B$5000,$A86,Datos!$C$2:$C$5000,$B86,Datos!$D$2:$D$5000,F$2)=0,"",SUMIFS(Datos!$E$2:$E$5000,Datos!$A$2:$A$5000,F$1,Datos!$B$2:$B$5000,$A86,Datos!$C$2:$C$5000,$B86,Datos!$D$2:$D$5000,F$2))</f>
        <v/>
      </c>
      <c r="G86" s="9">
        <f>IF(COUNTIFS(Datos!$A$2:$A$5000,G$1,Datos!$B$2:$B$5000,$A86,Datos!$C$2:$C$5000,$B86,Datos!$D$2:$D$5000,G$2)=0,"",SUMIFS(Datos!$E$2:$E$5000,Datos!$A$2:$A$5000,G$1,Datos!$B$2:$B$5000,$A86,Datos!$C$2:$C$5000,$B86,Datos!$D$2:$D$5000,G$2))</f>
        <v/>
      </c>
      <c r="H86" s="9">
        <f>IF(COUNTIFS(Datos!$A$2:$A$5000,H$1,Datos!$B$2:$B$5000,$A86,Datos!$C$2:$C$5000,$B86,Datos!$D$2:$D$5000,H$2)=0,"",SUMIFS(Datos!$E$2:$E$5000,Datos!$A$2:$A$5000,H$1,Datos!$B$2:$B$5000,$A86,Datos!$C$2:$C$5000,$B86,Datos!$D$2:$D$5000,H$2))</f>
        <v/>
      </c>
      <c r="I86" s="9">
        <f>IF(COUNTIFS(Datos!$A$2:$A$5000,I$1,Datos!$B$2:$B$5000,$A86,Datos!$C$2:$C$5000,$B86,Datos!$D$2:$D$5000,I$2)=0,"",SUMIFS(Datos!$E$2:$E$5000,Datos!$A$2:$A$5000,I$1,Datos!$B$2:$B$5000,$A86,Datos!$C$2:$C$5000,$B86,Datos!$D$2:$D$5000,I$2))</f>
        <v/>
      </c>
      <c r="J86" s="9">
        <f>IF(COUNTIFS(Datos!$A$2:$A$5000,J$1,Datos!$B$2:$B$5000,$A86,Datos!$C$2:$C$5000,$B86,Datos!$D$2:$D$5000,J$2)=0,"",SUMIFS(Datos!$E$2:$E$5000,Datos!$A$2:$A$5000,J$1,Datos!$B$2:$B$5000,$A86,Datos!$C$2:$C$5000,$B86,Datos!$D$2:$D$5000,J$2))</f>
        <v/>
      </c>
    </row>
    <row r="87">
      <c r="A87" s="8" t="inlineStr">
        <is>
          <t>Chile</t>
        </is>
      </c>
      <c r="B87" s="8" t="n">
        <v>2024</v>
      </c>
      <c r="C87" s="9">
        <f>IF(COUNTIFS(Datos!$A$2:$A$5000,C$1,Datos!$B$2:$B$5000,$A87,Datos!$C$2:$C$5000,$B87,Datos!$D$2:$D$5000,C$2)=0,"",SUMIFS(Datos!$E$2:$E$5000,Datos!$A$2:$A$5000,C$1,Datos!$B$2:$B$5000,$A87,Datos!$C$2:$C$5000,$B87,Datos!$D$2:$D$5000,C$2))</f>
        <v/>
      </c>
      <c r="D87" s="9">
        <f>IF(COUNTIFS(Datos!$A$2:$A$5000,D$1,Datos!$B$2:$B$5000,$A87,Datos!$C$2:$C$5000,$B87,Datos!$D$2:$D$5000,D$2)=0,"",SUMIFS(Datos!$E$2:$E$5000,Datos!$A$2:$A$5000,D$1,Datos!$B$2:$B$5000,$A87,Datos!$C$2:$C$5000,$B87,Datos!$D$2:$D$5000,D$2))</f>
        <v/>
      </c>
      <c r="E87" s="9">
        <f>IF(COUNTIFS(Datos!$A$2:$A$5000,E$1,Datos!$B$2:$B$5000,$A87,Datos!$C$2:$C$5000,$B87,Datos!$D$2:$D$5000,E$2)=0,"",SUMIFS(Datos!$E$2:$E$5000,Datos!$A$2:$A$5000,E$1,Datos!$B$2:$B$5000,$A87,Datos!$C$2:$C$5000,$B87,Datos!$D$2:$D$5000,E$2))</f>
        <v/>
      </c>
      <c r="F87" s="9">
        <f>IF(COUNTIFS(Datos!$A$2:$A$5000,F$1,Datos!$B$2:$B$5000,$A87,Datos!$C$2:$C$5000,$B87,Datos!$D$2:$D$5000,F$2)=0,"",SUMIFS(Datos!$E$2:$E$5000,Datos!$A$2:$A$5000,F$1,Datos!$B$2:$B$5000,$A87,Datos!$C$2:$C$5000,$B87,Datos!$D$2:$D$5000,F$2))</f>
        <v/>
      </c>
      <c r="G87" s="9">
        <f>IF(COUNTIFS(Datos!$A$2:$A$5000,G$1,Datos!$B$2:$B$5000,$A87,Datos!$C$2:$C$5000,$B87,Datos!$D$2:$D$5000,G$2)=0,"",SUMIFS(Datos!$E$2:$E$5000,Datos!$A$2:$A$5000,G$1,Datos!$B$2:$B$5000,$A87,Datos!$C$2:$C$5000,$B87,Datos!$D$2:$D$5000,G$2))</f>
        <v/>
      </c>
      <c r="H87" s="9">
        <f>IF(COUNTIFS(Datos!$A$2:$A$5000,H$1,Datos!$B$2:$B$5000,$A87,Datos!$C$2:$C$5000,$B87,Datos!$D$2:$D$5000,H$2)=0,"",SUMIFS(Datos!$E$2:$E$5000,Datos!$A$2:$A$5000,H$1,Datos!$B$2:$B$5000,$A87,Datos!$C$2:$C$5000,$B87,Datos!$D$2:$D$5000,H$2))</f>
        <v/>
      </c>
      <c r="I87" s="9">
        <f>IF(COUNTIFS(Datos!$A$2:$A$5000,I$1,Datos!$B$2:$B$5000,$A87,Datos!$C$2:$C$5000,$B87,Datos!$D$2:$D$5000,I$2)=0,"",SUMIFS(Datos!$E$2:$E$5000,Datos!$A$2:$A$5000,I$1,Datos!$B$2:$B$5000,$A87,Datos!$C$2:$C$5000,$B87,Datos!$D$2:$D$5000,I$2))</f>
        <v/>
      </c>
      <c r="J87" s="9">
        <f>IF(COUNTIFS(Datos!$A$2:$A$5000,J$1,Datos!$B$2:$B$5000,$A87,Datos!$C$2:$C$5000,$B87,Datos!$D$2:$D$5000,J$2)=0,"",SUMIFS(Datos!$E$2:$E$5000,Datos!$A$2:$A$5000,J$1,Datos!$B$2:$B$5000,$A87,Datos!$C$2:$C$5000,$B87,Datos!$D$2:$D$5000,J$2))</f>
        <v/>
      </c>
    </row>
    <row r="88">
      <c r="A88" s="8" t="inlineStr">
        <is>
          <t>Colombia</t>
        </is>
      </c>
      <c r="B88" s="8" t="n">
        <v>1996</v>
      </c>
      <c r="C88" s="9">
        <f>IF(COUNTIFS(Datos!$A$2:$A$5000,C$1,Datos!$B$2:$B$5000,$A88,Datos!$C$2:$C$5000,$B88,Datos!$D$2:$D$5000,C$2)=0,"",SUMIFS(Datos!$E$2:$E$5000,Datos!$A$2:$A$5000,C$1,Datos!$B$2:$B$5000,$A88,Datos!$C$2:$C$5000,$B88,Datos!$D$2:$D$5000,C$2))</f>
        <v/>
      </c>
      <c r="D88" s="9">
        <f>IF(COUNTIFS(Datos!$A$2:$A$5000,D$1,Datos!$B$2:$B$5000,$A88,Datos!$C$2:$C$5000,$B88,Datos!$D$2:$D$5000,D$2)=0,"",SUMIFS(Datos!$E$2:$E$5000,Datos!$A$2:$A$5000,D$1,Datos!$B$2:$B$5000,$A88,Datos!$C$2:$C$5000,$B88,Datos!$D$2:$D$5000,D$2))</f>
        <v/>
      </c>
      <c r="E88" s="9">
        <f>IF(COUNTIFS(Datos!$A$2:$A$5000,E$1,Datos!$B$2:$B$5000,$A88,Datos!$C$2:$C$5000,$B88,Datos!$D$2:$D$5000,E$2)=0,"",SUMIFS(Datos!$E$2:$E$5000,Datos!$A$2:$A$5000,E$1,Datos!$B$2:$B$5000,$A88,Datos!$C$2:$C$5000,$B88,Datos!$D$2:$D$5000,E$2))</f>
        <v/>
      </c>
      <c r="F88" s="9">
        <f>IF(COUNTIFS(Datos!$A$2:$A$5000,F$1,Datos!$B$2:$B$5000,$A88,Datos!$C$2:$C$5000,$B88,Datos!$D$2:$D$5000,F$2)=0,"",SUMIFS(Datos!$E$2:$E$5000,Datos!$A$2:$A$5000,F$1,Datos!$B$2:$B$5000,$A88,Datos!$C$2:$C$5000,$B88,Datos!$D$2:$D$5000,F$2))</f>
        <v/>
      </c>
      <c r="G88" s="9">
        <f>IF(COUNTIFS(Datos!$A$2:$A$5000,G$1,Datos!$B$2:$B$5000,$A88,Datos!$C$2:$C$5000,$B88,Datos!$D$2:$D$5000,G$2)=0,"",SUMIFS(Datos!$E$2:$E$5000,Datos!$A$2:$A$5000,G$1,Datos!$B$2:$B$5000,$A88,Datos!$C$2:$C$5000,$B88,Datos!$D$2:$D$5000,G$2))</f>
        <v/>
      </c>
      <c r="H88" s="9">
        <f>IF(COUNTIFS(Datos!$A$2:$A$5000,H$1,Datos!$B$2:$B$5000,$A88,Datos!$C$2:$C$5000,$B88,Datos!$D$2:$D$5000,H$2)=0,"",SUMIFS(Datos!$E$2:$E$5000,Datos!$A$2:$A$5000,H$1,Datos!$B$2:$B$5000,$A88,Datos!$C$2:$C$5000,$B88,Datos!$D$2:$D$5000,H$2))</f>
        <v/>
      </c>
      <c r="I88" s="9">
        <f>IF(COUNTIFS(Datos!$A$2:$A$5000,I$1,Datos!$B$2:$B$5000,$A88,Datos!$C$2:$C$5000,$B88,Datos!$D$2:$D$5000,I$2)=0,"",SUMIFS(Datos!$E$2:$E$5000,Datos!$A$2:$A$5000,I$1,Datos!$B$2:$B$5000,$A88,Datos!$C$2:$C$5000,$B88,Datos!$D$2:$D$5000,I$2))</f>
        <v/>
      </c>
      <c r="J88" s="9">
        <f>IF(COUNTIFS(Datos!$A$2:$A$5000,J$1,Datos!$B$2:$B$5000,$A88,Datos!$C$2:$C$5000,$B88,Datos!$D$2:$D$5000,J$2)=0,"",SUMIFS(Datos!$E$2:$E$5000,Datos!$A$2:$A$5000,J$1,Datos!$B$2:$B$5000,$A88,Datos!$C$2:$C$5000,$B88,Datos!$D$2:$D$5000,J$2))</f>
        <v/>
      </c>
    </row>
    <row r="89">
      <c r="A89" s="8" t="inlineStr">
        <is>
          <t>Colombia</t>
        </is>
      </c>
      <c r="B89" s="8" t="n">
        <v>1997</v>
      </c>
      <c r="C89" s="9">
        <f>IF(COUNTIFS(Datos!$A$2:$A$5000,C$1,Datos!$B$2:$B$5000,$A89,Datos!$C$2:$C$5000,$B89,Datos!$D$2:$D$5000,C$2)=0,"",SUMIFS(Datos!$E$2:$E$5000,Datos!$A$2:$A$5000,C$1,Datos!$B$2:$B$5000,$A89,Datos!$C$2:$C$5000,$B89,Datos!$D$2:$D$5000,C$2))</f>
        <v/>
      </c>
      <c r="D89" s="9">
        <f>IF(COUNTIFS(Datos!$A$2:$A$5000,D$1,Datos!$B$2:$B$5000,$A89,Datos!$C$2:$C$5000,$B89,Datos!$D$2:$D$5000,D$2)=0,"",SUMIFS(Datos!$E$2:$E$5000,Datos!$A$2:$A$5000,D$1,Datos!$B$2:$B$5000,$A89,Datos!$C$2:$C$5000,$B89,Datos!$D$2:$D$5000,D$2))</f>
        <v/>
      </c>
      <c r="E89" s="9">
        <f>IF(COUNTIFS(Datos!$A$2:$A$5000,E$1,Datos!$B$2:$B$5000,$A89,Datos!$C$2:$C$5000,$B89,Datos!$D$2:$D$5000,E$2)=0,"",SUMIFS(Datos!$E$2:$E$5000,Datos!$A$2:$A$5000,E$1,Datos!$B$2:$B$5000,$A89,Datos!$C$2:$C$5000,$B89,Datos!$D$2:$D$5000,E$2))</f>
        <v/>
      </c>
      <c r="F89" s="9">
        <f>IF(COUNTIFS(Datos!$A$2:$A$5000,F$1,Datos!$B$2:$B$5000,$A89,Datos!$C$2:$C$5000,$B89,Datos!$D$2:$D$5000,F$2)=0,"",SUMIFS(Datos!$E$2:$E$5000,Datos!$A$2:$A$5000,F$1,Datos!$B$2:$B$5000,$A89,Datos!$C$2:$C$5000,$B89,Datos!$D$2:$D$5000,F$2))</f>
        <v/>
      </c>
      <c r="G89" s="9">
        <f>IF(COUNTIFS(Datos!$A$2:$A$5000,G$1,Datos!$B$2:$B$5000,$A89,Datos!$C$2:$C$5000,$B89,Datos!$D$2:$D$5000,G$2)=0,"",SUMIFS(Datos!$E$2:$E$5000,Datos!$A$2:$A$5000,G$1,Datos!$B$2:$B$5000,$A89,Datos!$C$2:$C$5000,$B89,Datos!$D$2:$D$5000,G$2))</f>
        <v/>
      </c>
      <c r="H89" s="9">
        <f>IF(COUNTIFS(Datos!$A$2:$A$5000,H$1,Datos!$B$2:$B$5000,$A89,Datos!$C$2:$C$5000,$B89,Datos!$D$2:$D$5000,H$2)=0,"",SUMIFS(Datos!$E$2:$E$5000,Datos!$A$2:$A$5000,H$1,Datos!$B$2:$B$5000,$A89,Datos!$C$2:$C$5000,$B89,Datos!$D$2:$D$5000,H$2))</f>
        <v/>
      </c>
      <c r="I89" s="9">
        <f>IF(COUNTIFS(Datos!$A$2:$A$5000,I$1,Datos!$B$2:$B$5000,$A89,Datos!$C$2:$C$5000,$B89,Datos!$D$2:$D$5000,I$2)=0,"",SUMIFS(Datos!$E$2:$E$5000,Datos!$A$2:$A$5000,I$1,Datos!$B$2:$B$5000,$A89,Datos!$C$2:$C$5000,$B89,Datos!$D$2:$D$5000,I$2))</f>
        <v/>
      </c>
      <c r="J89" s="9">
        <f>IF(COUNTIFS(Datos!$A$2:$A$5000,J$1,Datos!$B$2:$B$5000,$A89,Datos!$C$2:$C$5000,$B89,Datos!$D$2:$D$5000,J$2)=0,"",SUMIFS(Datos!$E$2:$E$5000,Datos!$A$2:$A$5000,J$1,Datos!$B$2:$B$5000,$A89,Datos!$C$2:$C$5000,$B89,Datos!$D$2:$D$5000,J$2))</f>
        <v/>
      </c>
    </row>
    <row r="90">
      <c r="A90" s="8" t="inlineStr">
        <is>
          <t>Colombia</t>
        </is>
      </c>
      <c r="B90" s="8" t="n">
        <v>1998</v>
      </c>
      <c r="C90" s="9">
        <f>IF(COUNTIFS(Datos!$A$2:$A$5000,C$1,Datos!$B$2:$B$5000,$A90,Datos!$C$2:$C$5000,$B90,Datos!$D$2:$D$5000,C$2)=0,"",SUMIFS(Datos!$E$2:$E$5000,Datos!$A$2:$A$5000,C$1,Datos!$B$2:$B$5000,$A90,Datos!$C$2:$C$5000,$B90,Datos!$D$2:$D$5000,C$2))</f>
        <v/>
      </c>
      <c r="D90" s="9">
        <f>IF(COUNTIFS(Datos!$A$2:$A$5000,D$1,Datos!$B$2:$B$5000,$A90,Datos!$C$2:$C$5000,$B90,Datos!$D$2:$D$5000,D$2)=0,"",SUMIFS(Datos!$E$2:$E$5000,Datos!$A$2:$A$5000,D$1,Datos!$B$2:$B$5000,$A90,Datos!$C$2:$C$5000,$B90,Datos!$D$2:$D$5000,D$2))</f>
        <v/>
      </c>
      <c r="E90" s="9">
        <f>IF(COUNTIFS(Datos!$A$2:$A$5000,E$1,Datos!$B$2:$B$5000,$A90,Datos!$C$2:$C$5000,$B90,Datos!$D$2:$D$5000,E$2)=0,"",SUMIFS(Datos!$E$2:$E$5000,Datos!$A$2:$A$5000,E$1,Datos!$B$2:$B$5000,$A90,Datos!$C$2:$C$5000,$B90,Datos!$D$2:$D$5000,E$2))</f>
        <v/>
      </c>
      <c r="F90" s="9">
        <f>IF(COUNTIFS(Datos!$A$2:$A$5000,F$1,Datos!$B$2:$B$5000,$A90,Datos!$C$2:$C$5000,$B90,Datos!$D$2:$D$5000,F$2)=0,"",SUMIFS(Datos!$E$2:$E$5000,Datos!$A$2:$A$5000,F$1,Datos!$B$2:$B$5000,$A90,Datos!$C$2:$C$5000,$B90,Datos!$D$2:$D$5000,F$2))</f>
        <v/>
      </c>
      <c r="G90" s="9">
        <f>IF(COUNTIFS(Datos!$A$2:$A$5000,G$1,Datos!$B$2:$B$5000,$A90,Datos!$C$2:$C$5000,$B90,Datos!$D$2:$D$5000,G$2)=0,"",SUMIFS(Datos!$E$2:$E$5000,Datos!$A$2:$A$5000,G$1,Datos!$B$2:$B$5000,$A90,Datos!$C$2:$C$5000,$B90,Datos!$D$2:$D$5000,G$2))</f>
        <v/>
      </c>
      <c r="H90" s="9">
        <f>IF(COUNTIFS(Datos!$A$2:$A$5000,H$1,Datos!$B$2:$B$5000,$A90,Datos!$C$2:$C$5000,$B90,Datos!$D$2:$D$5000,H$2)=0,"",SUMIFS(Datos!$E$2:$E$5000,Datos!$A$2:$A$5000,H$1,Datos!$B$2:$B$5000,$A90,Datos!$C$2:$C$5000,$B90,Datos!$D$2:$D$5000,H$2))</f>
        <v/>
      </c>
      <c r="I90" s="9">
        <f>IF(COUNTIFS(Datos!$A$2:$A$5000,I$1,Datos!$B$2:$B$5000,$A90,Datos!$C$2:$C$5000,$B90,Datos!$D$2:$D$5000,I$2)=0,"",SUMIFS(Datos!$E$2:$E$5000,Datos!$A$2:$A$5000,I$1,Datos!$B$2:$B$5000,$A90,Datos!$C$2:$C$5000,$B90,Datos!$D$2:$D$5000,I$2))</f>
        <v/>
      </c>
      <c r="J90" s="9">
        <f>IF(COUNTIFS(Datos!$A$2:$A$5000,J$1,Datos!$B$2:$B$5000,$A90,Datos!$C$2:$C$5000,$B90,Datos!$D$2:$D$5000,J$2)=0,"",SUMIFS(Datos!$E$2:$E$5000,Datos!$A$2:$A$5000,J$1,Datos!$B$2:$B$5000,$A90,Datos!$C$2:$C$5000,$B90,Datos!$D$2:$D$5000,J$2))</f>
        <v/>
      </c>
    </row>
    <row r="91">
      <c r="A91" s="8" t="inlineStr">
        <is>
          <t>Colombia</t>
        </is>
      </c>
      <c r="B91" s="8" t="n">
        <v>2000</v>
      </c>
      <c r="C91" s="9">
        <f>IF(COUNTIFS(Datos!$A$2:$A$5000,C$1,Datos!$B$2:$B$5000,$A91,Datos!$C$2:$C$5000,$B91,Datos!$D$2:$D$5000,C$2)=0,"",SUMIFS(Datos!$E$2:$E$5000,Datos!$A$2:$A$5000,C$1,Datos!$B$2:$B$5000,$A91,Datos!$C$2:$C$5000,$B91,Datos!$D$2:$D$5000,C$2))</f>
        <v/>
      </c>
      <c r="D91" s="9">
        <f>IF(COUNTIFS(Datos!$A$2:$A$5000,D$1,Datos!$B$2:$B$5000,$A91,Datos!$C$2:$C$5000,$B91,Datos!$D$2:$D$5000,D$2)=0,"",SUMIFS(Datos!$E$2:$E$5000,Datos!$A$2:$A$5000,D$1,Datos!$B$2:$B$5000,$A91,Datos!$C$2:$C$5000,$B91,Datos!$D$2:$D$5000,D$2))</f>
        <v/>
      </c>
      <c r="E91" s="9">
        <f>IF(COUNTIFS(Datos!$A$2:$A$5000,E$1,Datos!$B$2:$B$5000,$A91,Datos!$C$2:$C$5000,$B91,Datos!$D$2:$D$5000,E$2)=0,"",SUMIFS(Datos!$E$2:$E$5000,Datos!$A$2:$A$5000,E$1,Datos!$B$2:$B$5000,$A91,Datos!$C$2:$C$5000,$B91,Datos!$D$2:$D$5000,E$2))</f>
        <v/>
      </c>
      <c r="F91" s="9">
        <f>IF(COUNTIFS(Datos!$A$2:$A$5000,F$1,Datos!$B$2:$B$5000,$A91,Datos!$C$2:$C$5000,$B91,Datos!$D$2:$D$5000,F$2)=0,"",SUMIFS(Datos!$E$2:$E$5000,Datos!$A$2:$A$5000,F$1,Datos!$B$2:$B$5000,$A91,Datos!$C$2:$C$5000,$B91,Datos!$D$2:$D$5000,F$2))</f>
        <v/>
      </c>
      <c r="G91" s="9">
        <f>IF(COUNTIFS(Datos!$A$2:$A$5000,G$1,Datos!$B$2:$B$5000,$A91,Datos!$C$2:$C$5000,$B91,Datos!$D$2:$D$5000,G$2)=0,"",SUMIFS(Datos!$E$2:$E$5000,Datos!$A$2:$A$5000,G$1,Datos!$B$2:$B$5000,$A91,Datos!$C$2:$C$5000,$B91,Datos!$D$2:$D$5000,G$2))</f>
        <v/>
      </c>
      <c r="H91" s="9">
        <f>IF(COUNTIFS(Datos!$A$2:$A$5000,H$1,Datos!$B$2:$B$5000,$A91,Datos!$C$2:$C$5000,$B91,Datos!$D$2:$D$5000,H$2)=0,"",SUMIFS(Datos!$E$2:$E$5000,Datos!$A$2:$A$5000,H$1,Datos!$B$2:$B$5000,$A91,Datos!$C$2:$C$5000,$B91,Datos!$D$2:$D$5000,H$2))</f>
        <v/>
      </c>
      <c r="I91" s="9">
        <f>IF(COUNTIFS(Datos!$A$2:$A$5000,I$1,Datos!$B$2:$B$5000,$A91,Datos!$C$2:$C$5000,$B91,Datos!$D$2:$D$5000,I$2)=0,"",SUMIFS(Datos!$E$2:$E$5000,Datos!$A$2:$A$5000,I$1,Datos!$B$2:$B$5000,$A91,Datos!$C$2:$C$5000,$B91,Datos!$D$2:$D$5000,I$2))</f>
        <v/>
      </c>
      <c r="J91" s="9">
        <f>IF(COUNTIFS(Datos!$A$2:$A$5000,J$1,Datos!$B$2:$B$5000,$A91,Datos!$C$2:$C$5000,$B91,Datos!$D$2:$D$5000,J$2)=0,"",SUMIFS(Datos!$E$2:$E$5000,Datos!$A$2:$A$5000,J$1,Datos!$B$2:$B$5000,$A91,Datos!$C$2:$C$5000,$B91,Datos!$D$2:$D$5000,J$2))</f>
        <v/>
      </c>
    </row>
    <row r="92">
      <c r="A92" s="8" t="inlineStr">
        <is>
          <t>Colombia</t>
        </is>
      </c>
      <c r="B92" s="8" t="n">
        <v>2001</v>
      </c>
      <c r="C92" s="9">
        <f>IF(COUNTIFS(Datos!$A$2:$A$5000,C$1,Datos!$B$2:$B$5000,$A92,Datos!$C$2:$C$5000,$B92,Datos!$D$2:$D$5000,C$2)=0,"",SUMIFS(Datos!$E$2:$E$5000,Datos!$A$2:$A$5000,C$1,Datos!$B$2:$B$5000,$A92,Datos!$C$2:$C$5000,$B92,Datos!$D$2:$D$5000,C$2))</f>
        <v/>
      </c>
      <c r="D92" s="9">
        <f>IF(COUNTIFS(Datos!$A$2:$A$5000,D$1,Datos!$B$2:$B$5000,$A92,Datos!$C$2:$C$5000,$B92,Datos!$D$2:$D$5000,D$2)=0,"",SUMIFS(Datos!$E$2:$E$5000,Datos!$A$2:$A$5000,D$1,Datos!$B$2:$B$5000,$A92,Datos!$C$2:$C$5000,$B92,Datos!$D$2:$D$5000,D$2))</f>
        <v/>
      </c>
      <c r="E92" s="9">
        <f>IF(COUNTIFS(Datos!$A$2:$A$5000,E$1,Datos!$B$2:$B$5000,$A92,Datos!$C$2:$C$5000,$B92,Datos!$D$2:$D$5000,E$2)=0,"",SUMIFS(Datos!$E$2:$E$5000,Datos!$A$2:$A$5000,E$1,Datos!$B$2:$B$5000,$A92,Datos!$C$2:$C$5000,$B92,Datos!$D$2:$D$5000,E$2))</f>
        <v/>
      </c>
      <c r="F92" s="9">
        <f>IF(COUNTIFS(Datos!$A$2:$A$5000,F$1,Datos!$B$2:$B$5000,$A92,Datos!$C$2:$C$5000,$B92,Datos!$D$2:$D$5000,F$2)=0,"",SUMIFS(Datos!$E$2:$E$5000,Datos!$A$2:$A$5000,F$1,Datos!$B$2:$B$5000,$A92,Datos!$C$2:$C$5000,$B92,Datos!$D$2:$D$5000,F$2))</f>
        <v/>
      </c>
      <c r="G92" s="9">
        <f>IF(COUNTIFS(Datos!$A$2:$A$5000,G$1,Datos!$B$2:$B$5000,$A92,Datos!$C$2:$C$5000,$B92,Datos!$D$2:$D$5000,G$2)=0,"",SUMIFS(Datos!$E$2:$E$5000,Datos!$A$2:$A$5000,G$1,Datos!$B$2:$B$5000,$A92,Datos!$C$2:$C$5000,$B92,Datos!$D$2:$D$5000,G$2))</f>
        <v/>
      </c>
      <c r="H92" s="9">
        <f>IF(COUNTIFS(Datos!$A$2:$A$5000,H$1,Datos!$B$2:$B$5000,$A92,Datos!$C$2:$C$5000,$B92,Datos!$D$2:$D$5000,H$2)=0,"",SUMIFS(Datos!$E$2:$E$5000,Datos!$A$2:$A$5000,H$1,Datos!$B$2:$B$5000,$A92,Datos!$C$2:$C$5000,$B92,Datos!$D$2:$D$5000,H$2))</f>
        <v/>
      </c>
      <c r="I92" s="9">
        <f>IF(COUNTIFS(Datos!$A$2:$A$5000,I$1,Datos!$B$2:$B$5000,$A92,Datos!$C$2:$C$5000,$B92,Datos!$D$2:$D$5000,I$2)=0,"",SUMIFS(Datos!$E$2:$E$5000,Datos!$A$2:$A$5000,I$1,Datos!$B$2:$B$5000,$A92,Datos!$C$2:$C$5000,$B92,Datos!$D$2:$D$5000,I$2))</f>
        <v/>
      </c>
      <c r="J92" s="9">
        <f>IF(COUNTIFS(Datos!$A$2:$A$5000,J$1,Datos!$B$2:$B$5000,$A92,Datos!$C$2:$C$5000,$B92,Datos!$D$2:$D$5000,J$2)=0,"",SUMIFS(Datos!$E$2:$E$5000,Datos!$A$2:$A$5000,J$1,Datos!$B$2:$B$5000,$A92,Datos!$C$2:$C$5000,$B92,Datos!$D$2:$D$5000,J$2))</f>
        <v/>
      </c>
    </row>
    <row r="93">
      <c r="A93" s="8" t="inlineStr">
        <is>
          <t>Colombia</t>
        </is>
      </c>
      <c r="B93" s="8" t="n">
        <v>2002</v>
      </c>
      <c r="C93" s="9">
        <f>IF(COUNTIFS(Datos!$A$2:$A$5000,C$1,Datos!$B$2:$B$5000,$A93,Datos!$C$2:$C$5000,$B93,Datos!$D$2:$D$5000,C$2)=0,"",SUMIFS(Datos!$E$2:$E$5000,Datos!$A$2:$A$5000,C$1,Datos!$B$2:$B$5000,$A93,Datos!$C$2:$C$5000,$B93,Datos!$D$2:$D$5000,C$2))</f>
        <v/>
      </c>
      <c r="D93" s="9">
        <f>IF(COUNTIFS(Datos!$A$2:$A$5000,D$1,Datos!$B$2:$B$5000,$A93,Datos!$C$2:$C$5000,$B93,Datos!$D$2:$D$5000,D$2)=0,"",SUMIFS(Datos!$E$2:$E$5000,Datos!$A$2:$A$5000,D$1,Datos!$B$2:$B$5000,$A93,Datos!$C$2:$C$5000,$B93,Datos!$D$2:$D$5000,D$2))</f>
        <v/>
      </c>
      <c r="E93" s="9">
        <f>IF(COUNTIFS(Datos!$A$2:$A$5000,E$1,Datos!$B$2:$B$5000,$A93,Datos!$C$2:$C$5000,$B93,Datos!$D$2:$D$5000,E$2)=0,"",SUMIFS(Datos!$E$2:$E$5000,Datos!$A$2:$A$5000,E$1,Datos!$B$2:$B$5000,$A93,Datos!$C$2:$C$5000,$B93,Datos!$D$2:$D$5000,E$2))</f>
        <v/>
      </c>
      <c r="F93" s="9">
        <f>IF(COUNTIFS(Datos!$A$2:$A$5000,F$1,Datos!$B$2:$B$5000,$A93,Datos!$C$2:$C$5000,$B93,Datos!$D$2:$D$5000,F$2)=0,"",SUMIFS(Datos!$E$2:$E$5000,Datos!$A$2:$A$5000,F$1,Datos!$B$2:$B$5000,$A93,Datos!$C$2:$C$5000,$B93,Datos!$D$2:$D$5000,F$2))</f>
        <v/>
      </c>
      <c r="G93" s="9">
        <f>IF(COUNTIFS(Datos!$A$2:$A$5000,G$1,Datos!$B$2:$B$5000,$A93,Datos!$C$2:$C$5000,$B93,Datos!$D$2:$D$5000,G$2)=0,"",SUMIFS(Datos!$E$2:$E$5000,Datos!$A$2:$A$5000,G$1,Datos!$B$2:$B$5000,$A93,Datos!$C$2:$C$5000,$B93,Datos!$D$2:$D$5000,G$2))</f>
        <v/>
      </c>
      <c r="H93" s="9">
        <f>IF(COUNTIFS(Datos!$A$2:$A$5000,H$1,Datos!$B$2:$B$5000,$A93,Datos!$C$2:$C$5000,$B93,Datos!$D$2:$D$5000,H$2)=0,"",SUMIFS(Datos!$E$2:$E$5000,Datos!$A$2:$A$5000,H$1,Datos!$B$2:$B$5000,$A93,Datos!$C$2:$C$5000,$B93,Datos!$D$2:$D$5000,H$2))</f>
        <v/>
      </c>
      <c r="I93" s="9">
        <f>IF(COUNTIFS(Datos!$A$2:$A$5000,I$1,Datos!$B$2:$B$5000,$A93,Datos!$C$2:$C$5000,$B93,Datos!$D$2:$D$5000,I$2)=0,"",SUMIFS(Datos!$E$2:$E$5000,Datos!$A$2:$A$5000,I$1,Datos!$B$2:$B$5000,$A93,Datos!$C$2:$C$5000,$B93,Datos!$D$2:$D$5000,I$2))</f>
        <v/>
      </c>
      <c r="J93" s="9">
        <f>IF(COUNTIFS(Datos!$A$2:$A$5000,J$1,Datos!$B$2:$B$5000,$A93,Datos!$C$2:$C$5000,$B93,Datos!$D$2:$D$5000,J$2)=0,"",SUMIFS(Datos!$E$2:$E$5000,Datos!$A$2:$A$5000,J$1,Datos!$B$2:$B$5000,$A93,Datos!$C$2:$C$5000,$B93,Datos!$D$2:$D$5000,J$2))</f>
        <v/>
      </c>
    </row>
    <row r="94">
      <c r="A94" s="8" t="inlineStr">
        <is>
          <t>Colombia</t>
        </is>
      </c>
      <c r="B94" s="8" t="n">
        <v>2003</v>
      </c>
      <c r="C94" s="9">
        <f>IF(COUNTIFS(Datos!$A$2:$A$5000,C$1,Datos!$B$2:$B$5000,$A94,Datos!$C$2:$C$5000,$B94,Datos!$D$2:$D$5000,C$2)=0,"",SUMIFS(Datos!$E$2:$E$5000,Datos!$A$2:$A$5000,C$1,Datos!$B$2:$B$5000,$A94,Datos!$C$2:$C$5000,$B94,Datos!$D$2:$D$5000,C$2))</f>
        <v/>
      </c>
      <c r="D94" s="9">
        <f>IF(COUNTIFS(Datos!$A$2:$A$5000,D$1,Datos!$B$2:$B$5000,$A94,Datos!$C$2:$C$5000,$B94,Datos!$D$2:$D$5000,D$2)=0,"",SUMIFS(Datos!$E$2:$E$5000,Datos!$A$2:$A$5000,D$1,Datos!$B$2:$B$5000,$A94,Datos!$C$2:$C$5000,$B94,Datos!$D$2:$D$5000,D$2))</f>
        <v/>
      </c>
      <c r="E94" s="9">
        <f>IF(COUNTIFS(Datos!$A$2:$A$5000,E$1,Datos!$B$2:$B$5000,$A94,Datos!$C$2:$C$5000,$B94,Datos!$D$2:$D$5000,E$2)=0,"",SUMIFS(Datos!$E$2:$E$5000,Datos!$A$2:$A$5000,E$1,Datos!$B$2:$B$5000,$A94,Datos!$C$2:$C$5000,$B94,Datos!$D$2:$D$5000,E$2))</f>
        <v/>
      </c>
      <c r="F94" s="9">
        <f>IF(COUNTIFS(Datos!$A$2:$A$5000,F$1,Datos!$B$2:$B$5000,$A94,Datos!$C$2:$C$5000,$B94,Datos!$D$2:$D$5000,F$2)=0,"",SUMIFS(Datos!$E$2:$E$5000,Datos!$A$2:$A$5000,F$1,Datos!$B$2:$B$5000,$A94,Datos!$C$2:$C$5000,$B94,Datos!$D$2:$D$5000,F$2))</f>
        <v/>
      </c>
      <c r="G94" s="9">
        <f>IF(COUNTIFS(Datos!$A$2:$A$5000,G$1,Datos!$B$2:$B$5000,$A94,Datos!$C$2:$C$5000,$B94,Datos!$D$2:$D$5000,G$2)=0,"",SUMIFS(Datos!$E$2:$E$5000,Datos!$A$2:$A$5000,G$1,Datos!$B$2:$B$5000,$A94,Datos!$C$2:$C$5000,$B94,Datos!$D$2:$D$5000,G$2))</f>
        <v/>
      </c>
      <c r="H94" s="9">
        <f>IF(COUNTIFS(Datos!$A$2:$A$5000,H$1,Datos!$B$2:$B$5000,$A94,Datos!$C$2:$C$5000,$B94,Datos!$D$2:$D$5000,H$2)=0,"",SUMIFS(Datos!$E$2:$E$5000,Datos!$A$2:$A$5000,H$1,Datos!$B$2:$B$5000,$A94,Datos!$C$2:$C$5000,$B94,Datos!$D$2:$D$5000,H$2))</f>
        <v/>
      </c>
      <c r="I94" s="9">
        <f>IF(COUNTIFS(Datos!$A$2:$A$5000,I$1,Datos!$B$2:$B$5000,$A94,Datos!$C$2:$C$5000,$B94,Datos!$D$2:$D$5000,I$2)=0,"",SUMIFS(Datos!$E$2:$E$5000,Datos!$A$2:$A$5000,I$1,Datos!$B$2:$B$5000,$A94,Datos!$C$2:$C$5000,$B94,Datos!$D$2:$D$5000,I$2))</f>
        <v/>
      </c>
      <c r="J94" s="9">
        <f>IF(COUNTIFS(Datos!$A$2:$A$5000,J$1,Datos!$B$2:$B$5000,$A94,Datos!$C$2:$C$5000,$B94,Datos!$D$2:$D$5000,J$2)=0,"",SUMIFS(Datos!$E$2:$E$5000,Datos!$A$2:$A$5000,J$1,Datos!$B$2:$B$5000,$A94,Datos!$C$2:$C$5000,$B94,Datos!$D$2:$D$5000,J$2))</f>
        <v/>
      </c>
    </row>
    <row r="95">
      <c r="A95" s="8" t="inlineStr">
        <is>
          <t>Colombia</t>
        </is>
      </c>
      <c r="B95" s="8" t="n">
        <v>2004</v>
      </c>
      <c r="C95" s="9">
        <f>IF(COUNTIFS(Datos!$A$2:$A$5000,C$1,Datos!$B$2:$B$5000,$A95,Datos!$C$2:$C$5000,$B95,Datos!$D$2:$D$5000,C$2)=0,"",SUMIFS(Datos!$E$2:$E$5000,Datos!$A$2:$A$5000,C$1,Datos!$B$2:$B$5000,$A95,Datos!$C$2:$C$5000,$B95,Datos!$D$2:$D$5000,C$2))</f>
        <v/>
      </c>
      <c r="D95" s="9">
        <f>IF(COUNTIFS(Datos!$A$2:$A$5000,D$1,Datos!$B$2:$B$5000,$A95,Datos!$C$2:$C$5000,$B95,Datos!$D$2:$D$5000,D$2)=0,"",SUMIFS(Datos!$E$2:$E$5000,Datos!$A$2:$A$5000,D$1,Datos!$B$2:$B$5000,$A95,Datos!$C$2:$C$5000,$B95,Datos!$D$2:$D$5000,D$2))</f>
        <v/>
      </c>
      <c r="E95" s="9">
        <f>IF(COUNTIFS(Datos!$A$2:$A$5000,E$1,Datos!$B$2:$B$5000,$A95,Datos!$C$2:$C$5000,$B95,Datos!$D$2:$D$5000,E$2)=0,"",SUMIFS(Datos!$E$2:$E$5000,Datos!$A$2:$A$5000,E$1,Datos!$B$2:$B$5000,$A95,Datos!$C$2:$C$5000,$B95,Datos!$D$2:$D$5000,E$2))</f>
        <v/>
      </c>
      <c r="F95" s="9">
        <f>IF(COUNTIFS(Datos!$A$2:$A$5000,F$1,Datos!$B$2:$B$5000,$A95,Datos!$C$2:$C$5000,$B95,Datos!$D$2:$D$5000,F$2)=0,"",SUMIFS(Datos!$E$2:$E$5000,Datos!$A$2:$A$5000,F$1,Datos!$B$2:$B$5000,$A95,Datos!$C$2:$C$5000,$B95,Datos!$D$2:$D$5000,F$2))</f>
        <v/>
      </c>
      <c r="G95" s="9">
        <f>IF(COUNTIFS(Datos!$A$2:$A$5000,G$1,Datos!$B$2:$B$5000,$A95,Datos!$C$2:$C$5000,$B95,Datos!$D$2:$D$5000,G$2)=0,"",SUMIFS(Datos!$E$2:$E$5000,Datos!$A$2:$A$5000,G$1,Datos!$B$2:$B$5000,$A95,Datos!$C$2:$C$5000,$B95,Datos!$D$2:$D$5000,G$2))</f>
        <v/>
      </c>
      <c r="H95" s="9">
        <f>IF(COUNTIFS(Datos!$A$2:$A$5000,H$1,Datos!$B$2:$B$5000,$A95,Datos!$C$2:$C$5000,$B95,Datos!$D$2:$D$5000,H$2)=0,"",SUMIFS(Datos!$E$2:$E$5000,Datos!$A$2:$A$5000,H$1,Datos!$B$2:$B$5000,$A95,Datos!$C$2:$C$5000,$B95,Datos!$D$2:$D$5000,H$2))</f>
        <v/>
      </c>
      <c r="I95" s="9">
        <f>IF(COUNTIFS(Datos!$A$2:$A$5000,I$1,Datos!$B$2:$B$5000,$A95,Datos!$C$2:$C$5000,$B95,Datos!$D$2:$D$5000,I$2)=0,"",SUMIFS(Datos!$E$2:$E$5000,Datos!$A$2:$A$5000,I$1,Datos!$B$2:$B$5000,$A95,Datos!$C$2:$C$5000,$B95,Datos!$D$2:$D$5000,I$2))</f>
        <v/>
      </c>
      <c r="J95" s="9">
        <f>IF(COUNTIFS(Datos!$A$2:$A$5000,J$1,Datos!$B$2:$B$5000,$A95,Datos!$C$2:$C$5000,$B95,Datos!$D$2:$D$5000,J$2)=0,"",SUMIFS(Datos!$E$2:$E$5000,Datos!$A$2:$A$5000,J$1,Datos!$B$2:$B$5000,$A95,Datos!$C$2:$C$5000,$B95,Datos!$D$2:$D$5000,J$2))</f>
        <v/>
      </c>
    </row>
    <row r="96">
      <c r="A96" s="8" t="inlineStr">
        <is>
          <t>Colombia</t>
        </is>
      </c>
      <c r="B96" s="8" t="n">
        <v>2005</v>
      </c>
      <c r="C96" s="9">
        <f>IF(COUNTIFS(Datos!$A$2:$A$5000,C$1,Datos!$B$2:$B$5000,$A96,Datos!$C$2:$C$5000,$B96,Datos!$D$2:$D$5000,C$2)=0,"",SUMIFS(Datos!$E$2:$E$5000,Datos!$A$2:$A$5000,C$1,Datos!$B$2:$B$5000,$A96,Datos!$C$2:$C$5000,$B96,Datos!$D$2:$D$5000,C$2))</f>
        <v/>
      </c>
      <c r="D96" s="9">
        <f>IF(COUNTIFS(Datos!$A$2:$A$5000,D$1,Datos!$B$2:$B$5000,$A96,Datos!$C$2:$C$5000,$B96,Datos!$D$2:$D$5000,D$2)=0,"",SUMIFS(Datos!$E$2:$E$5000,Datos!$A$2:$A$5000,D$1,Datos!$B$2:$B$5000,$A96,Datos!$C$2:$C$5000,$B96,Datos!$D$2:$D$5000,D$2))</f>
        <v/>
      </c>
      <c r="E96" s="9">
        <f>IF(COUNTIFS(Datos!$A$2:$A$5000,E$1,Datos!$B$2:$B$5000,$A96,Datos!$C$2:$C$5000,$B96,Datos!$D$2:$D$5000,E$2)=0,"",SUMIFS(Datos!$E$2:$E$5000,Datos!$A$2:$A$5000,E$1,Datos!$B$2:$B$5000,$A96,Datos!$C$2:$C$5000,$B96,Datos!$D$2:$D$5000,E$2))</f>
        <v/>
      </c>
      <c r="F96" s="9">
        <f>IF(COUNTIFS(Datos!$A$2:$A$5000,F$1,Datos!$B$2:$B$5000,$A96,Datos!$C$2:$C$5000,$B96,Datos!$D$2:$D$5000,F$2)=0,"",SUMIFS(Datos!$E$2:$E$5000,Datos!$A$2:$A$5000,F$1,Datos!$B$2:$B$5000,$A96,Datos!$C$2:$C$5000,$B96,Datos!$D$2:$D$5000,F$2))</f>
        <v/>
      </c>
      <c r="G96" s="9">
        <f>IF(COUNTIFS(Datos!$A$2:$A$5000,G$1,Datos!$B$2:$B$5000,$A96,Datos!$C$2:$C$5000,$B96,Datos!$D$2:$D$5000,G$2)=0,"",SUMIFS(Datos!$E$2:$E$5000,Datos!$A$2:$A$5000,G$1,Datos!$B$2:$B$5000,$A96,Datos!$C$2:$C$5000,$B96,Datos!$D$2:$D$5000,G$2))</f>
        <v/>
      </c>
      <c r="H96" s="9">
        <f>IF(COUNTIFS(Datos!$A$2:$A$5000,H$1,Datos!$B$2:$B$5000,$A96,Datos!$C$2:$C$5000,$B96,Datos!$D$2:$D$5000,H$2)=0,"",SUMIFS(Datos!$E$2:$E$5000,Datos!$A$2:$A$5000,H$1,Datos!$B$2:$B$5000,$A96,Datos!$C$2:$C$5000,$B96,Datos!$D$2:$D$5000,H$2))</f>
        <v/>
      </c>
      <c r="I96" s="9">
        <f>IF(COUNTIFS(Datos!$A$2:$A$5000,I$1,Datos!$B$2:$B$5000,$A96,Datos!$C$2:$C$5000,$B96,Datos!$D$2:$D$5000,I$2)=0,"",SUMIFS(Datos!$E$2:$E$5000,Datos!$A$2:$A$5000,I$1,Datos!$B$2:$B$5000,$A96,Datos!$C$2:$C$5000,$B96,Datos!$D$2:$D$5000,I$2))</f>
        <v/>
      </c>
      <c r="J96" s="9">
        <f>IF(COUNTIFS(Datos!$A$2:$A$5000,J$1,Datos!$B$2:$B$5000,$A96,Datos!$C$2:$C$5000,$B96,Datos!$D$2:$D$5000,J$2)=0,"",SUMIFS(Datos!$E$2:$E$5000,Datos!$A$2:$A$5000,J$1,Datos!$B$2:$B$5000,$A96,Datos!$C$2:$C$5000,$B96,Datos!$D$2:$D$5000,J$2))</f>
        <v/>
      </c>
    </row>
    <row r="97">
      <c r="A97" s="8" t="inlineStr">
        <is>
          <t>Colombia</t>
        </is>
      </c>
      <c r="B97" s="8" t="n">
        <v>2006</v>
      </c>
      <c r="C97" s="9">
        <f>IF(COUNTIFS(Datos!$A$2:$A$5000,C$1,Datos!$B$2:$B$5000,$A97,Datos!$C$2:$C$5000,$B97,Datos!$D$2:$D$5000,C$2)=0,"",SUMIFS(Datos!$E$2:$E$5000,Datos!$A$2:$A$5000,C$1,Datos!$B$2:$B$5000,$A97,Datos!$C$2:$C$5000,$B97,Datos!$D$2:$D$5000,C$2))</f>
        <v/>
      </c>
      <c r="D97" s="9">
        <f>IF(COUNTIFS(Datos!$A$2:$A$5000,D$1,Datos!$B$2:$B$5000,$A97,Datos!$C$2:$C$5000,$B97,Datos!$D$2:$D$5000,D$2)=0,"",SUMIFS(Datos!$E$2:$E$5000,Datos!$A$2:$A$5000,D$1,Datos!$B$2:$B$5000,$A97,Datos!$C$2:$C$5000,$B97,Datos!$D$2:$D$5000,D$2))</f>
        <v/>
      </c>
      <c r="E97" s="9">
        <f>IF(COUNTIFS(Datos!$A$2:$A$5000,E$1,Datos!$B$2:$B$5000,$A97,Datos!$C$2:$C$5000,$B97,Datos!$D$2:$D$5000,E$2)=0,"",SUMIFS(Datos!$E$2:$E$5000,Datos!$A$2:$A$5000,E$1,Datos!$B$2:$B$5000,$A97,Datos!$C$2:$C$5000,$B97,Datos!$D$2:$D$5000,E$2))</f>
        <v/>
      </c>
      <c r="F97" s="9">
        <f>IF(COUNTIFS(Datos!$A$2:$A$5000,F$1,Datos!$B$2:$B$5000,$A97,Datos!$C$2:$C$5000,$B97,Datos!$D$2:$D$5000,F$2)=0,"",SUMIFS(Datos!$E$2:$E$5000,Datos!$A$2:$A$5000,F$1,Datos!$B$2:$B$5000,$A97,Datos!$C$2:$C$5000,$B97,Datos!$D$2:$D$5000,F$2))</f>
        <v/>
      </c>
      <c r="G97" s="9">
        <f>IF(COUNTIFS(Datos!$A$2:$A$5000,G$1,Datos!$B$2:$B$5000,$A97,Datos!$C$2:$C$5000,$B97,Datos!$D$2:$D$5000,G$2)=0,"",SUMIFS(Datos!$E$2:$E$5000,Datos!$A$2:$A$5000,G$1,Datos!$B$2:$B$5000,$A97,Datos!$C$2:$C$5000,$B97,Datos!$D$2:$D$5000,G$2))</f>
        <v/>
      </c>
      <c r="H97" s="9">
        <f>IF(COUNTIFS(Datos!$A$2:$A$5000,H$1,Datos!$B$2:$B$5000,$A97,Datos!$C$2:$C$5000,$B97,Datos!$D$2:$D$5000,H$2)=0,"",SUMIFS(Datos!$E$2:$E$5000,Datos!$A$2:$A$5000,H$1,Datos!$B$2:$B$5000,$A97,Datos!$C$2:$C$5000,$B97,Datos!$D$2:$D$5000,H$2))</f>
        <v/>
      </c>
      <c r="I97" s="9">
        <f>IF(COUNTIFS(Datos!$A$2:$A$5000,I$1,Datos!$B$2:$B$5000,$A97,Datos!$C$2:$C$5000,$B97,Datos!$D$2:$D$5000,I$2)=0,"",SUMIFS(Datos!$E$2:$E$5000,Datos!$A$2:$A$5000,I$1,Datos!$B$2:$B$5000,$A97,Datos!$C$2:$C$5000,$B97,Datos!$D$2:$D$5000,I$2))</f>
        <v/>
      </c>
      <c r="J97" s="9">
        <f>IF(COUNTIFS(Datos!$A$2:$A$5000,J$1,Datos!$B$2:$B$5000,$A97,Datos!$C$2:$C$5000,$B97,Datos!$D$2:$D$5000,J$2)=0,"",SUMIFS(Datos!$E$2:$E$5000,Datos!$A$2:$A$5000,J$1,Datos!$B$2:$B$5000,$A97,Datos!$C$2:$C$5000,$B97,Datos!$D$2:$D$5000,J$2))</f>
        <v/>
      </c>
    </row>
    <row r="98">
      <c r="A98" s="8" t="inlineStr">
        <is>
          <t>Colombia</t>
        </is>
      </c>
      <c r="B98" s="8" t="n">
        <v>2007</v>
      </c>
      <c r="C98" s="9">
        <f>IF(COUNTIFS(Datos!$A$2:$A$5000,C$1,Datos!$B$2:$B$5000,$A98,Datos!$C$2:$C$5000,$B98,Datos!$D$2:$D$5000,C$2)=0,"",SUMIFS(Datos!$E$2:$E$5000,Datos!$A$2:$A$5000,C$1,Datos!$B$2:$B$5000,$A98,Datos!$C$2:$C$5000,$B98,Datos!$D$2:$D$5000,C$2))</f>
        <v/>
      </c>
      <c r="D98" s="9">
        <f>IF(COUNTIFS(Datos!$A$2:$A$5000,D$1,Datos!$B$2:$B$5000,$A98,Datos!$C$2:$C$5000,$B98,Datos!$D$2:$D$5000,D$2)=0,"",SUMIFS(Datos!$E$2:$E$5000,Datos!$A$2:$A$5000,D$1,Datos!$B$2:$B$5000,$A98,Datos!$C$2:$C$5000,$B98,Datos!$D$2:$D$5000,D$2))</f>
        <v/>
      </c>
      <c r="E98" s="9">
        <f>IF(COUNTIFS(Datos!$A$2:$A$5000,E$1,Datos!$B$2:$B$5000,$A98,Datos!$C$2:$C$5000,$B98,Datos!$D$2:$D$5000,E$2)=0,"",SUMIFS(Datos!$E$2:$E$5000,Datos!$A$2:$A$5000,E$1,Datos!$B$2:$B$5000,$A98,Datos!$C$2:$C$5000,$B98,Datos!$D$2:$D$5000,E$2))</f>
        <v/>
      </c>
      <c r="F98" s="9">
        <f>IF(COUNTIFS(Datos!$A$2:$A$5000,F$1,Datos!$B$2:$B$5000,$A98,Datos!$C$2:$C$5000,$B98,Datos!$D$2:$D$5000,F$2)=0,"",SUMIFS(Datos!$E$2:$E$5000,Datos!$A$2:$A$5000,F$1,Datos!$B$2:$B$5000,$A98,Datos!$C$2:$C$5000,$B98,Datos!$D$2:$D$5000,F$2))</f>
        <v/>
      </c>
      <c r="G98" s="9">
        <f>IF(COUNTIFS(Datos!$A$2:$A$5000,G$1,Datos!$B$2:$B$5000,$A98,Datos!$C$2:$C$5000,$B98,Datos!$D$2:$D$5000,G$2)=0,"",SUMIFS(Datos!$E$2:$E$5000,Datos!$A$2:$A$5000,G$1,Datos!$B$2:$B$5000,$A98,Datos!$C$2:$C$5000,$B98,Datos!$D$2:$D$5000,G$2))</f>
        <v/>
      </c>
      <c r="H98" s="9">
        <f>IF(COUNTIFS(Datos!$A$2:$A$5000,H$1,Datos!$B$2:$B$5000,$A98,Datos!$C$2:$C$5000,$B98,Datos!$D$2:$D$5000,H$2)=0,"",SUMIFS(Datos!$E$2:$E$5000,Datos!$A$2:$A$5000,H$1,Datos!$B$2:$B$5000,$A98,Datos!$C$2:$C$5000,$B98,Datos!$D$2:$D$5000,H$2))</f>
        <v/>
      </c>
      <c r="I98" s="9">
        <f>IF(COUNTIFS(Datos!$A$2:$A$5000,I$1,Datos!$B$2:$B$5000,$A98,Datos!$C$2:$C$5000,$B98,Datos!$D$2:$D$5000,I$2)=0,"",SUMIFS(Datos!$E$2:$E$5000,Datos!$A$2:$A$5000,I$1,Datos!$B$2:$B$5000,$A98,Datos!$C$2:$C$5000,$B98,Datos!$D$2:$D$5000,I$2))</f>
        <v/>
      </c>
      <c r="J98" s="9">
        <f>IF(COUNTIFS(Datos!$A$2:$A$5000,J$1,Datos!$B$2:$B$5000,$A98,Datos!$C$2:$C$5000,$B98,Datos!$D$2:$D$5000,J$2)=0,"",SUMIFS(Datos!$E$2:$E$5000,Datos!$A$2:$A$5000,J$1,Datos!$B$2:$B$5000,$A98,Datos!$C$2:$C$5000,$B98,Datos!$D$2:$D$5000,J$2))</f>
        <v/>
      </c>
    </row>
    <row r="99">
      <c r="A99" s="8" t="inlineStr">
        <is>
          <t>Colombia</t>
        </is>
      </c>
      <c r="B99" s="8" t="n">
        <v>2008</v>
      </c>
      <c r="C99" s="9">
        <f>IF(COUNTIFS(Datos!$A$2:$A$5000,C$1,Datos!$B$2:$B$5000,$A99,Datos!$C$2:$C$5000,$B99,Datos!$D$2:$D$5000,C$2)=0,"",SUMIFS(Datos!$E$2:$E$5000,Datos!$A$2:$A$5000,C$1,Datos!$B$2:$B$5000,$A99,Datos!$C$2:$C$5000,$B99,Datos!$D$2:$D$5000,C$2))</f>
        <v/>
      </c>
      <c r="D99" s="9">
        <f>IF(COUNTIFS(Datos!$A$2:$A$5000,D$1,Datos!$B$2:$B$5000,$A99,Datos!$C$2:$C$5000,$B99,Datos!$D$2:$D$5000,D$2)=0,"",SUMIFS(Datos!$E$2:$E$5000,Datos!$A$2:$A$5000,D$1,Datos!$B$2:$B$5000,$A99,Datos!$C$2:$C$5000,$B99,Datos!$D$2:$D$5000,D$2))</f>
        <v/>
      </c>
      <c r="E99" s="9">
        <f>IF(COUNTIFS(Datos!$A$2:$A$5000,E$1,Datos!$B$2:$B$5000,$A99,Datos!$C$2:$C$5000,$B99,Datos!$D$2:$D$5000,E$2)=0,"",SUMIFS(Datos!$E$2:$E$5000,Datos!$A$2:$A$5000,E$1,Datos!$B$2:$B$5000,$A99,Datos!$C$2:$C$5000,$B99,Datos!$D$2:$D$5000,E$2))</f>
        <v/>
      </c>
      <c r="F99" s="9">
        <f>IF(COUNTIFS(Datos!$A$2:$A$5000,F$1,Datos!$B$2:$B$5000,$A99,Datos!$C$2:$C$5000,$B99,Datos!$D$2:$D$5000,F$2)=0,"",SUMIFS(Datos!$E$2:$E$5000,Datos!$A$2:$A$5000,F$1,Datos!$B$2:$B$5000,$A99,Datos!$C$2:$C$5000,$B99,Datos!$D$2:$D$5000,F$2))</f>
        <v/>
      </c>
      <c r="G99" s="9">
        <f>IF(COUNTIFS(Datos!$A$2:$A$5000,G$1,Datos!$B$2:$B$5000,$A99,Datos!$C$2:$C$5000,$B99,Datos!$D$2:$D$5000,G$2)=0,"",SUMIFS(Datos!$E$2:$E$5000,Datos!$A$2:$A$5000,G$1,Datos!$B$2:$B$5000,$A99,Datos!$C$2:$C$5000,$B99,Datos!$D$2:$D$5000,G$2))</f>
        <v/>
      </c>
      <c r="H99" s="9">
        <f>IF(COUNTIFS(Datos!$A$2:$A$5000,H$1,Datos!$B$2:$B$5000,$A99,Datos!$C$2:$C$5000,$B99,Datos!$D$2:$D$5000,H$2)=0,"",SUMIFS(Datos!$E$2:$E$5000,Datos!$A$2:$A$5000,H$1,Datos!$B$2:$B$5000,$A99,Datos!$C$2:$C$5000,$B99,Datos!$D$2:$D$5000,H$2))</f>
        <v/>
      </c>
      <c r="I99" s="9">
        <f>IF(COUNTIFS(Datos!$A$2:$A$5000,I$1,Datos!$B$2:$B$5000,$A99,Datos!$C$2:$C$5000,$B99,Datos!$D$2:$D$5000,I$2)=0,"",SUMIFS(Datos!$E$2:$E$5000,Datos!$A$2:$A$5000,I$1,Datos!$B$2:$B$5000,$A99,Datos!$C$2:$C$5000,$B99,Datos!$D$2:$D$5000,I$2))</f>
        <v/>
      </c>
      <c r="J99" s="9">
        <f>IF(COUNTIFS(Datos!$A$2:$A$5000,J$1,Datos!$B$2:$B$5000,$A99,Datos!$C$2:$C$5000,$B99,Datos!$D$2:$D$5000,J$2)=0,"",SUMIFS(Datos!$E$2:$E$5000,Datos!$A$2:$A$5000,J$1,Datos!$B$2:$B$5000,$A99,Datos!$C$2:$C$5000,$B99,Datos!$D$2:$D$5000,J$2))</f>
        <v/>
      </c>
    </row>
    <row r="100">
      <c r="A100" s="8" t="inlineStr">
        <is>
          <t>Colombia</t>
        </is>
      </c>
      <c r="B100" s="8" t="n">
        <v>2009</v>
      </c>
      <c r="C100" s="9">
        <f>IF(COUNTIFS(Datos!$A$2:$A$5000,C$1,Datos!$B$2:$B$5000,$A100,Datos!$C$2:$C$5000,$B100,Datos!$D$2:$D$5000,C$2)=0,"",SUMIFS(Datos!$E$2:$E$5000,Datos!$A$2:$A$5000,C$1,Datos!$B$2:$B$5000,$A100,Datos!$C$2:$C$5000,$B100,Datos!$D$2:$D$5000,C$2))</f>
        <v/>
      </c>
      <c r="D100" s="9">
        <f>IF(COUNTIFS(Datos!$A$2:$A$5000,D$1,Datos!$B$2:$B$5000,$A100,Datos!$C$2:$C$5000,$B100,Datos!$D$2:$D$5000,D$2)=0,"",SUMIFS(Datos!$E$2:$E$5000,Datos!$A$2:$A$5000,D$1,Datos!$B$2:$B$5000,$A100,Datos!$C$2:$C$5000,$B100,Datos!$D$2:$D$5000,D$2))</f>
        <v/>
      </c>
      <c r="E100" s="9">
        <f>IF(COUNTIFS(Datos!$A$2:$A$5000,E$1,Datos!$B$2:$B$5000,$A100,Datos!$C$2:$C$5000,$B100,Datos!$D$2:$D$5000,E$2)=0,"",SUMIFS(Datos!$E$2:$E$5000,Datos!$A$2:$A$5000,E$1,Datos!$B$2:$B$5000,$A100,Datos!$C$2:$C$5000,$B100,Datos!$D$2:$D$5000,E$2))</f>
        <v/>
      </c>
      <c r="F100" s="9">
        <f>IF(COUNTIFS(Datos!$A$2:$A$5000,F$1,Datos!$B$2:$B$5000,$A100,Datos!$C$2:$C$5000,$B100,Datos!$D$2:$D$5000,F$2)=0,"",SUMIFS(Datos!$E$2:$E$5000,Datos!$A$2:$A$5000,F$1,Datos!$B$2:$B$5000,$A100,Datos!$C$2:$C$5000,$B100,Datos!$D$2:$D$5000,F$2))</f>
        <v/>
      </c>
      <c r="G100" s="9">
        <f>IF(COUNTIFS(Datos!$A$2:$A$5000,G$1,Datos!$B$2:$B$5000,$A100,Datos!$C$2:$C$5000,$B100,Datos!$D$2:$D$5000,G$2)=0,"",SUMIFS(Datos!$E$2:$E$5000,Datos!$A$2:$A$5000,G$1,Datos!$B$2:$B$5000,$A100,Datos!$C$2:$C$5000,$B100,Datos!$D$2:$D$5000,G$2))</f>
        <v/>
      </c>
      <c r="H100" s="9">
        <f>IF(COUNTIFS(Datos!$A$2:$A$5000,H$1,Datos!$B$2:$B$5000,$A100,Datos!$C$2:$C$5000,$B100,Datos!$D$2:$D$5000,H$2)=0,"",SUMIFS(Datos!$E$2:$E$5000,Datos!$A$2:$A$5000,H$1,Datos!$B$2:$B$5000,$A100,Datos!$C$2:$C$5000,$B100,Datos!$D$2:$D$5000,H$2))</f>
        <v/>
      </c>
      <c r="I100" s="9">
        <f>IF(COUNTIFS(Datos!$A$2:$A$5000,I$1,Datos!$B$2:$B$5000,$A100,Datos!$C$2:$C$5000,$B100,Datos!$D$2:$D$5000,I$2)=0,"",SUMIFS(Datos!$E$2:$E$5000,Datos!$A$2:$A$5000,I$1,Datos!$B$2:$B$5000,$A100,Datos!$C$2:$C$5000,$B100,Datos!$D$2:$D$5000,I$2))</f>
        <v/>
      </c>
      <c r="J100" s="9">
        <f>IF(COUNTIFS(Datos!$A$2:$A$5000,J$1,Datos!$B$2:$B$5000,$A100,Datos!$C$2:$C$5000,$B100,Datos!$D$2:$D$5000,J$2)=0,"",SUMIFS(Datos!$E$2:$E$5000,Datos!$A$2:$A$5000,J$1,Datos!$B$2:$B$5000,$A100,Datos!$C$2:$C$5000,$B100,Datos!$D$2:$D$5000,J$2))</f>
        <v/>
      </c>
    </row>
    <row r="101">
      <c r="A101" s="8" t="inlineStr">
        <is>
          <t>Colombia</t>
        </is>
      </c>
      <c r="B101" s="8" t="n">
        <v>2010</v>
      </c>
      <c r="C101" s="9">
        <f>IF(COUNTIFS(Datos!$A$2:$A$5000,C$1,Datos!$B$2:$B$5000,$A101,Datos!$C$2:$C$5000,$B101,Datos!$D$2:$D$5000,C$2)=0,"",SUMIFS(Datos!$E$2:$E$5000,Datos!$A$2:$A$5000,C$1,Datos!$B$2:$B$5000,$A101,Datos!$C$2:$C$5000,$B101,Datos!$D$2:$D$5000,C$2))</f>
        <v/>
      </c>
      <c r="D101" s="9">
        <f>IF(COUNTIFS(Datos!$A$2:$A$5000,D$1,Datos!$B$2:$B$5000,$A101,Datos!$C$2:$C$5000,$B101,Datos!$D$2:$D$5000,D$2)=0,"",SUMIFS(Datos!$E$2:$E$5000,Datos!$A$2:$A$5000,D$1,Datos!$B$2:$B$5000,$A101,Datos!$C$2:$C$5000,$B101,Datos!$D$2:$D$5000,D$2))</f>
        <v/>
      </c>
      <c r="E101" s="9">
        <f>IF(COUNTIFS(Datos!$A$2:$A$5000,E$1,Datos!$B$2:$B$5000,$A101,Datos!$C$2:$C$5000,$B101,Datos!$D$2:$D$5000,E$2)=0,"",SUMIFS(Datos!$E$2:$E$5000,Datos!$A$2:$A$5000,E$1,Datos!$B$2:$B$5000,$A101,Datos!$C$2:$C$5000,$B101,Datos!$D$2:$D$5000,E$2))</f>
        <v/>
      </c>
      <c r="F101" s="9">
        <f>IF(COUNTIFS(Datos!$A$2:$A$5000,F$1,Datos!$B$2:$B$5000,$A101,Datos!$C$2:$C$5000,$B101,Datos!$D$2:$D$5000,F$2)=0,"",SUMIFS(Datos!$E$2:$E$5000,Datos!$A$2:$A$5000,F$1,Datos!$B$2:$B$5000,$A101,Datos!$C$2:$C$5000,$B101,Datos!$D$2:$D$5000,F$2))</f>
        <v/>
      </c>
      <c r="G101" s="9">
        <f>IF(COUNTIFS(Datos!$A$2:$A$5000,G$1,Datos!$B$2:$B$5000,$A101,Datos!$C$2:$C$5000,$B101,Datos!$D$2:$D$5000,G$2)=0,"",SUMIFS(Datos!$E$2:$E$5000,Datos!$A$2:$A$5000,G$1,Datos!$B$2:$B$5000,$A101,Datos!$C$2:$C$5000,$B101,Datos!$D$2:$D$5000,G$2))</f>
        <v/>
      </c>
      <c r="H101" s="9">
        <f>IF(COUNTIFS(Datos!$A$2:$A$5000,H$1,Datos!$B$2:$B$5000,$A101,Datos!$C$2:$C$5000,$B101,Datos!$D$2:$D$5000,H$2)=0,"",SUMIFS(Datos!$E$2:$E$5000,Datos!$A$2:$A$5000,H$1,Datos!$B$2:$B$5000,$A101,Datos!$C$2:$C$5000,$B101,Datos!$D$2:$D$5000,H$2))</f>
        <v/>
      </c>
      <c r="I101" s="9">
        <f>IF(COUNTIFS(Datos!$A$2:$A$5000,I$1,Datos!$B$2:$B$5000,$A101,Datos!$C$2:$C$5000,$B101,Datos!$D$2:$D$5000,I$2)=0,"",SUMIFS(Datos!$E$2:$E$5000,Datos!$A$2:$A$5000,I$1,Datos!$B$2:$B$5000,$A101,Datos!$C$2:$C$5000,$B101,Datos!$D$2:$D$5000,I$2))</f>
        <v/>
      </c>
      <c r="J101" s="9">
        <f>IF(COUNTIFS(Datos!$A$2:$A$5000,J$1,Datos!$B$2:$B$5000,$A101,Datos!$C$2:$C$5000,$B101,Datos!$D$2:$D$5000,J$2)=0,"",SUMIFS(Datos!$E$2:$E$5000,Datos!$A$2:$A$5000,J$1,Datos!$B$2:$B$5000,$A101,Datos!$C$2:$C$5000,$B101,Datos!$D$2:$D$5000,J$2))</f>
        <v/>
      </c>
    </row>
    <row r="102">
      <c r="A102" s="8" t="inlineStr">
        <is>
          <t>Colombia</t>
        </is>
      </c>
      <c r="B102" s="8" t="n">
        <v>2011</v>
      </c>
      <c r="C102" s="9">
        <f>IF(COUNTIFS(Datos!$A$2:$A$5000,C$1,Datos!$B$2:$B$5000,$A102,Datos!$C$2:$C$5000,$B102,Datos!$D$2:$D$5000,C$2)=0,"",SUMIFS(Datos!$E$2:$E$5000,Datos!$A$2:$A$5000,C$1,Datos!$B$2:$B$5000,$A102,Datos!$C$2:$C$5000,$B102,Datos!$D$2:$D$5000,C$2))</f>
        <v/>
      </c>
      <c r="D102" s="9">
        <f>IF(COUNTIFS(Datos!$A$2:$A$5000,D$1,Datos!$B$2:$B$5000,$A102,Datos!$C$2:$C$5000,$B102,Datos!$D$2:$D$5000,D$2)=0,"",SUMIFS(Datos!$E$2:$E$5000,Datos!$A$2:$A$5000,D$1,Datos!$B$2:$B$5000,$A102,Datos!$C$2:$C$5000,$B102,Datos!$D$2:$D$5000,D$2))</f>
        <v/>
      </c>
      <c r="E102" s="9">
        <f>IF(COUNTIFS(Datos!$A$2:$A$5000,E$1,Datos!$B$2:$B$5000,$A102,Datos!$C$2:$C$5000,$B102,Datos!$D$2:$D$5000,E$2)=0,"",SUMIFS(Datos!$E$2:$E$5000,Datos!$A$2:$A$5000,E$1,Datos!$B$2:$B$5000,$A102,Datos!$C$2:$C$5000,$B102,Datos!$D$2:$D$5000,E$2))</f>
        <v/>
      </c>
      <c r="F102" s="9">
        <f>IF(COUNTIFS(Datos!$A$2:$A$5000,F$1,Datos!$B$2:$B$5000,$A102,Datos!$C$2:$C$5000,$B102,Datos!$D$2:$D$5000,F$2)=0,"",SUMIFS(Datos!$E$2:$E$5000,Datos!$A$2:$A$5000,F$1,Datos!$B$2:$B$5000,$A102,Datos!$C$2:$C$5000,$B102,Datos!$D$2:$D$5000,F$2))</f>
        <v/>
      </c>
      <c r="G102" s="9">
        <f>IF(COUNTIFS(Datos!$A$2:$A$5000,G$1,Datos!$B$2:$B$5000,$A102,Datos!$C$2:$C$5000,$B102,Datos!$D$2:$D$5000,G$2)=0,"",SUMIFS(Datos!$E$2:$E$5000,Datos!$A$2:$A$5000,G$1,Datos!$B$2:$B$5000,$A102,Datos!$C$2:$C$5000,$B102,Datos!$D$2:$D$5000,G$2))</f>
        <v/>
      </c>
      <c r="H102" s="9">
        <f>IF(COUNTIFS(Datos!$A$2:$A$5000,H$1,Datos!$B$2:$B$5000,$A102,Datos!$C$2:$C$5000,$B102,Datos!$D$2:$D$5000,H$2)=0,"",SUMIFS(Datos!$E$2:$E$5000,Datos!$A$2:$A$5000,H$1,Datos!$B$2:$B$5000,$A102,Datos!$C$2:$C$5000,$B102,Datos!$D$2:$D$5000,H$2))</f>
        <v/>
      </c>
      <c r="I102" s="9">
        <f>IF(COUNTIFS(Datos!$A$2:$A$5000,I$1,Datos!$B$2:$B$5000,$A102,Datos!$C$2:$C$5000,$B102,Datos!$D$2:$D$5000,I$2)=0,"",SUMIFS(Datos!$E$2:$E$5000,Datos!$A$2:$A$5000,I$1,Datos!$B$2:$B$5000,$A102,Datos!$C$2:$C$5000,$B102,Datos!$D$2:$D$5000,I$2))</f>
        <v/>
      </c>
      <c r="J102" s="9">
        <f>IF(COUNTIFS(Datos!$A$2:$A$5000,J$1,Datos!$B$2:$B$5000,$A102,Datos!$C$2:$C$5000,$B102,Datos!$D$2:$D$5000,J$2)=0,"",SUMIFS(Datos!$E$2:$E$5000,Datos!$A$2:$A$5000,J$1,Datos!$B$2:$B$5000,$A102,Datos!$C$2:$C$5000,$B102,Datos!$D$2:$D$5000,J$2))</f>
        <v/>
      </c>
    </row>
    <row r="103">
      <c r="A103" s="8" t="inlineStr">
        <is>
          <t>Colombia</t>
        </is>
      </c>
      <c r="B103" s="8" t="n">
        <v>2016</v>
      </c>
      <c r="C103" s="9">
        <f>IF(COUNTIFS(Datos!$A$2:$A$5000,C$1,Datos!$B$2:$B$5000,$A103,Datos!$C$2:$C$5000,$B103,Datos!$D$2:$D$5000,C$2)=0,"",SUMIFS(Datos!$E$2:$E$5000,Datos!$A$2:$A$5000,C$1,Datos!$B$2:$B$5000,$A103,Datos!$C$2:$C$5000,$B103,Datos!$D$2:$D$5000,C$2))</f>
        <v/>
      </c>
      <c r="D103" s="9">
        <f>IF(COUNTIFS(Datos!$A$2:$A$5000,D$1,Datos!$B$2:$B$5000,$A103,Datos!$C$2:$C$5000,$B103,Datos!$D$2:$D$5000,D$2)=0,"",SUMIFS(Datos!$E$2:$E$5000,Datos!$A$2:$A$5000,D$1,Datos!$B$2:$B$5000,$A103,Datos!$C$2:$C$5000,$B103,Datos!$D$2:$D$5000,D$2))</f>
        <v/>
      </c>
      <c r="E103" s="9">
        <f>IF(COUNTIFS(Datos!$A$2:$A$5000,E$1,Datos!$B$2:$B$5000,$A103,Datos!$C$2:$C$5000,$B103,Datos!$D$2:$D$5000,E$2)=0,"",SUMIFS(Datos!$E$2:$E$5000,Datos!$A$2:$A$5000,E$1,Datos!$B$2:$B$5000,$A103,Datos!$C$2:$C$5000,$B103,Datos!$D$2:$D$5000,E$2))</f>
        <v/>
      </c>
      <c r="F103" s="9">
        <f>IF(COUNTIFS(Datos!$A$2:$A$5000,F$1,Datos!$B$2:$B$5000,$A103,Datos!$C$2:$C$5000,$B103,Datos!$D$2:$D$5000,F$2)=0,"",SUMIFS(Datos!$E$2:$E$5000,Datos!$A$2:$A$5000,F$1,Datos!$B$2:$B$5000,$A103,Datos!$C$2:$C$5000,$B103,Datos!$D$2:$D$5000,F$2))</f>
        <v/>
      </c>
      <c r="G103" s="9">
        <f>IF(COUNTIFS(Datos!$A$2:$A$5000,G$1,Datos!$B$2:$B$5000,$A103,Datos!$C$2:$C$5000,$B103,Datos!$D$2:$D$5000,G$2)=0,"",SUMIFS(Datos!$E$2:$E$5000,Datos!$A$2:$A$5000,G$1,Datos!$B$2:$B$5000,$A103,Datos!$C$2:$C$5000,$B103,Datos!$D$2:$D$5000,G$2))</f>
        <v/>
      </c>
      <c r="H103" s="9">
        <f>IF(COUNTIFS(Datos!$A$2:$A$5000,H$1,Datos!$B$2:$B$5000,$A103,Datos!$C$2:$C$5000,$B103,Datos!$D$2:$D$5000,H$2)=0,"",SUMIFS(Datos!$E$2:$E$5000,Datos!$A$2:$A$5000,H$1,Datos!$B$2:$B$5000,$A103,Datos!$C$2:$C$5000,$B103,Datos!$D$2:$D$5000,H$2))</f>
        <v/>
      </c>
      <c r="I103" s="9">
        <f>IF(COUNTIFS(Datos!$A$2:$A$5000,I$1,Datos!$B$2:$B$5000,$A103,Datos!$C$2:$C$5000,$B103,Datos!$D$2:$D$5000,I$2)=0,"",SUMIFS(Datos!$E$2:$E$5000,Datos!$A$2:$A$5000,I$1,Datos!$B$2:$B$5000,$A103,Datos!$C$2:$C$5000,$B103,Datos!$D$2:$D$5000,I$2))</f>
        <v/>
      </c>
      <c r="J103" s="9">
        <f>IF(COUNTIFS(Datos!$A$2:$A$5000,J$1,Datos!$B$2:$B$5000,$A103,Datos!$C$2:$C$5000,$B103,Datos!$D$2:$D$5000,J$2)=0,"",SUMIFS(Datos!$E$2:$E$5000,Datos!$A$2:$A$5000,J$1,Datos!$B$2:$B$5000,$A103,Datos!$C$2:$C$5000,$B103,Datos!$D$2:$D$5000,J$2))</f>
        <v/>
      </c>
    </row>
    <row r="104">
      <c r="A104" s="8" t="inlineStr">
        <is>
          <t>Colombia</t>
        </is>
      </c>
      <c r="B104" s="8" t="n">
        <v>2017</v>
      </c>
      <c r="C104" s="9">
        <f>IF(COUNTIFS(Datos!$A$2:$A$5000,C$1,Datos!$B$2:$B$5000,$A104,Datos!$C$2:$C$5000,$B104,Datos!$D$2:$D$5000,C$2)=0,"",SUMIFS(Datos!$E$2:$E$5000,Datos!$A$2:$A$5000,C$1,Datos!$B$2:$B$5000,$A104,Datos!$C$2:$C$5000,$B104,Datos!$D$2:$D$5000,C$2))</f>
        <v/>
      </c>
      <c r="D104" s="9">
        <f>IF(COUNTIFS(Datos!$A$2:$A$5000,D$1,Datos!$B$2:$B$5000,$A104,Datos!$C$2:$C$5000,$B104,Datos!$D$2:$D$5000,D$2)=0,"",SUMIFS(Datos!$E$2:$E$5000,Datos!$A$2:$A$5000,D$1,Datos!$B$2:$B$5000,$A104,Datos!$C$2:$C$5000,$B104,Datos!$D$2:$D$5000,D$2))</f>
        <v/>
      </c>
      <c r="E104" s="9">
        <f>IF(COUNTIFS(Datos!$A$2:$A$5000,E$1,Datos!$B$2:$B$5000,$A104,Datos!$C$2:$C$5000,$B104,Datos!$D$2:$D$5000,E$2)=0,"",SUMIFS(Datos!$E$2:$E$5000,Datos!$A$2:$A$5000,E$1,Datos!$B$2:$B$5000,$A104,Datos!$C$2:$C$5000,$B104,Datos!$D$2:$D$5000,E$2))</f>
        <v/>
      </c>
      <c r="F104" s="9">
        <f>IF(COUNTIFS(Datos!$A$2:$A$5000,F$1,Datos!$B$2:$B$5000,$A104,Datos!$C$2:$C$5000,$B104,Datos!$D$2:$D$5000,F$2)=0,"",SUMIFS(Datos!$E$2:$E$5000,Datos!$A$2:$A$5000,F$1,Datos!$B$2:$B$5000,$A104,Datos!$C$2:$C$5000,$B104,Datos!$D$2:$D$5000,F$2))</f>
        <v/>
      </c>
      <c r="G104" s="9">
        <f>IF(COUNTIFS(Datos!$A$2:$A$5000,G$1,Datos!$B$2:$B$5000,$A104,Datos!$C$2:$C$5000,$B104,Datos!$D$2:$D$5000,G$2)=0,"",SUMIFS(Datos!$E$2:$E$5000,Datos!$A$2:$A$5000,G$1,Datos!$B$2:$B$5000,$A104,Datos!$C$2:$C$5000,$B104,Datos!$D$2:$D$5000,G$2))</f>
        <v/>
      </c>
      <c r="H104" s="9">
        <f>IF(COUNTIFS(Datos!$A$2:$A$5000,H$1,Datos!$B$2:$B$5000,$A104,Datos!$C$2:$C$5000,$B104,Datos!$D$2:$D$5000,H$2)=0,"",SUMIFS(Datos!$E$2:$E$5000,Datos!$A$2:$A$5000,H$1,Datos!$B$2:$B$5000,$A104,Datos!$C$2:$C$5000,$B104,Datos!$D$2:$D$5000,H$2))</f>
        <v/>
      </c>
      <c r="I104" s="9">
        <f>IF(COUNTIFS(Datos!$A$2:$A$5000,I$1,Datos!$B$2:$B$5000,$A104,Datos!$C$2:$C$5000,$B104,Datos!$D$2:$D$5000,I$2)=0,"",SUMIFS(Datos!$E$2:$E$5000,Datos!$A$2:$A$5000,I$1,Datos!$B$2:$B$5000,$A104,Datos!$C$2:$C$5000,$B104,Datos!$D$2:$D$5000,I$2))</f>
        <v/>
      </c>
      <c r="J104" s="9">
        <f>IF(COUNTIFS(Datos!$A$2:$A$5000,J$1,Datos!$B$2:$B$5000,$A104,Datos!$C$2:$C$5000,$B104,Datos!$D$2:$D$5000,J$2)=0,"",SUMIFS(Datos!$E$2:$E$5000,Datos!$A$2:$A$5000,J$1,Datos!$B$2:$B$5000,$A104,Datos!$C$2:$C$5000,$B104,Datos!$D$2:$D$5000,J$2))</f>
        <v/>
      </c>
    </row>
    <row r="105">
      <c r="A105" s="8" t="inlineStr">
        <is>
          <t>Colombia</t>
        </is>
      </c>
      <c r="B105" s="8" t="n">
        <v>2018</v>
      </c>
      <c r="C105" s="9">
        <f>IF(COUNTIFS(Datos!$A$2:$A$5000,C$1,Datos!$B$2:$B$5000,$A105,Datos!$C$2:$C$5000,$B105,Datos!$D$2:$D$5000,C$2)=0,"",SUMIFS(Datos!$E$2:$E$5000,Datos!$A$2:$A$5000,C$1,Datos!$B$2:$B$5000,$A105,Datos!$C$2:$C$5000,$B105,Datos!$D$2:$D$5000,C$2))</f>
        <v/>
      </c>
      <c r="D105" s="9">
        <f>IF(COUNTIFS(Datos!$A$2:$A$5000,D$1,Datos!$B$2:$B$5000,$A105,Datos!$C$2:$C$5000,$B105,Datos!$D$2:$D$5000,D$2)=0,"",SUMIFS(Datos!$E$2:$E$5000,Datos!$A$2:$A$5000,D$1,Datos!$B$2:$B$5000,$A105,Datos!$C$2:$C$5000,$B105,Datos!$D$2:$D$5000,D$2))</f>
        <v/>
      </c>
      <c r="E105" s="9">
        <f>IF(COUNTIFS(Datos!$A$2:$A$5000,E$1,Datos!$B$2:$B$5000,$A105,Datos!$C$2:$C$5000,$B105,Datos!$D$2:$D$5000,E$2)=0,"",SUMIFS(Datos!$E$2:$E$5000,Datos!$A$2:$A$5000,E$1,Datos!$B$2:$B$5000,$A105,Datos!$C$2:$C$5000,$B105,Datos!$D$2:$D$5000,E$2))</f>
        <v/>
      </c>
      <c r="F105" s="9">
        <f>IF(COUNTIFS(Datos!$A$2:$A$5000,F$1,Datos!$B$2:$B$5000,$A105,Datos!$C$2:$C$5000,$B105,Datos!$D$2:$D$5000,F$2)=0,"",SUMIFS(Datos!$E$2:$E$5000,Datos!$A$2:$A$5000,F$1,Datos!$B$2:$B$5000,$A105,Datos!$C$2:$C$5000,$B105,Datos!$D$2:$D$5000,F$2))</f>
        <v/>
      </c>
      <c r="G105" s="9">
        <f>IF(COUNTIFS(Datos!$A$2:$A$5000,G$1,Datos!$B$2:$B$5000,$A105,Datos!$C$2:$C$5000,$B105,Datos!$D$2:$D$5000,G$2)=0,"",SUMIFS(Datos!$E$2:$E$5000,Datos!$A$2:$A$5000,G$1,Datos!$B$2:$B$5000,$A105,Datos!$C$2:$C$5000,$B105,Datos!$D$2:$D$5000,G$2))</f>
        <v/>
      </c>
      <c r="H105" s="9">
        <f>IF(COUNTIFS(Datos!$A$2:$A$5000,H$1,Datos!$B$2:$B$5000,$A105,Datos!$C$2:$C$5000,$B105,Datos!$D$2:$D$5000,H$2)=0,"",SUMIFS(Datos!$E$2:$E$5000,Datos!$A$2:$A$5000,H$1,Datos!$B$2:$B$5000,$A105,Datos!$C$2:$C$5000,$B105,Datos!$D$2:$D$5000,H$2))</f>
        <v/>
      </c>
      <c r="I105" s="9">
        <f>IF(COUNTIFS(Datos!$A$2:$A$5000,I$1,Datos!$B$2:$B$5000,$A105,Datos!$C$2:$C$5000,$B105,Datos!$D$2:$D$5000,I$2)=0,"",SUMIFS(Datos!$E$2:$E$5000,Datos!$A$2:$A$5000,I$1,Datos!$B$2:$B$5000,$A105,Datos!$C$2:$C$5000,$B105,Datos!$D$2:$D$5000,I$2))</f>
        <v/>
      </c>
      <c r="J105" s="9">
        <f>IF(COUNTIFS(Datos!$A$2:$A$5000,J$1,Datos!$B$2:$B$5000,$A105,Datos!$C$2:$C$5000,$B105,Datos!$D$2:$D$5000,J$2)=0,"",SUMIFS(Datos!$E$2:$E$5000,Datos!$A$2:$A$5000,J$1,Datos!$B$2:$B$5000,$A105,Datos!$C$2:$C$5000,$B105,Datos!$D$2:$D$5000,J$2))</f>
        <v/>
      </c>
    </row>
    <row r="106">
      <c r="A106" s="8" t="inlineStr">
        <is>
          <t>Colombia</t>
        </is>
      </c>
      <c r="B106" s="8" t="n">
        <v>2020</v>
      </c>
      <c r="C106" s="9">
        <f>IF(COUNTIFS(Datos!$A$2:$A$5000,C$1,Datos!$B$2:$B$5000,$A106,Datos!$C$2:$C$5000,$B106,Datos!$D$2:$D$5000,C$2)=0,"",SUMIFS(Datos!$E$2:$E$5000,Datos!$A$2:$A$5000,C$1,Datos!$B$2:$B$5000,$A106,Datos!$C$2:$C$5000,$B106,Datos!$D$2:$D$5000,C$2))</f>
        <v/>
      </c>
      <c r="D106" s="9">
        <f>IF(COUNTIFS(Datos!$A$2:$A$5000,D$1,Datos!$B$2:$B$5000,$A106,Datos!$C$2:$C$5000,$B106,Datos!$D$2:$D$5000,D$2)=0,"",SUMIFS(Datos!$E$2:$E$5000,Datos!$A$2:$A$5000,D$1,Datos!$B$2:$B$5000,$A106,Datos!$C$2:$C$5000,$B106,Datos!$D$2:$D$5000,D$2))</f>
        <v/>
      </c>
      <c r="E106" s="9">
        <f>IF(COUNTIFS(Datos!$A$2:$A$5000,E$1,Datos!$B$2:$B$5000,$A106,Datos!$C$2:$C$5000,$B106,Datos!$D$2:$D$5000,E$2)=0,"",SUMIFS(Datos!$E$2:$E$5000,Datos!$A$2:$A$5000,E$1,Datos!$B$2:$B$5000,$A106,Datos!$C$2:$C$5000,$B106,Datos!$D$2:$D$5000,E$2))</f>
        <v/>
      </c>
      <c r="F106" s="9">
        <f>IF(COUNTIFS(Datos!$A$2:$A$5000,F$1,Datos!$B$2:$B$5000,$A106,Datos!$C$2:$C$5000,$B106,Datos!$D$2:$D$5000,F$2)=0,"",SUMIFS(Datos!$E$2:$E$5000,Datos!$A$2:$A$5000,F$1,Datos!$B$2:$B$5000,$A106,Datos!$C$2:$C$5000,$B106,Datos!$D$2:$D$5000,F$2))</f>
        <v/>
      </c>
      <c r="G106" s="9">
        <f>IF(COUNTIFS(Datos!$A$2:$A$5000,G$1,Datos!$B$2:$B$5000,$A106,Datos!$C$2:$C$5000,$B106,Datos!$D$2:$D$5000,G$2)=0,"",SUMIFS(Datos!$E$2:$E$5000,Datos!$A$2:$A$5000,G$1,Datos!$B$2:$B$5000,$A106,Datos!$C$2:$C$5000,$B106,Datos!$D$2:$D$5000,G$2))</f>
        <v/>
      </c>
      <c r="H106" s="9">
        <f>IF(COUNTIFS(Datos!$A$2:$A$5000,H$1,Datos!$B$2:$B$5000,$A106,Datos!$C$2:$C$5000,$B106,Datos!$D$2:$D$5000,H$2)=0,"",SUMIFS(Datos!$E$2:$E$5000,Datos!$A$2:$A$5000,H$1,Datos!$B$2:$B$5000,$A106,Datos!$C$2:$C$5000,$B106,Datos!$D$2:$D$5000,H$2))</f>
        <v/>
      </c>
      <c r="I106" s="9">
        <f>IF(COUNTIFS(Datos!$A$2:$A$5000,I$1,Datos!$B$2:$B$5000,$A106,Datos!$C$2:$C$5000,$B106,Datos!$D$2:$D$5000,I$2)=0,"",SUMIFS(Datos!$E$2:$E$5000,Datos!$A$2:$A$5000,I$1,Datos!$B$2:$B$5000,$A106,Datos!$C$2:$C$5000,$B106,Datos!$D$2:$D$5000,I$2))</f>
        <v/>
      </c>
      <c r="J106" s="9">
        <f>IF(COUNTIFS(Datos!$A$2:$A$5000,J$1,Datos!$B$2:$B$5000,$A106,Datos!$C$2:$C$5000,$B106,Datos!$D$2:$D$5000,J$2)=0,"",SUMIFS(Datos!$E$2:$E$5000,Datos!$A$2:$A$5000,J$1,Datos!$B$2:$B$5000,$A106,Datos!$C$2:$C$5000,$B106,Datos!$D$2:$D$5000,J$2))</f>
        <v/>
      </c>
    </row>
    <row r="107">
      <c r="A107" s="8" t="inlineStr">
        <is>
          <t>Colombia</t>
        </is>
      </c>
      <c r="B107" s="8" t="n">
        <v>2024</v>
      </c>
      <c r="C107" s="9">
        <f>IF(COUNTIFS(Datos!$A$2:$A$5000,C$1,Datos!$B$2:$B$5000,$A107,Datos!$C$2:$C$5000,$B107,Datos!$D$2:$D$5000,C$2)=0,"",SUMIFS(Datos!$E$2:$E$5000,Datos!$A$2:$A$5000,C$1,Datos!$B$2:$B$5000,$A107,Datos!$C$2:$C$5000,$B107,Datos!$D$2:$D$5000,C$2))</f>
        <v/>
      </c>
      <c r="D107" s="9">
        <f>IF(COUNTIFS(Datos!$A$2:$A$5000,D$1,Datos!$B$2:$B$5000,$A107,Datos!$C$2:$C$5000,$B107,Datos!$D$2:$D$5000,D$2)=0,"",SUMIFS(Datos!$E$2:$E$5000,Datos!$A$2:$A$5000,D$1,Datos!$B$2:$B$5000,$A107,Datos!$C$2:$C$5000,$B107,Datos!$D$2:$D$5000,D$2))</f>
        <v/>
      </c>
      <c r="E107" s="9">
        <f>IF(COUNTIFS(Datos!$A$2:$A$5000,E$1,Datos!$B$2:$B$5000,$A107,Datos!$C$2:$C$5000,$B107,Datos!$D$2:$D$5000,E$2)=0,"",SUMIFS(Datos!$E$2:$E$5000,Datos!$A$2:$A$5000,E$1,Datos!$B$2:$B$5000,$A107,Datos!$C$2:$C$5000,$B107,Datos!$D$2:$D$5000,E$2))</f>
        <v/>
      </c>
      <c r="F107" s="9">
        <f>IF(COUNTIFS(Datos!$A$2:$A$5000,F$1,Datos!$B$2:$B$5000,$A107,Datos!$C$2:$C$5000,$B107,Datos!$D$2:$D$5000,F$2)=0,"",SUMIFS(Datos!$E$2:$E$5000,Datos!$A$2:$A$5000,F$1,Datos!$B$2:$B$5000,$A107,Datos!$C$2:$C$5000,$B107,Datos!$D$2:$D$5000,F$2))</f>
        <v/>
      </c>
      <c r="G107" s="9">
        <f>IF(COUNTIFS(Datos!$A$2:$A$5000,G$1,Datos!$B$2:$B$5000,$A107,Datos!$C$2:$C$5000,$B107,Datos!$D$2:$D$5000,G$2)=0,"",SUMIFS(Datos!$E$2:$E$5000,Datos!$A$2:$A$5000,G$1,Datos!$B$2:$B$5000,$A107,Datos!$C$2:$C$5000,$B107,Datos!$D$2:$D$5000,G$2))</f>
        <v/>
      </c>
      <c r="H107" s="9">
        <f>IF(COUNTIFS(Datos!$A$2:$A$5000,H$1,Datos!$B$2:$B$5000,$A107,Datos!$C$2:$C$5000,$B107,Datos!$D$2:$D$5000,H$2)=0,"",SUMIFS(Datos!$E$2:$E$5000,Datos!$A$2:$A$5000,H$1,Datos!$B$2:$B$5000,$A107,Datos!$C$2:$C$5000,$B107,Datos!$D$2:$D$5000,H$2))</f>
        <v/>
      </c>
      <c r="I107" s="9">
        <f>IF(COUNTIFS(Datos!$A$2:$A$5000,I$1,Datos!$B$2:$B$5000,$A107,Datos!$C$2:$C$5000,$B107,Datos!$D$2:$D$5000,I$2)=0,"",SUMIFS(Datos!$E$2:$E$5000,Datos!$A$2:$A$5000,I$1,Datos!$B$2:$B$5000,$A107,Datos!$C$2:$C$5000,$B107,Datos!$D$2:$D$5000,I$2))</f>
        <v/>
      </c>
      <c r="J107" s="9">
        <f>IF(COUNTIFS(Datos!$A$2:$A$5000,J$1,Datos!$B$2:$B$5000,$A107,Datos!$C$2:$C$5000,$B107,Datos!$D$2:$D$5000,J$2)=0,"",SUMIFS(Datos!$E$2:$E$5000,Datos!$A$2:$A$5000,J$1,Datos!$B$2:$B$5000,$A107,Datos!$C$2:$C$5000,$B107,Datos!$D$2:$D$5000,J$2))</f>
        <v/>
      </c>
    </row>
    <row r="108">
      <c r="A108" s="8" t="inlineStr">
        <is>
          <t>Costa Rica</t>
        </is>
      </c>
      <c r="B108" s="8" t="n">
        <v>1996</v>
      </c>
      <c r="C108" s="9">
        <f>IF(COUNTIFS(Datos!$A$2:$A$5000,C$1,Datos!$B$2:$B$5000,$A108,Datos!$C$2:$C$5000,$B108,Datos!$D$2:$D$5000,C$2)=0,"",SUMIFS(Datos!$E$2:$E$5000,Datos!$A$2:$A$5000,C$1,Datos!$B$2:$B$5000,$A108,Datos!$C$2:$C$5000,$B108,Datos!$D$2:$D$5000,C$2))</f>
        <v/>
      </c>
      <c r="D108" s="9">
        <f>IF(COUNTIFS(Datos!$A$2:$A$5000,D$1,Datos!$B$2:$B$5000,$A108,Datos!$C$2:$C$5000,$B108,Datos!$D$2:$D$5000,D$2)=0,"",SUMIFS(Datos!$E$2:$E$5000,Datos!$A$2:$A$5000,D$1,Datos!$B$2:$B$5000,$A108,Datos!$C$2:$C$5000,$B108,Datos!$D$2:$D$5000,D$2))</f>
        <v/>
      </c>
      <c r="E108" s="9">
        <f>IF(COUNTIFS(Datos!$A$2:$A$5000,E$1,Datos!$B$2:$B$5000,$A108,Datos!$C$2:$C$5000,$B108,Datos!$D$2:$D$5000,E$2)=0,"",SUMIFS(Datos!$E$2:$E$5000,Datos!$A$2:$A$5000,E$1,Datos!$B$2:$B$5000,$A108,Datos!$C$2:$C$5000,$B108,Datos!$D$2:$D$5000,E$2))</f>
        <v/>
      </c>
      <c r="F108" s="9">
        <f>IF(COUNTIFS(Datos!$A$2:$A$5000,F$1,Datos!$B$2:$B$5000,$A108,Datos!$C$2:$C$5000,$B108,Datos!$D$2:$D$5000,F$2)=0,"",SUMIFS(Datos!$E$2:$E$5000,Datos!$A$2:$A$5000,F$1,Datos!$B$2:$B$5000,$A108,Datos!$C$2:$C$5000,$B108,Datos!$D$2:$D$5000,F$2))</f>
        <v/>
      </c>
      <c r="G108" s="9">
        <f>IF(COUNTIFS(Datos!$A$2:$A$5000,G$1,Datos!$B$2:$B$5000,$A108,Datos!$C$2:$C$5000,$B108,Datos!$D$2:$D$5000,G$2)=0,"",SUMIFS(Datos!$E$2:$E$5000,Datos!$A$2:$A$5000,G$1,Datos!$B$2:$B$5000,$A108,Datos!$C$2:$C$5000,$B108,Datos!$D$2:$D$5000,G$2))</f>
        <v/>
      </c>
      <c r="H108" s="9">
        <f>IF(COUNTIFS(Datos!$A$2:$A$5000,H$1,Datos!$B$2:$B$5000,$A108,Datos!$C$2:$C$5000,$B108,Datos!$D$2:$D$5000,H$2)=0,"",SUMIFS(Datos!$E$2:$E$5000,Datos!$A$2:$A$5000,H$1,Datos!$B$2:$B$5000,$A108,Datos!$C$2:$C$5000,$B108,Datos!$D$2:$D$5000,H$2))</f>
        <v/>
      </c>
      <c r="I108" s="9">
        <f>IF(COUNTIFS(Datos!$A$2:$A$5000,I$1,Datos!$B$2:$B$5000,$A108,Datos!$C$2:$C$5000,$B108,Datos!$D$2:$D$5000,I$2)=0,"",SUMIFS(Datos!$E$2:$E$5000,Datos!$A$2:$A$5000,I$1,Datos!$B$2:$B$5000,$A108,Datos!$C$2:$C$5000,$B108,Datos!$D$2:$D$5000,I$2))</f>
        <v/>
      </c>
      <c r="J108" s="9">
        <f>IF(COUNTIFS(Datos!$A$2:$A$5000,J$1,Datos!$B$2:$B$5000,$A108,Datos!$C$2:$C$5000,$B108,Datos!$D$2:$D$5000,J$2)=0,"",SUMIFS(Datos!$E$2:$E$5000,Datos!$A$2:$A$5000,J$1,Datos!$B$2:$B$5000,$A108,Datos!$C$2:$C$5000,$B108,Datos!$D$2:$D$5000,J$2))</f>
        <v/>
      </c>
    </row>
    <row r="109">
      <c r="A109" s="8" t="inlineStr">
        <is>
          <t>Costa Rica</t>
        </is>
      </c>
      <c r="B109" s="8" t="n">
        <v>1997</v>
      </c>
      <c r="C109" s="9">
        <f>IF(COUNTIFS(Datos!$A$2:$A$5000,C$1,Datos!$B$2:$B$5000,$A109,Datos!$C$2:$C$5000,$B109,Datos!$D$2:$D$5000,C$2)=0,"",SUMIFS(Datos!$E$2:$E$5000,Datos!$A$2:$A$5000,C$1,Datos!$B$2:$B$5000,$A109,Datos!$C$2:$C$5000,$B109,Datos!$D$2:$D$5000,C$2))</f>
        <v/>
      </c>
      <c r="D109" s="9">
        <f>IF(COUNTIFS(Datos!$A$2:$A$5000,D$1,Datos!$B$2:$B$5000,$A109,Datos!$C$2:$C$5000,$B109,Datos!$D$2:$D$5000,D$2)=0,"",SUMIFS(Datos!$E$2:$E$5000,Datos!$A$2:$A$5000,D$1,Datos!$B$2:$B$5000,$A109,Datos!$C$2:$C$5000,$B109,Datos!$D$2:$D$5000,D$2))</f>
        <v/>
      </c>
      <c r="E109" s="9">
        <f>IF(COUNTIFS(Datos!$A$2:$A$5000,E$1,Datos!$B$2:$B$5000,$A109,Datos!$C$2:$C$5000,$B109,Datos!$D$2:$D$5000,E$2)=0,"",SUMIFS(Datos!$E$2:$E$5000,Datos!$A$2:$A$5000,E$1,Datos!$B$2:$B$5000,$A109,Datos!$C$2:$C$5000,$B109,Datos!$D$2:$D$5000,E$2))</f>
        <v/>
      </c>
      <c r="F109" s="9">
        <f>IF(COUNTIFS(Datos!$A$2:$A$5000,F$1,Datos!$B$2:$B$5000,$A109,Datos!$C$2:$C$5000,$B109,Datos!$D$2:$D$5000,F$2)=0,"",SUMIFS(Datos!$E$2:$E$5000,Datos!$A$2:$A$5000,F$1,Datos!$B$2:$B$5000,$A109,Datos!$C$2:$C$5000,$B109,Datos!$D$2:$D$5000,F$2))</f>
        <v/>
      </c>
      <c r="G109" s="9">
        <f>IF(COUNTIFS(Datos!$A$2:$A$5000,G$1,Datos!$B$2:$B$5000,$A109,Datos!$C$2:$C$5000,$B109,Datos!$D$2:$D$5000,G$2)=0,"",SUMIFS(Datos!$E$2:$E$5000,Datos!$A$2:$A$5000,G$1,Datos!$B$2:$B$5000,$A109,Datos!$C$2:$C$5000,$B109,Datos!$D$2:$D$5000,G$2))</f>
        <v/>
      </c>
      <c r="H109" s="9">
        <f>IF(COUNTIFS(Datos!$A$2:$A$5000,H$1,Datos!$B$2:$B$5000,$A109,Datos!$C$2:$C$5000,$B109,Datos!$D$2:$D$5000,H$2)=0,"",SUMIFS(Datos!$E$2:$E$5000,Datos!$A$2:$A$5000,H$1,Datos!$B$2:$B$5000,$A109,Datos!$C$2:$C$5000,$B109,Datos!$D$2:$D$5000,H$2))</f>
        <v/>
      </c>
      <c r="I109" s="9">
        <f>IF(COUNTIFS(Datos!$A$2:$A$5000,I$1,Datos!$B$2:$B$5000,$A109,Datos!$C$2:$C$5000,$B109,Datos!$D$2:$D$5000,I$2)=0,"",SUMIFS(Datos!$E$2:$E$5000,Datos!$A$2:$A$5000,I$1,Datos!$B$2:$B$5000,$A109,Datos!$C$2:$C$5000,$B109,Datos!$D$2:$D$5000,I$2))</f>
        <v/>
      </c>
      <c r="J109" s="9">
        <f>IF(COUNTIFS(Datos!$A$2:$A$5000,J$1,Datos!$B$2:$B$5000,$A109,Datos!$C$2:$C$5000,$B109,Datos!$D$2:$D$5000,J$2)=0,"",SUMIFS(Datos!$E$2:$E$5000,Datos!$A$2:$A$5000,J$1,Datos!$B$2:$B$5000,$A109,Datos!$C$2:$C$5000,$B109,Datos!$D$2:$D$5000,J$2))</f>
        <v/>
      </c>
    </row>
    <row r="110">
      <c r="A110" s="8" t="inlineStr">
        <is>
          <t>Costa Rica</t>
        </is>
      </c>
      <c r="B110" s="8" t="n">
        <v>1998</v>
      </c>
      <c r="C110" s="9">
        <f>IF(COUNTIFS(Datos!$A$2:$A$5000,C$1,Datos!$B$2:$B$5000,$A110,Datos!$C$2:$C$5000,$B110,Datos!$D$2:$D$5000,C$2)=0,"",SUMIFS(Datos!$E$2:$E$5000,Datos!$A$2:$A$5000,C$1,Datos!$B$2:$B$5000,$A110,Datos!$C$2:$C$5000,$B110,Datos!$D$2:$D$5000,C$2))</f>
        <v/>
      </c>
      <c r="D110" s="9">
        <f>IF(COUNTIFS(Datos!$A$2:$A$5000,D$1,Datos!$B$2:$B$5000,$A110,Datos!$C$2:$C$5000,$B110,Datos!$D$2:$D$5000,D$2)=0,"",SUMIFS(Datos!$E$2:$E$5000,Datos!$A$2:$A$5000,D$1,Datos!$B$2:$B$5000,$A110,Datos!$C$2:$C$5000,$B110,Datos!$D$2:$D$5000,D$2))</f>
        <v/>
      </c>
      <c r="E110" s="9">
        <f>IF(COUNTIFS(Datos!$A$2:$A$5000,E$1,Datos!$B$2:$B$5000,$A110,Datos!$C$2:$C$5000,$B110,Datos!$D$2:$D$5000,E$2)=0,"",SUMIFS(Datos!$E$2:$E$5000,Datos!$A$2:$A$5000,E$1,Datos!$B$2:$B$5000,$A110,Datos!$C$2:$C$5000,$B110,Datos!$D$2:$D$5000,E$2))</f>
        <v/>
      </c>
      <c r="F110" s="9">
        <f>IF(COUNTIFS(Datos!$A$2:$A$5000,F$1,Datos!$B$2:$B$5000,$A110,Datos!$C$2:$C$5000,$B110,Datos!$D$2:$D$5000,F$2)=0,"",SUMIFS(Datos!$E$2:$E$5000,Datos!$A$2:$A$5000,F$1,Datos!$B$2:$B$5000,$A110,Datos!$C$2:$C$5000,$B110,Datos!$D$2:$D$5000,F$2))</f>
        <v/>
      </c>
      <c r="G110" s="9">
        <f>IF(COUNTIFS(Datos!$A$2:$A$5000,G$1,Datos!$B$2:$B$5000,$A110,Datos!$C$2:$C$5000,$B110,Datos!$D$2:$D$5000,G$2)=0,"",SUMIFS(Datos!$E$2:$E$5000,Datos!$A$2:$A$5000,G$1,Datos!$B$2:$B$5000,$A110,Datos!$C$2:$C$5000,$B110,Datos!$D$2:$D$5000,G$2))</f>
        <v/>
      </c>
      <c r="H110" s="9">
        <f>IF(COUNTIFS(Datos!$A$2:$A$5000,H$1,Datos!$B$2:$B$5000,$A110,Datos!$C$2:$C$5000,$B110,Datos!$D$2:$D$5000,H$2)=0,"",SUMIFS(Datos!$E$2:$E$5000,Datos!$A$2:$A$5000,H$1,Datos!$B$2:$B$5000,$A110,Datos!$C$2:$C$5000,$B110,Datos!$D$2:$D$5000,H$2))</f>
        <v/>
      </c>
      <c r="I110" s="9">
        <f>IF(COUNTIFS(Datos!$A$2:$A$5000,I$1,Datos!$B$2:$B$5000,$A110,Datos!$C$2:$C$5000,$B110,Datos!$D$2:$D$5000,I$2)=0,"",SUMIFS(Datos!$E$2:$E$5000,Datos!$A$2:$A$5000,I$1,Datos!$B$2:$B$5000,$A110,Datos!$C$2:$C$5000,$B110,Datos!$D$2:$D$5000,I$2))</f>
        <v/>
      </c>
      <c r="J110" s="9">
        <f>IF(COUNTIFS(Datos!$A$2:$A$5000,J$1,Datos!$B$2:$B$5000,$A110,Datos!$C$2:$C$5000,$B110,Datos!$D$2:$D$5000,J$2)=0,"",SUMIFS(Datos!$E$2:$E$5000,Datos!$A$2:$A$5000,J$1,Datos!$B$2:$B$5000,$A110,Datos!$C$2:$C$5000,$B110,Datos!$D$2:$D$5000,J$2))</f>
        <v/>
      </c>
    </row>
    <row r="111">
      <c r="A111" s="8" t="inlineStr">
        <is>
          <t>Costa Rica</t>
        </is>
      </c>
      <c r="B111" s="8" t="n">
        <v>2000</v>
      </c>
      <c r="C111" s="9">
        <f>IF(COUNTIFS(Datos!$A$2:$A$5000,C$1,Datos!$B$2:$B$5000,$A111,Datos!$C$2:$C$5000,$B111,Datos!$D$2:$D$5000,C$2)=0,"",SUMIFS(Datos!$E$2:$E$5000,Datos!$A$2:$A$5000,C$1,Datos!$B$2:$B$5000,$A111,Datos!$C$2:$C$5000,$B111,Datos!$D$2:$D$5000,C$2))</f>
        <v/>
      </c>
      <c r="D111" s="9">
        <f>IF(COUNTIFS(Datos!$A$2:$A$5000,D$1,Datos!$B$2:$B$5000,$A111,Datos!$C$2:$C$5000,$B111,Datos!$D$2:$D$5000,D$2)=0,"",SUMIFS(Datos!$E$2:$E$5000,Datos!$A$2:$A$5000,D$1,Datos!$B$2:$B$5000,$A111,Datos!$C$2:$C$5000,$B111,Datos!$D$2:$D$5000,D$2))</f>
        <v/>
      </c>
      <c r="E111" s="9">
        <f>IF(COUNTIFS(Datos!$A$2:$A$5000,E$1,Datos!$B$2:$B$5000,$A111,Datos!$C$2:$C$5000,$B111,Datos!$D$2:$D$5000,E$2)=0,"",SUMIFS(Datos!$E$2:$E$5000,Datos!$A$2:$A$5000,E$1,Datos!$B$2:$B$5000,$A111,Datos!$C$2:$C$5000,$B111,Datos!$D$2:$D$5000,E$2))</f>
        <v/>
      </c>
      <c r="F111" s="9">
        <f>IF(COUNTIFS(Datos!$A$2:$A$5000,F$1,Datos!$B$2:$B$5000,$A111,Datos!$C$2:$C$5000,$B111,Datos!$D$2:$D$5000,F$2)=0,"",SUMIFS(Datos!$E$2:$E$5000,Datos!$A$2:$A$5000,F$1,Datos!$B$2:$B$5000,$A111,Datos!$C$2:$C$5000,$B111,Datos!$D$2:$D$5000,F$2))</f>
        <v/>
      </c>
      <c r="G111" s="9">
        <f>IF(COUNTIFS(Datos!$A$2:$A$5000,G$1,Datos!$B$2:$B$5000,$A111,Datos!$C$2:$C$5000,$B111,Datos!$D$2:$D$5000,G$2)=0,"",SUMIFS(Datos!$E$2:$E$5000,Datos!$A$2:$A$5000,G$1,Datos!$B$2:$B$5000,$A111,Datos!$C$2:$C$5000,$B111,Datos!$D$2:$D$5000,G$2))</f>
        <v/>
      </c>
      <c r="H111" s="9">
        <f>IF(COUNTIFS(Datos!$A$2:$A$5000,H$1,Datos!$B$2:$B$5000,$A111,Datos!$C$2:$C$5000,$B111,Datos!$D$2:$D$5000,H$2)=0,"",SUMIFS(Datos!$E$2:$E$5000,Datos!$A$2:$A$5000,H$1,Datos!$B$2:$B$5000,$A111,Datos!$C$2:$C$5000,$B111,Datos!$D$2:$D$5000,H$2))</f>
        <v/>
      </c>
      <c r="I111" s="9">
        <f>IF(COUNTIFS(Datos!$A$2:$A$5000,I$1,Datos!$B$2:$B$5000,$A111,Datos!$C$2:$C$5000,$B111,Datos!$D$2:$D$5000,I$2)=0,"",SUMIFS(Datos!$E$2:$E$5000,Datos!$A$2:$A$5000,I$1,Datos!$B$2:$B$5000,$A111,Datos!$C$2:$C$5000,$B111,Datos!$D$2:$D$5000,I$2))</f>
        <v/>
      </c>
      <c r="J111" s="9">
        <f>IF(COUNTIFS(Datos!$A$2:$A$5000,J$1,Datos!$B$2:$B$5000,$A111,Datos!$C$2:$C$5000,$B111,Datos!$D$2:$D$5000,J$2)=0,"",SUMIFS(Datos!$E$2:$E$5000,Datos!$A$2:$A$5000,J$1,Datos!$B$2:$B$5000,$A111,Datos!$C$2:$C$5000,$B111,Datos!$D$2:$D$5000,J$2))</f>
        <v/>
      </c>
    </row>
    <row r="112">
      <c r="A112" s="8" t="inlineStr">
        <is>
          <t>Costa Rica</t>
        </is>
      </c>
      <c r="B112" s="8" t="n">
        <v>2001</v>
      </c>
      <c r="C112" s="9">
        <f>IF(COUNTIFS(Datos!$A$2:$A$5000,C$1,Datos!$B$2:$B$5000,$A112,Datos!$C$2:$C$5000,$B112,Datos!$D$2:$D$5000,C$2)=0,"",SUMIFS(Datos!$E$2:$E$5000,Datos!$A$2:$A$5000,C$1,Datos!$B$2:$B$5000,$A112,Datos!$C$2:$C$5000,$B112,Datos!$D$2:$D$5000,C$2))</f>
        <v/>
      </c>
      <c r="D112" s="9">
        <f>IF(COUNTIFS(Datos!$A$2:$A$5000,D$1,Datos!$B$2:$B$5000,$A112,Datos!$C$2:$C$5000,$B112,Datos!$D$2:$D$5000,D$2)=0,"",SUMIFS(Datos!$E$2:$E$5000,Datos!$A$2:$A$5000,D$1,Datos!$B$2:$B$5000,$A112,Datos!$C$2:$C$5000,$B112,Datos!$D$2:$D$5000,D$2))</f>
        <v/>
      </c>
      <c r="E112" s="9">
        <f>IF(COUNTIFS(Datos!$A$2:$A$5000,E$1,Datos!$B$2:$B$5000,$A112,Datos!$C$2:$C$5000,$B112,Datos!$D$2:$D$5000,E$2)=0,"",SUMIFS(Datos!$E$2:$E$5000,Datos!$A$2:$A$5000,E$1,Datos!$B$2:$B$5000,$A112,Datos!$C$2:$C$5000,$B112,Datos!$D$2:$D$5000,E$2))</f>
        <v/>
      </c>
      <c r="F112" s="9">
        <f>IF(COUNTIFS(Datos!$A$2:$A$5000,F$1,Datos!$B$2:$B$5000,$A112,Datos!$C$2:$C$5000,$B112,Datos!$D$2:$D$5000,F$2)=0,"",SUMIFS(Datos!$E$2:$E$5000,Datos!$A$2:$A$5000,F$1,Datos!$B$2:$B$5000,$A112,Datos!$C$2:$C$5000,$B112,Datos!$D$2:$D$5000,F$2))</f>
        <v/>
      </c>
      <c r="G112" s="9">
        <f>IF(COUNTIFS(Datos!$A$2:$A$5000,G$1,Datos!$B$2:$B$5000,$A112,Datos!$C$2:$C$5000,$B112,Datos!$D$2:$D$5000,G$2)=0,"",SUMIFS(Datos!$E$2:$E$5000,Datos!$A$2:$A$5000,G$1,Datos!$B$2:$B$5000,$A112,Datos!$C$2:$C$5000,$B112,Datos!$D$2:$D$5000,G$2))</f>
        <v/>
      </c>
      <c r="H112" s="9">
        <f>IF(COUNTIFS(Datos!$A$2:$A$5000,H$1,Datos!$B$2:$B$5000,$A112,Datos!$C$2:$C$5000,$B112,Datos!$D$2:$D$5000,H$2)=0,"",SUMIFS(Datos!$E$2:$E$5000,Datos!$A$2:$A$5000,H$1,Datos!$B$2:$B$5000,$A112,Datos!$C$2:$C$5000,$B112,Datos!$D$2:$D$5000,H$2))</f>
        <v/>
      </c>
      <c r="I112" s="9">
        <f>IF(COUNTIFS(Datos!$A$2:$A$5000,I$1,Datos!$B$2:$B$5000,$A112,Datos!$C$2:$C$5000,$B112,Datos!$D$2:$D$5000,I$2)=0,"",SUMIFS(Datos!$E$2:$E$5000,Datos!$A$2:$A$5000,I$1,Datos!$B$2:$B$5000,$A112,Datos!$C$2:$C$5000,$B112,Datos!$D$2:$D$5000,I$2))</f>
        <v/>
      </c>
      <c r="J112" s="9">
        <f>IF(COUNTIFS(Datos!$A$2:$A$5000,J$1,Datos!$B$2:$B$5000,$A112,Datos!$C$2:$C$5000,$B112,Datos!$D$2:$D$5000,J$2)=0,"",SUMIFS(Datos!$E$2:$E$5000,Datos!$A$2:$A$5000,J$1,Datos!$B$2:$B$5000,$A112,Datos!$C$2:$C$5000,$B112,Datos!$D$2:$D$5000,J$2))</f>
        <v/>
      </c>
    </row>
    <row r="113">
      <c r="A113" s="8" t="inlineStr">
        <is>
          <t>Costa Rica</t>
        </is>
      </c>
      <c r="B113" s="8" t="n">
        <v>2002</v>
      </c>
      <c r="C113" s="9">
        <f>IF(COUNTIFS(Datos!$A$2:$A$5000,C$1,Datos!$B$2:$B$5000,$A113,Datos!$C$2:$C$5000,$B113,Datos!$D$2:$D$5000,C$2)=0,"",SUMIFS(Datos!$E$2:$E$5000,Datos!$A$2:$A$5000,C$1,Datos!$B$2:$B$5000,$A113,Datos!$C$2:$C$5000,$B113,Datos!$D$2:$D$5000,C$2))</f>
        <v/>
      </c>
      <c r="D113" s="9">
        <f>IF(COUNTIFS(Datos!$A$2:$A$5000,D$1,Datos!$B$2:$B$5000,$A113,Datos!$C$2:$C$5000,$B113,Datos!$D$2:$D$5000,D$2)=0,"",SUMIFS(Datos!$E$2:$E$5000,Datos!$A$2:$A$5000,D$1,Datos!$B$2:$B$5000,$A113,Datos!$C$2:$C$5000,$B113,Datos!$D$2:$D$5000,D$2))</f>
        <v/>
      </c>
      <c r="E113" s="9">
        <f>IF(COUNTIFS(Datos!$A$2:$A$5000,E$1,Datos!$B$2:$B$5000,$A113,Datos!$C$2:$C$5000,$B113,Datos!$D$2:$D$5000,E$2)=0,"",SUMIFS(Datos!$E$2:$E$5000,Datos!$A$2:$A$5000,E$1,Datos!$B$2:$B$5000,$A113,Datos!$C$2:$C$5000,$B113,Datos!$D$2:$D$5000,E$2))</f>
        <v/>
      </c>
      <c r="F113" s="9">
        <f>IF(COUNTIFS(Datos!$A$2:$A$5000,F$1,Datos!$B$2:$B$5000,$A113,Datos!$C$2:$C$5000,$B113,Datos!$D$2:$D$5000,F$2)=0,"",SUMIFS(Datos!$E$2:$E$5000,Datos!$A$2:$A$5000,F$1,Datos!$B$2:$B$5000,$A113,Datos!$C$2:$C$5000,$B113,Datos!$D$2:$D$5000,F$2))</f>
        <v/>
      </c>
      <c r="G113" s="9">
        <f>IF(COUNTIFS(Datos!$A$2:$A$5000,G$1,Datos!$B$2:$B$5000,$A113,Datos!$C$2:$C$5000,$B113,Datos!$D$2:$D$5000,G$2)=0,"",SUMIFS(Datos!$E$2:$E$5000,Datos!$A$2:$A$5000,G$1,Datos!$B$2:$B$5000,$A113,Datos!$C$2:$C$5000,$B113,Datos!$D$2:$D$5000,G$2))</f>
        <v/>
      </c>
      <c r="H113" s="9">
        <f>IF(COUNTIFS(Datos!$A$2:$A$5000,H$1,Datos!$B$2:$B$5000,$A113,Datos!$C$2:$C$5000,$B113,Datos!$D$2:$D$5000,H$2)=0,"",SUMIFS(Datos!$E$2:$E$5000,Datos!$A$2:$A$5000,H$1,Datos!$B$2:$B$5000,$A113,Datos!$C$2:$C$5000,$B113,Datos!$D$2:$D$5000,H$2))</f>
        <v/>
      </c>
      <c r="I113" s="9">
        <f>IF(COUNTIFS(Datos!$A$2:$A$5000,I$1,Datos!$B$2:$B$5000,$A113,Datos!$C$2:$C$5000,$B113,Datos!$D$2:$D$5000,I$2)=0,"",SUMIFS(Datos!$E$2:$E$5000,Datos!$A$2:$A$5000,I$1,Datos!$B$2:$B$5000,$A113,Datos!$C$2:$C$5000,$B113,Datos!$D$2:$D$5000,I$2))</f>
        <v/>
      </c>
      <c r="J113" s="9">
        <f>IF(COUNTIFS(Datos!$A$2:$A$5000,J$1,Datos!$B$2:$B$5000,$A113,Datos!$C$2:$C$5000,$B113,Datos!$D$2:$D$5000,J$2)=0,"",SUMIFS(Datos!$E$2:$E$5000,Datos!$A$2:$A$5000,J$1,Datos!$B$2:$B$5000,$A113,Datos!$C$2:$C$5000,$B113,Datos!$D$2:$D$5000,J$2))</f>
        <v/>
      </c>
    </row>
    <row r="114">
      <c r="A114" s="8" t="inlineStr">
        <is>
          <t>Costa Rica</t>
        </is>
      </c>
      <c r="B114" s="8" t="n">
        <v>2003</v>
      </c>
      <c r="C114" s="9">
        <f>IF(COUNTIFS(Datos!$A$2:$A$5000,C$1,Datos!$B$2:$B$5000,$A114,Datos!$C$2:$C$5000,$B114,Datos!$D$2:$D$5000,C$2)=0,"",SUMIFS(Datos!$E$2:$E$5000,Datos!$A$2:$A$5000,C$1,Datos!$B$2:$B$5000,$A114,Datos!$C$2:$C$5000,$B114,Datos!$D$2:$D$5000,C$2))</f>
        <v/>
      </c>
      <c r="D114" s="9">
        <f>IF(COUNTIFS(Datos!$A$2:$A$5000,D$1,Datos!$B$2:$B$5000,$A114,Datos!$C$2:$C$5000,$B114,Datos!$D$2:$D$5000,D$2)=0,"",SUMIFS(Datos!$E$2:$E$5000,Datos!$A$2:$A$5000,D$1,Datos!$B$2:$B$5000,$A114,Datos!$C$2:$C$5000,$B114,Datos!$D$2:$D$5000,D$2))</f>
        <v/>
      </c>
      <c r="E114" s="9">
        <f>IF(COUNTIFS(Datos!$A$2:$A$5000,E$1,Datos!$B$2:$B$5000,$A114,Datos!$C$2:$C$5000,$B114,Datos!$D$2:$D$5000,E$2)=0,"",SUMIFS(Datos!$E$2:$E$5000,Datos!$A$2:$A$5000,E$1,Datos!$B$2:$B$5000,$A114,Datos!$C$2:$C$5000,$B114,Datos!$D$2:$D$5000,E$2))</f>
        <v/>
      </c>
      <c r="F114" s="9">
        <f>IF(COUNTIFS(Datos!$A$2:$A$5000,F$1,Datos!$B$2:$B$5000,$A114,Datos!$C$2:$C$5000,$B114,Datos!$D$2:$D$5000,F$2)=0,"",SUMIFS(Datos!$E$2:$E$5000,Datos!$A$2:$A$5000,F$1,Datos!$B$2:$B$5000,$A114,Datos!$C$2:$C$5000,$B114,Datos!$D$2:$D$5000,F$2))</f>
        <v/>
      </c>
      <c r="G114" s="9">
        <f>IF(COUNTIFS(Datos!$A$2:$A$5000,G$1,Datos!$B$2:$B$5000,$A114,Datos!$C$2:$C$5000,$B114,Datos!$D$2:$D$5000,G$2)=0,"",SUMIFS(Datos!$E$2:$E$5000,Datos!$A$2:$A$5000,G$1,Datos!$B$2:$B$5000,$A114,Datos!$C$2:$C$5000,$B114,Datos!$D$2:$D$5000,G$2))</f>
        <v/>
      </c>
      <c r="H114" s="9">
        <f>IF(COUNTIFS(Datos!$A$2:$A$5000,H$1,Datos!$B$2:$B$5000,$A114,Datos!$C$2:$C$5000,$B114,Datos!$D$2:$D$5000,H$2)=0,"",SUMIFS(Datos!$E$2:$E$5000,Datos!$A$2:$A$5000,H$1,Datos!$B$2:$B$5000,$A114,Datos!$C$2:$C$5000,$B114,Datos!$D$2:$D$5000,H$2))</f>
        <v/>
      </c>
      <c r="I114" s="9">
        <f>IF(COUNTIFS(Datos!$A$2:$A$5000,I$1,Datos!$B$2:$B$5000,$A114,Datos!$C$2:$C$5000,$B114,Datos!$D$2:$D$5000,I$2)=0,"",SUMIFS(Datos!$E$2:$E$5000,Datos!$A$2:$A$5000,I$1,Datos!$B$2:$B$5000,$A114,Datos!$C$2:$C$5000,$B114,Datos!$D$2:$D$5000,I$2))</f>
        <v/>
      </c>
      <c r="J114" s="9">
        <f>IF(COUNTIFS(Datos!$A$2:$A$5000,J$1,Datos!$B$2:$B$5000,$A114,Datos!$C$2:$C$5000,$B114,Datos!$D$2:$D$5000,J$2)=0,"",SUMIFS(Datos!$E$2:$E$5000,Datos!$A$2:$A$5000,J$1,Datos!$B$2:$B$5000,$A114,Datos!$C$2:$C$5000,$B114,Datos!$D$2:$D$5000,J$2))</f>
        <v/>
      </c>
    </row>
    <row r="115">
      <c r="A115" s="8" t="inlineStr">
        <is>
          <t>Costa Rica</t>
        </is>
      </c>
      <c r="B115" s="8" t="n">
        <v>2004</v>
      </c>
      <c r="C115" s="9">
        <f>IF(COUNTIFS(Datos!$A$2:$A$5000,C$1,Datos!$B$2:$B$5000,$A115,Datos!$C$2:$C$5000,$B115,Datos!$D$2:$D$5000,C$2)=0,"",SUMIFS(Datos!$E$2:$E$5000,Datos!$A$2:$A$5000,C$1,Datos!$B$2:$B$5000,$A115,Datos!$C$2:$C$5000,$B115,Datos!$D$2:$D$5000,C$2))</f>
        <v/>
      </c>
      <c r="D115" s="9">
        <f>IF(COUNTIFS(Datos!$A$2:$A$5000,D$1,Datos!$B$2:$B$5000,$A115,Datos!$C$2:$C$5000,$B115,Datos!$D$2:$D$5000,D$2)=0,"",SUMIFS(Datos!$E$2:$E$5000,Datos!$A$2:$A$5000,D$1,Datos!$B$2:$B$5000,$A115,Datos!$C$2:$C$5000,$B115,Datos!$D$2:$D$5000,D$2))</f>
        <v/>
      </c>
      <c r="E115" s="9">
        <f>IF(COUNTIFS(Datos!$A$2:$A$5000,E$1,Datos!$B$2:$B$5000,$A115,Datos!$C$2:$C$5000,$B115,Datos!$D$2:$D$5000,E$2)=0,"",SUMIFS(Datos!$E$2:$E$5000,Datos!$A$2:$A$5000,E$1,Datos!$B$2:$B$5000,$A115,Datos!$C$2:$C$5000,$B115,Datos!$D$2:$D$5000,E$2))</f>
        <v/>
      </c>
      <c r="F115" s="9">
        <f>IF(COUNTIFS(Datos!$A$2:$A$5000,F$1,Datos!$B$2:$B$5000,$A115,Datos!$C$2:$C$5000,$B115,Datos!$D$2:$D$5000,F$2)=0,"",SUMIFS(Datos!$E$2:$E$5000,Datos!$A$2:$A$5000,F$1,Datos!$B$2:$B$5000,$A115,Datos!$C$2:$C$5000,$B115,Datos!$D$2:$D$5000,F$2))</f>
        <v/>
      </c>
      <c r="G115" s="9">
        <f>IF(COUNTIFS(Datos!$A$2:$A$5000,G$1,Datos!$B$2:$B$5000,$A115,Datos!$C$2:$C$5000,$B115,Datos!$D$2:$D$5000,G$2)=0,"",SUMIFS(Datos!$E$2:$E$5000,Datos!$A$2:$A$5000,G$1,Datos!$B$2:$B$5000,$A115,Datos!$C$2:$C$5000,$B115,Datos!$D$2:$D$5000,G$2))</f>
        <v/>
      </c>
      <c r="H115" s="9">
        <f>IF(COUNTIFS(Datos!$A$2:$A$5000,H$1,Datos!$B$2:$B$5000,$A115,Datos!$C$2:$C$5000,$B115,Datos!$D$2:$D$5000,H$2)=0,"",SUMIFS(Datos!$E$2:$E$5000,Datos!$A$2:$A$5000,H$1,Datos!$B$2:$B$5000,$A115,Datos!$C$2:$C$5000,$B115,Datos!$D$2:$D$5000,H$2))</f>
        <v/>
      </c>
      <c r="I115" s="9">
        <f>IF(COUNTIFS(Datos!$A$2:$A$5000,I$1,Datos!$B$2:$B$5000,$A115,Datos!$C$2:$C$5000,$B115,Datos!$D$2:$D$5000,I$2)=0,"",SUMIFS(Datos!$E$2:$E$5000,Datos!$A$2:$A$5000,I$1,Datos!$B$2:$B$5000,$A115,Datos!$C$2:$C$5000,$B115,Datos!$D$2:$D$5000,I$2))</f>
        <v/>
      </c>
      <c r="J115" s="9">
        <f>IF(COUNTIFS(Datos!$A$2:$A$5000,J$1,Datos!$B$2:$B$5000,$A115,Datos!$C$2:$C$5000,$B115,Datos!$D$2:$D$5000,J$2)=0,"",SUMIFS(Datos!$E$2:$E$5000,Datos!$A$2:$A$5000,J$1,Datos!$B$2:$B$5000,$A115,Datos!$C$2:$C$5000,$B115,Datos!$D$2:$D$5000,J$2))</f>
        <v/>
      </c>
    </row>
    <row r="116">
      <c r="A116" s="8" t="inlineStr">
        <is>
          <t>Costa Rica</t>
        </is>
      </c>
      <c r="B116" s="8" t="n">
        <v>2005</v>
      </c>
      <c r="C116" s="9">
        <f>IF(COUNTIFS(Datos!$A$2:$A$5000,C$1,Datos!$B$2:$B$5000,$A116,Datos!$C$2:$C$5000,$B116,Datos!$D$2:$D$5000,C$2)=0,"",SUMIFS(Datos!$E$2:$E$5000,Datos!$A$2:$A$5000,C$1,Datos!$B$2:$B$5000,$A116,Datos!$C$2:$C$5000,$B116,Datos!$D$2:$D$5000,C$2))</f>
        <v/>
      </c>
      <c r="D116" s="9">
        <f>IF(COUNTIFS(Datos!$A$2:$A$5000,D$1,Datos!$B$2:$B$5000,$A116,Datos!$C$2:$C$5000,$B116,Datos!$D$2:$D$5000,D$2)=0,"",SUMIFS(Datos!$E$2:$E$5000,Datos!$A$2:$A$5000,D$1,Datos!$B$2:$B$5000,$A116,Datos!$C$2:$C$5000,$B116,Datos!$D$2:$D$5000,D$2))</f>
        <v/>
      </c>
      <c r="E116" s="9">
        <f>IF(COUNTIFS(Datos!$A$2:$A$5000,E$1,Datos!$B$2:$B$5000,$A116,Datos!$C$2:$C$5000,$B116,Datos!$D$2:$D$5000,E$2)=0,"",SUMIFS(Datos!$E$2:$E$5000,Datos!$A$2:$A$5000,E$1,Datos!$B$2:$B$5000,$A116,Datos!$C$2:$C$5000,$B116,Datos!$D$2:$D$5000,E$2))</f>
        <v/>
      </c>
      <c r="F116" s="9">
        <f>IF(COUNTIFS(Datos!$A$2:$A$5000,F$1,Datos!$B$2:$B$5000,$A116,Datos!$C$2:$C$5000,$B116,Datos!$D$2:$D$5000,F$2)=0,"",SUMIFS(Datos!$E$2:$E$5000,Datos!$A$2:$A$5000,F$1,Datos!$B$2:$B$5000,$A116,Datos!$C$2:$C$5000,$B116,Datos!$D$2:$D$5000,F$2))</f>
        <v/>
      </c>
      <c r="G116" s="9">
        <f>IF(COUNTIFS(Datos!$A$2:$A$5000,G$1,Datos!$B$2:$B$5000,$A116,Datos!$C$2:$C$5000,$B116,Datos!$D$2:$D$5000,G$2)=0,"",SUMIFS(Datos!$E$2:$E$5000,Datos!$A$2:$A$5000,G$1,Datos!$B$2:$B$5000,$A116,Datos!$C$2:$C$5000,$B116,Datos!$D$2:$D$5000,G$2))</f>
        <v/>
      </c>
      <c r="H116" s="9">
        <f>IF(COUNTIFS(Datos!$A$2:$A$5000,H$1,Datos!$B$2:$B$5000,$A116,Datos!$C$2:$C$5000,$B116,Datos!$D$2:$D$5000,H$2)=0,"",SUMIFS(Datos!$E$2:$E$5000,Datos!$A$2:$A$5000,H$1,Datos!$B$2:$B$5000,$A116,Datos!$C$2:$C$5000,$B116,Datos!$D$2:$D$5000,H$2))</f>
        <v/>
      </c>
      <c r="I116" s="9">
        <f>IF(COUNTIFS(Datos!$A$2:$A$5000,I$1,Datos!$B$2:$B$5000,$A116,Datos!$C$2:$C$5000,$B116,Datos!$D$2:$D$5000,I$2)=0,"",SUMIFS(Datos!$E$2:$E$5000,Datos!$A$2:$A$5000,I$1,Datos!$B$2:$B$5000,$A116,Datos!$C$2:$C$5000,$B116,Datos!$D$2:$D$5000,I$2))</f>
        <v/>
      </c>
      <c r="J116" s="9">
        <f>IF(COUNTIFS(Datos!$A$2:$A$5000,J$1,Datos!$B$2:$B$5000,$A116,Datos!$C$2:$C$5000,$B116,Datos!$D$2:$D$5000,J$2)=0,"",SUMIFS(Datos!$E$2:$E$5000,Datos!$A$2:$A$5000,J$1,Datos!$B$2:$B$5000,$A116,Datos!$C$2:$C$5000,$B116,Datos!$D$2:$D$5000,J$2))</f>
        <v/>
      </c>
    </row>
    <row r="117">
      <c r="A117" s="8" t="inlineStr">
        <is>
          <t>Costa Rica</t>
        </is>
      </c>
      <c r="B117" s="8" t="n">
        <v>2006</v>
      </c>
      <c r="C117" s="9">
        <f>IF(COUNTIFS(Datos!$A$2:$A$5000,C$1,Datos!$B$2:$B$5000,$A117,Datos!$C$2:$C$5000,$B117,Datos!$D$2:$D$5000,C$2)=0,"",SUMIFS(Datos!$E$2:$E$5000,Datos!$A$2:$A$5000,C$1,Datos!$B$2:$B$5000,$A117,Datos!$C$2:$C$5000,$B117,Datos!$D$2:$D$5000,C$2))</f>
        <v/>
      </c>
      <c r="D117" s="9">
        <f>IF(COUNTIFS(Datos!$A$2:$A$5000,D$1,Datos!$B$2:$B$5000,$A117,Datos!$C$2:$C$5000,$B117,Datos!$D$2:$D$5000,D$2)=0,"",SUMIFS(Datos!$E$2:$E$5000,Datos!$A$2:$A$5000,D$1,Datos!$B$2:$B$5000,$A117,Datos!$C$2:$C$5000,$B117,Datos!$D$2:$D$5000,D$2))</f>
        <v/>
      </c>
      <c r="E117" s="9">
        <f>IF(COUNTIFS(Datos!$A$2:$A$5000,E$1,Datos!$B$2:$B$5000,$A117,Datos!$C$2:$C$5000,$B117,Datos!$D$2:$D$5000,E$2)=0,"",SUMIFS(Datos!$E$2:$E$5000,Datos!$A$2:$A$5000,E$1,Datos!$B$2:$B$5000,$A117,Datos!$C$2:$C$5000,$B117,Datos!$D$2:$D$5000,E$2))</f>
        <v/>
      </c>
      <c r="F117" s="9">
        <f>IF(COUNTIFS(Datos!$A$2:$A$5000,F$1,Datos!$B$2:$B$5000,$A117,Datos!$C$2:$C$5000,$B117,Datos!$D$2:$D$5000,F$2)=0,"",SUMIFS(Datos!$E$2:$E$5000,Datos!$A$2:$A$5000,F$1,Datos!$B$2:$B$5000,$A117,Datos!$C$2:$C$5000,$B117,Datos!$D$2:$D$5000,F$2))</f>
        <v/>
      </c>
      <c r="G117" s="9">
        <f>IF(COUNTIFS(Datos!$A$2:$A$5000,G$1,Datos!$B$2:$B$5000,$A117,Datos!$C$2:$C$5000,$B117,Datos!$D$2:$D$5000,G$2)=0,"",SUMIFS(Datos!$E$2:$E$5000,Datos!$A$2:$A$5000,G$1,Datos!$B$2:$B$5000,$A117,Datos!$C$2:$C$5000,$B117,Datos!$D$2:$D$5000,G$2))</f>
        <v/>
      </c>
      <c r="H117" s="9">
        <f>IF(COUNTIFS(Datos!$A$2:$A$5000,H$1,Datos!$B$2:$B$5000,$A117,Datos!$C$2:$C$5000,$B117,Datos!$D$2:$D$5000,H$2)=0,"",SUMIFS(Datos!$E$2:$E$5000,Datos!$A$2:$A$5000,H$1,Datos!$B$2:$B$5000,$A117,Datos!$C$2:$C$5000,$B117,Datos!$D$2:$D$5000,H$2))</f>
        <v/>
      </c>
      <c r="I117" s="9">
        <f>IF(COUNTIFS(Datos!$A$2:$A$5000,I$1,Datos!$B$2:$B$5000,$A117,Datos!$C$2:$C$5000,$B117,Datos!$D$2:$D$5000,I$2)=0,"",SUMIFS(Datos!$E$2:$E$5000,Datos!$A$2:$A$5000,I$1,Datos!$B$2:$B$5000,$A117,Datos!$C$2:$C$5000,$B117,Datos!$D$2:$D$5000,I$2))</f>
        <v/>
      </c>
      <c r="J117" s="9">
        <f>IF(COUNTIFS(Datos!$A$2:$A$5000,J$1,Datos!$B$2:$B$5000,$A117,Datos!$C$2:$C$5000,$B117,Datos!$D$2:$D$5000,J$2)=0,"",SUMIFS(Datos!$E$2:$E$5000,Datos!$A$2:$A$5000,J$1,Datos!$B$2:$B$5000,$A117,Datos!$C$2:$C$5000,$B117,Datos!$D$2:$D$5000,J$2))</f>
        <v/>
      </c>
    </row>
    <row r="118">
      <c r="A118" s="8" t="inlineStr">
        <is>
          <t>Costa Rica</t>
        </is>
      </c>
      <c r="B118" s="8" t="n">
        <v>2007</v>
      </c>
      <c r="C118" s="9">
        <f>IF(COUNTIFS(Datos!$A$2:$A$5000,C$1,Datos!$B$2:$B$5000,$A118,Datos!$C$2:$C$5000,$B118,Datos!$D$2:$D$5000,C$2)=0,"",SUMIFS(Datos!$E$2:$E$5000,Datos!$A$2:$A$5000,C$1,Datos!$B$2:$B$5000,$A118,Datos!$C$2:$C$5000,$B118,Datos!$D$2:$D$5000,C$2))</f>
        <v/>
      </c>
      <c r="D118" s="9">
        <f>IF(COUNTIFS(Datos!$A$2:$A$5000,D$1,Datos!$B$2:$B$5000,$A118,Datos!$C$2:$C$5000,$B118,Datos!$D$2:$D$5000,D$2)=0,"",SUMIFS(Datos!$E$2:$E$5000,Datos!$A$2:$A$5000,D$1,Datos!$B$2:$B$5000,$A118,Datos!$C$2:$C$5000,$B118,Datos!$D$2:$D$5000,D$2))</f>
        <v/>
      </c>
      <c r="E118" s="9">
        <f>IF(COUNTIFS(Datos!$A$2:$A$5000,E$1,Datos!$B$2:$B$5000,$A118,Datos!$C$2:$C$5000,$B118,Datos!$D$2:$D$5000,E$2)=0,"",SUMIFS(Datos!$E$2:$E$5000,Datos!$A$2:$A$5000,E$1,Datos!$B$2:$B$5000,$A118,Datos!$C$2:$C$5000,$B118,Datos!$D$2:$D$5000,E$2))</f>
        <v/>
      </c>
      <c r="F118" s="9">
        <f>IF(COUNTIFS(Datos!$A$2:$A$5000,F$1,Datos!$B$2:$B$5000,$A118,Datos!$C$2:$C$5000,$B118,Datos!$D$2:$D$5000,F$2)=0,"",SUMIFS(Datos!$E$2:$E$5000,Datos!$A$2:$A$5000,F$1,Datos!$B$2:$B$5000,$A118,Datos!$C$2:$C$5000,$B118,Datos!$D$2:$D$5000,F$2))</f>
        <v/>
      </c>
      <c r="G118" s="9">
        <f>IF(COUNTIFS(Datos!$A$2:$A$5000,G$1,Datos!$B$2:$B$5000,$A118,Datos!$C$2:$C$5000,$B118,Datos!$D$2:$D$5000,G$2)=0,"",SUMIFS(Datos!$E$2:$E$5000,Datos!$A$2:$A$5000,G$1,Datos!$B$2:$B$5000,$A118,Datos!$C$2:$C$5000,$B118,Datos!$D$2:$D$5000,G$2))</f>
        <v/>
      </c>
      <c r="H118" s="9">
        <f>IF(COUNTIFS(Datos!$A$2:$A$5000,H$1,Datos!$B$2:$B$5000,$A118,Datos!$C$2:$C$5000,$B118,Datos!$D$2:$D$5000,H$2)=0,"",SUMIFS(Datos!$E$2:$E$5000,Datos!$A$2:$A$5000,H$1,Datos!$B$2:$B$5000,$A118,Datos!$C$2:$C$5000,$B118,Datos!$D$2:$D$5000,H$2))</f>
        <v/>
      </c>
      <c r="I118" s="9">
        <f>IF(COUNTIFS(Datos!$A$2:$A$5000,I$1,Datos!$B$2:$B$5000,$A118,Datos!$C$2:$C$5000,$B118,Datos!$D$2:$D$5000,I$2)=0,"",SUMIFS(Datos!$E$2:$E$5000,Datos!$A$2:$A$5000,I$1,Datos!$B$2:$B$5000,$A118,Datos!$C$2:$C$5000,$B118,Datos!$D$2:$D$5000,I$2))</f>
        <v/>
      </c>
      <c r="J118" s="9">
        <f>IF(COUNTIFS(Datos!$A$2:$A$5000,J$1,Datos!$B$2:$B$5000,$A118,Datos!$C$2:$C$5000,$B118,Datos!$D$2:$D$5000,J$2)=0,"",SUMIFS(Datos!$E$2:$E$5000,Datos!$A$2:$A$5000,J$1,Datos!$B$2:$B$5000,$A118,Datos!$C$2:$C$5000,$B118,Datos!$D$2:$D$5000,J$2))</f>
        <v/>
      </c>
    </row>
    <row r="119">
      <c r="A119" s="8" t="inlineStr">
        <is>
          <t>Costa Rica</t>
        </is>
      </c>
      <c r="B119" s="8" t="n">
        <v>2008</v>
      </c>
      <c r="C119" s="9">
        <f>IF(COUNTIFS(Datos!$A$2:$A$5000,C$1,Datos!$B$2:$B$5000,$A119,Datos!$C$2:$C$5000,$B119,Datos!$D$2:$D$5000,C$2)=0,"",SUMIFS(Datos!$E$2:$E$5000,Datos!$A$2:$A$5000,C$1,Datos!$B$2:$B$5000,$A119,Datos!$C$2:$C$5000,$B119,Datos!$D$2:$D$5000,C$2))</f>
        <v/>
      </c>
      <c r="D119" s="9">
        <f>IF(COUNTIFS(Datos!$A$2:$A$5000,D$1,Datos!$B$2:$B$5000,$A119,Datos!$C$2:$C$5000,$B119,Datos!$D$2:$D$5000,D$2)=0,"",SUMIFS(Datos!$E$2:$E$5000,Datos!$A$2:$A$5000,D$1,Datos!$B$2:$B$5000,$A119,Datos!$C$2:$C$5000,$B119,Datos!$D$2:$D$5000,D$2))</f>
        <v/>
      </c>
      <c r="E119" s="9">
        <f>IF(COUNTIFS(Datos!$A$2:$A$5000,E$1,Datos!$B$2:$B$5000,$A119,Datos!$C$2:$C$5000,$B119,Datos!$D$2:$D$5000,E$2)=0,"",SUMIFS(Datos!$E$2:$E$5000,Datos!$A$2:$A$5000,E$1,Datos!$B$2:$B$5000,$A119,Datos!$C$2:$C$5000,$B119,Datos!$D$2:$D$5000,E$2))</f>
        <v/>
      </c>
      <c r="F119" s="9">
        <f>IF(COUNTIFS(Datos!$A$2:$A$5000,F$1,Datos!$B$2:$B$5000,$A119,Datos!$C$2:$C$5000,$B119,Datos!$D$2:$D$5000,F$2)=0,"",SUMIFS(Datos!$E$2:$E$5000,Datos!$A$2:$A$5000,F$1,Datos!$B$2:$B$5000,$A119,Datos!$C$2:$C$5000,$B119,Datos!$D$2:$D$5000,F$2))</f>
        <v/>
      </c>
      <c r="G119" s="9">
        <f>IF(COUNTIFS(Datos!$A$2:$A$5000,G$1,Datos!$B$2:$B$5000,$A119,Datos!$C$2:$C$5000,$B119,Datos!$D$2:$D$5000,G$2)=0,"",SUMIFS(Datos!$E$2:$E$5000,Datos!$A$2:$A$5000,G$1,Datos!$B$2:$B$5000,$A119,Datos!$C$2:$C$5000,$B119,Datos!$D$2:$D$5000,G$2))</f>
        <v/>
      </c>
      <c r="H119" s="9">
        <f>IF(COUNTIFS(Datos!$A$2:$A$5000,H$1,Datos!$B$2:$B$5000,$A119,Datos!$C$2:$C$5000,$B119,Datos!$D$2:$D$5000,H$2)=0,"",SUMIFS(Datos!$E$2:$E$5000,Datos!$A$2:$A$5000,H$1,Datos!$B$2:$B$5000,$A119,Datos!$C$2:$C$5000,$B119,Datos!$D$2:$D$5000,H$2))</f>
        <v/>
      </c>
      <c r="I119" s="9">
        <f>IF(COUNTIFS(Datos!$A$2:$A$5000,I$1,Datos!$B$2:$B$5000,$A119,Datos!$C$2:$C$5000,$B119,Datos!$D$2:$D$5000,I$2)=0,"",SUMIFS(Datos!$E$2:$E$5000,Datos!$A$2:$A$5000,I$1,Datos!$B$2:$B$5000,$A119,Datos!$C$2:$C$5000,$B119,Datos!$D$2:$D$5000,I$2))</f>
        <v/>
      </c>
      <c r="J119" s="9">
        <f>IF(COUNTIFS(Datos!$A$2:$A$5000,J$1,Datos!$B$2:$B$5000,$A119,Datos!$C$2:$C$5000,$B119,Datos!$D$2:$D$5000,J$2)=0,"",SUMIFS(Datos!$E$2:$E$5000,Datos!$A$2:$A$5000,J$1,Datos!$B$2:$B$5000,$A119,Datos!$C$2:$C$5000,$B119,Datos!$D$2:$D$5000,J$2))</f>
        <v/>
      </c>
    </row>
    <row r="120">
      <c r="A120" s="8" t="inlineStr">
        <is>
          <t>Costa Rica</t>
        </is>
      </c>
      <c r="B120" s="8" t="n">
        <v>2009</v>
      </c>
      <c r="C120" s="9">
        <f>IF(COUNTIFS(Datos!$A$2:$A$5000,C$1,Datos!$B$2:$B$5000,$A120,Datos!$C$2:$C$5000,$B120,Datos!$D$2:$D$5000,C$2)=0,"",SUMIFS(Datos!$E$2:$E$5000,Datos!$A$2:$A$5000,C$1,Datos!$B$2:$B$5000,$A120,Datos!$C$2:$C$5000,$B120,Datos!$D$2:$D$5000,C$2))</f>
        <v/>
      </c>
      <c r="D120" s="9">
        <f>IF(COUNTIFS(Datos!$A$2:$A$5000,D$1,Datos!$B$2:$B$5000,$A120,Datos!$C$2:$C$5000,$B120,Datos!$D$2:$D$5000,D$2)=0,"",SUMIFS(Datos!$E$2:$E$5000,Datos!$A$2:$A$5000,D$1,Datos!$B$2:$B$5000,$A120,Datos!$C$2:$C$5000,$B120,Datos!$D$2:$D$5000,D$2))</f>
        <v/>
      </c>
      <c r="E120" s="9">
        <f>IF(COUNTIFS(Datos!$A$2:$A$5000,E$1,Datos!$B$2:$B$5000,$A120,Datos!$C$2:$C$5000,$B120,Datos!$D$2:$D$5000,E$2)=0,"",SUMIFS(Datos!$E$2:$E$5000,Datos!$A$2:$A$5000,E$1,Datos!$B$2:$B$5000,$A120,Datos!$C$2:$C$5000,$B120,Datos!$D$2:$D$5000,E$2))</f>
        <v/>
      </c>
      <c r="F120" s="9">
        <f>IF(COUNTIFS(Datos!$A$2:$A$5000,F$1,Datos!$B$2:$B$5000,$A120,Datos!$C$2:$C$5000,$B120,Datos!$D$2:$D$5000,F$2)=0,"",SUMIFS(Datos!$E$2:$E$5000,Datos!$A$2:$A$5000,F$1,Datos!$B$2:$B$5000,$A120,Datos!$C$2:$C$5000,$B120,Datos!$D$2:$D$5000,F$2))</f>
        <v/>
      </c>
      <c r="G120" s="9">
        <f>IF(COUNTIFS(Datos!$A$2:$A$5000,G$1,Datos!$B$2:$B$5000,$A120,Datos!$C$2:$C$5000,$B120,Datos!$D$2:$D$5000,G$2)=0,"",SUMIFS(Datos!$E$2:$E$5000,Datos!$A$2:$A$5000,G$1,Datos!$B$2:$B$5000,$A120,Datos!$C$2:$C$5000,$B120,Datos!$D$2:$D$5000,G$2))</f>
        <v/>
      </c>
      <c r="H120" s="9">
        <f>IF(COUNTIFS(Datos!$A$2:$A$5000,H$1,Datos!$B$2:$B$5000,$A120,Datos!$C$2:$C$5000,$B120,Datos!$D$2:$D$5000,H$2)=0,"",SUMIFS(Datos!$E$2:$E$5000,Datos!$A$2:$A$5000,H$1,Datos!$B$2:$B$5000,$A120,Datos!$C$2:$C$5000,$B120,Datos!$D$2:$D$5000,H$2))</f>
        <v/>
      </c>
      <c r="I120" s="9">
        <f>IF(COUNTIFS(Datos!$A$2:$A$5000,I$1,Datos!$B$2:$B$5000,$A120,Datos!$C$2:$C$5000,$B120,Datos!$D$2:$D$5000,I$2)=0,"",SUMIFS(Datos!$E$2:$E$5000,Datos!$A$2:$A$5000,I$1,Datos!$B$2:$B$5000,$A120,Datos!$C$2:$C$5000,$B120,Datos!$D$2:$D$5000,I$2))</f>
        <v/>
      </c>
      <c r="J120" s="9">
        <f>IF(COUNTIFS(Datos!$A$2:$A$5000,J$1,Datos!$B$2:$B$5000,$A120,Datos!$C$2:$C$5000,$B120,Datos!$D$2:$D$5000,J$2)=0,"",SUMIFS(Datos!$E$2:$E$5000,Datos!$A$2:$A$5000,J$1,Datos!$B$2:$B$5000,$A120,Datos!$C$2:$C$5000,$B120,Datos!$D$2:$D$5000,J$2))</f>
        <v/>
      </c>
    </row>
    <row r="121">
      <c r="A121" s="8" t="inlineStr">
        <is>
          <t>Costa Rica</t>
        </is>
      </c>
      <c r="B121" s="8" t="n">
        <v>2010</v>
      </c>
      <c r="C121" s="9">
        <f>IF(COUNTIFS(Datos!$A$2:$A$5000,C$1,Datos!$B$2:$B$5000,$A121,Datos!$C$2:$C$5000,$B121,Datos!$D$2:$D$5000,C$2)=0,"",SUMIFS(Datos!$E$2:$E$5000,Datos!$A$2:$A$5000,C$1,Datos!$B$2:$B$5000,$A121,Datos!$C$2:$C$5000,$B121,Datos!$D$2:$D$5000,C$2))</f>
        <v/>
      </c>
      <c r="D121" s="9">
        <f>IF(COUNTIFS(Datos!$A$2:$A$5000,D$1,Datos!$B$2:$B$5000,$A121,Datos!$C$2:$C$5000,$B121,Datos!$D$2:$D$5000,D$2)=0,"",SUMIFS(Datos!$E$2:$E$5000,Datos!$A$2:$A$5000,D$1,Datos!$B$2:$B$5000,$A121,Datos!$C$2:$C$5000,$B121,Datos!$D$2:$D$5000,D$2))</f>
        <v/>
      </c>
      <c r="E121" s="9">
        <f>IF(COUNTIFS(Datos!$A$2:$A$5000,E$1,Datos!$B$2:$B$5000,$A121,Datos!$C$2:$C$5000,$B121,Datos!$D$2:$D$5000,E$2)=0,"",SUMIFS(Datos!$E$2:$E$5000,Datos!$A$2:$A$5000,E$1,Datos!$B$2:$B$5000,$A121,Datos!$C$2:$C$5000,$B121,Datos!$D$2:$D$5000,E$2))</f>
        <v/>
      </c>
      <c r="F121" s="9">
        <f>IF(COUNTIFS(Datos!$A$2:$A$5000,F$1,Datos!$B$2:$B$5000,$A121,Datos!$C$2:$C$5000,$B121,Datos!$D$2:$D$5000,F$2)=0,"",SUMIFS(Datos!$E$2:$E$5000,Datos!$A$2:$A$5000,F$1,Datos!$B$2:$B$5000,$A121,Datos!$C$2:$C$5000,$B121,Datos!$D$2:$D$5000,F$2))</f>
        <v/>
      </c>
      <c r="G121" s="9">
        <f>IF(COUNTIFS(Datos!$A$2:$A$5000,G$1,Datos!$B$2:$B$5000,$A121,Datos!$C$2:$C$5000,$B121,Datos!$D$2:$D$5000,G$2)=0,"",SUMIFS(Datos!$E$2:$E$5000,Datos!$A$2:$A$5000,G$1,Datos!$B$2:$B$5000,$A121,Datos!$C$2:$C$5000,$B121,Datos!$D$2:$D$5000,G$2))</f>
        <v/>
      </c>
      <c r="H121" s="9">
        <f>IF(COUNTIFS(Datos!$A$2:$A$5000,H$1,Datos!$B$2:$B$5000,$A121,Datos!$C$2:$C$5000,$B121,Datos!$D$2:$D$5000,H$2)=0,"",SUMIFS(Datos!$E$2:$E$5000,Datos!$A$2:$A$5000,H$1,Datos!$B$2:$B$5000,$A121,Datos!$C$2:$C$5000,$B121,Datos!$D$2:$D$5000,H$2))</f>
        <v/>
      </c>
      <c r="I121" s="9">
        <f>IF(COUNTIFS(Datos!$A$2:$A$5000,I$1,Datos!$B$2:$B$5000,$A121,Datos!$C$2:$C$5000,$B121,Datos!$D$2:$D$5000,I$2)=0,"",SUMIFS(Datos!$E$2:$E$5000,Datos!$A$2:$A$5000,I$1,Datos!$B$2:$B$5000,$A121,Datos!$C$2:$C$5000,$B121,Datos!$D$2:$D$5000,I$2))</f>
        <v/>
      </c>
      <c r="J121" s="9">
        <f>IF(COUNTIFS(Datos!$A$2:$A$5000,J$1,Datos!$B$2:$B$5000,$A121,Datos!$C$2:$C$5000,$B121,Datos!$D$2:$D$5000,J$2)=0,"",SUMIFS(Datos!$E$2:$E$5000,Datos!$A$2:$A$5000,J$1,Datos!$B$2:$B$5000,$A121,Datos!$C$2:$C$5000,$B121,Datos!$D$2:$D$5000,J$2))</f>
        <v/>
      </c>
    </row>
    <row r="122">
      <c r="A122" s="8" t="inlineStr">
        <is>
          <t>Costa Rica</t>
        </is>
      </c>
      <c r="B122" s="8" t="n">
        <v>2011</v>
      </c>
      <c r="C122" s="9">
        <f>IF(COUNTIFS(Datos!$A$2:$A$5000,C$1,Datos!$B$2:$B$5000,$A122,Datos!$C$2:$C$5000,$B122,Datos!$D$2:$D$5000,C$2)=0,"",SUMIFS(Datos!$E$2:$E$5000,Datos!$A$2:$A$5000,C$1,Datos!$B$2:$B$5000,$A122,Datos!$C$2:$C$5000,$B122,Datos!$D$2:$D$5000,C$2))</f>
        <v/>
      </c>
      <c r="D122" s="9">
        <f>IF(COUNTIFS(Datos!$A$2:$A$5000,D$1,Datos!$B$2:$B$5000,$A122,Datos!$C$2:$C$5000,$B122,Datos!$D$2:$D$5000,D$2)=0,"",SUMIFS(Datos!$E$2:$E$5000,Datos!$A$2:$A$5000,D$1,Datos!$B$2:$B$5000,$A122,Datos!$C$2:$C$5000,$B122,Datos!$D$2:$D$5000,D$2))</f>
        <v/>
      </c>
      <c r="E122" s="9">
        <f>IF(COUNTIFS(Datos!$A$2:$A$5000,E$1,Datos!$B$2:$B$5000,$A122,Datos!$C$2:$C$5000,$B122,Datos!$D$2:$D$5000,E$2)=0,"",SUMIFS(Datos!$E$2:$E$5000,Datos!$A$2:$A$5000,E$1,Datos!$B$2:$B$5000,$A122,Datos!$C$2:$C$5000,$B122,Datos!$D$2:$D$5000,E$2))</f>
        <v/>
      </c>
      <c r="F122" s="9">
        <f>IF(COUNTIFS(Datos!$A$2:$A$5000,F$1,Datos!$B$2:$B$5000,$A122,Datos!$C$2:$C$5000,$B122,Datos!$D$2:$D$5000,F$2)=0,"",SUMIFS(Datos!$E$2:$E$5000,Datos!$A$2:$A$5000,F$1,Datos!$B$2:$B$5000,$A122,Datos!$C$2:$C$5000,$B122,Datos!$D$2:$D$5000,F$2))</f>
        <v/>
      </c>
      <c r="G122" s="9">
        <f>IF(COUNTIFS(Datos!$A$2:$A$5000,G$1,Datos!$B$2:$B$5000,$A122,Datos!$C$2:$C$5000,$B122,Datos!$D$2:$D$5000,G$2)=0,"",SUMIFS(Datos!$E$2:$E$5000,Datos!$A$2:$A$5000,G$1,Datos!$B$2:$B$5000,$A122,Datos!$C$2:$C$5000,$B122,Datos!$D$2:$D$5000,G$2))</f>
        <v/>
      </c>
      <c r="H122" s="9">
        <f>IF(COUNTIFS(Datos!$A$2:$A$5000,H$1,Datos!$B$2:$B$5000,$A122,Datos!$C$2:$C$5000,$B122,Datos!$D$2:$D$5000,H$2)=0,"",SUMIFS(Datos!$E$2:$E$5000,Datos!$A$2:$A$5000,H$1,Datos!$B$2:$B$5000,$A122,Datos!$C$2:$C$5000,$B122,Datos!$D$2:$D$5000,H$2))</f>
        <v/>
      </c>
      <c r="I122" s="9">
        <f>IF(COUNTIFS(Datos!$A$2:$A$5000,I$1,Datos!$B$2:$B$5000,$A122,Datos!$C$2:$C$5000,$B122,Datos!$D$2:$D$5000,I$2)=0,"",SUMIFS(Datos!$E$2:$E$5000,Datos!$A$2:$A$5000,I$1,Datos!$B$2:$B$5000,$A122,Datos!$C$2:$C$5000,$B122,Datos!$D$2:$D$5000,I$2))</f>
        <v/>
      </c>
      <c r="J122" s="9">
        <f>IF(COUNTIFS(Datos!$A$2:$A$5000,J$1,Datos!$B$2:$B$5000,$A122,Datos!$C$2:$C$5000,$B122,Datos!$D$2:$D$5000,J$2)=0,"",SUMIFS(Datos!$E$2:$E$5000,Datos!$A$2:$A$5000,J$1,Datos!$B$2:$B$5000,$A122,Datos!$C$2:$C$5000,$B122,Datos!$D$2:$D$5000,J$2))</f>
        <v/>
      </c>
    </row>
    <row r="123">
      <c r="A123" s="8" t="inlineStr">
        <is>
          <t>Costa Rica</t>
        </is>
      </c>
      <c r="B123" s="8" t="n">
        <v>2016</v>
      </c>
      <c r="C123" s="9">
        <f>IF(COUNTIFS(Datos!$A$2:$A$5000,C$1,Datos!$B$2:$B$5000,$A123,Datos!$C$2:$C$5000,$B123,Datos!$D$2:$D$5000,C$2)=0,"",SUMIFS(Datos!$E$2:$E$5000,Datos!$A$2:$A$5000,C$1,Datos!$B$2:$B$5000,$A123,Datos!$C$2:$C$5000,$B123,Datos!$D$2:$D$5000,C$2))</f>
        <v/>
      </c>
      <c r="D123" s="9">
        <f>IF(COUNTIFS(Datos!$A$2:$A$5000,D$1,Datos!$B$2:$B$5000,$A123,Datos!$C$2:$C$5000,$B123,Datos!$D$2:$D$5000,D$2)=0,"",SUMIFS(Datos!$E$2:$E$5000,Datos!$A$2:$A$5000,D$1,Datos!$B$2:$B$5000,$A123,Datos!$C$2:$C$5000,$B123,Datos!$D$2:$D$5000,D$2))</f>
        <v/>
      </c>
      <c r="E123" s="9">
        <f>IF(COUNTIFS(Datos!$A$2:$A$5000,E$1,Datos!$B$2:$B$5000,$A123,Datos!$C$2:$C$5000,$B123,Datos!$D$2:$D$5000,E$2)=0,"",SUMIFS(Datos!$E$2:$E$5000,Datos!$A$2:$A$5000,E$1,Datos!$B$2:$B$5000,$A123,Datos!$C$2:$C$5000,$B123,Datos!$D$2:$D$5000,E$2))</f>
        <v/>
      </c>
      <c r="F123" s="9">
        <f>IF(COUNTIFS(Datos!$A$2:$A$5000,F$1,Datos!$B$2:$B$5000,$A123,Datos!$C$2:$C$5000,$B123,Datos!$D$2:$D$5000,F$2)=0,"",SUMIFS(Datos!$E$2:$E$5000,Datos!$A$2:$A$5000,F$1,Datos!$B$2:$B$5000,$A123,Datos!$C$2:$C$5000,$B123,Datos!$D$2:$D$5000,F$2))</f>
        <v/>
      </c>
      <c r="G123" s="9">
        <f>IF(COUNTIFS(Datos!$A$2:$A$5000,G$1,Datos!$B$2:$B$5000,$A123,Datos!$C$2:$C$5000,$B123,Datos!$D$2:$D$5000,G$2)=0,"",SUMIFS(Datos!$E$2:$E$5000,Datos!$A$2:$A$5000,G$1,Datos!$B$2:$B$5000,$A123,Datos!$C$2:$C$5000,$B123,Datos!$D$2:$D$5000,G$2))</f>
        <v/>
      </c>
      <c r="H123" s="9">
        <f>IF(COUNTIFS(Datos!$A$2:$A$5000,H$1,Datos!$B$2:$B$5000,$A123,Datos!$C$2:$C$5000,$B123,Datos!$D$2:$D$5000,H$2)=0,"",SUMIFS(Datos!$E$2:$E$5000,Datos!$A$2:$A$5000,H$1,Datos!$B$2:$B$5000,$A123,Datos!$C$2:$C$5000,$B123,Datos!$D$2:$D$5000,H$2))</f>
        <v/>
      </c>
      <c r="I123" s="9">
        <f>IF(COUNTIFS(Datos!$A$2:$A$5000,I$1,Datos!$B$2:$B$5000,$A123,Datos!$C$2:$C$5000,$B123,Datos!$D$2:$D$5000,I$2)=0,"",SUMIFS(Datos!$E$2:$E$5000,Datos!$A$2:$A$5000,I$1,Datos!$B$2:$B$5000,$A123,Datos!$C$2:$C$5000,$B123,Datos!$D$2:$D$5000,I$2))</f>
        <v/>
      </c>
      <c r="J123" s="9">
        <f>IF(COUNTIFS(Datos!$A$2:$A$5000,J$1,Datos!$B$2:$B$5000,$A123,Datos!$C$2:$C$5000,$B123,Datos!$D$2:$D$5000,J$2)=0,"",SUMIFS(Datos!$E$2:$E$5000,Datos!$A$2:$A$5000,J$1,Datos!$B$2:$B$5000,$A123,Datos!$C$2:$C$5000,$B123,Datos!$D$2:$D$5000,J$2))</f>
        <v/>
      </c>
    </row>
    <row r="124">
      <c r="A124" s="8" t="inlineStr">
        <is>
          <t>Costa Rica</t>
        </is>
      </c>
      <c r="B124" s="8" t="n">
        <v>2017</v>
      </c>
      <c r="C124" s="9">
        <f>IF(COUNTIFS(Datos!$A$2:$A$5000,C$1,Datos!$B$2:$B$5000,$A124,Datos!$C$2:$C$5000,$B124,Datos!$D$2:$D$5000,C$2)=0,"",SUMIFS(Datos!$E$2:$E$5000,Datos!$A$2:$A$5000,C$1,Datos!$B$2:$B$5000,$A124,Datos!$C$2:$C$5000,$B124,Datos!$D$2:$D$5000,C$2))</f>
        <v/>
      </c>
      <c r="D124" s="9">
        <f>IF(COUNTIFS(Datos!$A$2:$A$5000,D$1,Datos!$B$2:$B$5000,$A124,Datos!$C$2:$C$5000,$B124,Datos!$D$2:$D$5000,D$2)=0,"",SUMIFS(Datos!$E$2:$E$5000,Datos!$A$2:$A$5000,D$1,Datos!$B$2:$B$5000,$A124,Datos!$C$2:$C$5000,$B124,Datos!$D$2:$D$5000,D$2))</f>
        <v/>
      </c>
      <c r="E124" s="9">
        <f>IF(COUNTIFS(Datos!$A$2:$A$5000,E$1,Datos!$B$2:$B$5000,$A124,Datos!$C$2:$C$5000,$B124,Datos!$D$2:$D$5000,E$2)=0,"",SUMIFS(Datos!$E$2:$E$5000,Datos!$A$2:$A$5000,E$1,Datos!$B$2:$B$5000,$A124,Datos!$C$2:$C$5000,$B124,Datos!$D$2:$D$5000,E$2))</f>
        <v/>
      </c>
      <c r="F124" s="9">
        <f>IF(COUNTIFS(Datos!$A$2:$A$5000,F$1,Datos!$B$2:$B$5000,$A124,Datos!$C$2:$C$5000,$B124,Datos!$D$2:$D$5000,F$2)=0,"",SUMIFS(Datos!$E$2:$E$5000,Datos!$A$2:$A$5000,F$1,Datos!$B$2:$B$5000,$A124,Datos!$C$2:$C$5000,$B124,Datos!$D$2:$D$5000,F$2))</f>
        <v/>
      </c>
      <c r="G124" s="9">
        <f>IF(COUNTIFS(Datos!$A$2:$A$5000,G$1,Datos!$B$2:$B$5000,$A124,Datos!$C$2:$C$5000,$B124,Datos!$D$2:$D$5000,G$2)=0,"",SUMIFS(Datos!$E$2:$E$5000,Datos!$A$2:$A$5000,G$1,Datos!$B$2:$B$5000,$A124,Datos!$C$2:$C$5000,$B124,Datos!$D$2:$D$5000,G$2))</f>
        <v/>
      </c>
      <c r="H124" s="9">
        <f>IF(COUNTIFS(Datos!$A$2:$A$5000,H$1,Datos!$B$2:$B$5000,$A124,Datos!$C$2:$C$5000,$B124,Datos!$D$2:$D$5000,H$2)=0,"",SUMIFS(Datos!$E$2:$E$5000,Datos!$A$2:$A$5000,H$1,Datos!$B$2:$B$5000,$A124,Datos!$C$2:$C$5000,$B124,Datos!$D$2:$D$5000,H$2))</f>
        <v/>
      </c>
      <c r="I124" s="9">
        <f>IF(COUNTIFS(Datos!$A$2:$A$5000,I$1,Datos!$B$2:$B$5000,$A124,Datos!$C$2:$C$5000,$B124,Datos!$D$2:$D$5000,I$2)=0,"",SUMIFS(Datos!$E$2:$E$5000,Datos!$A$2:$A$5000,I$1,Datos!$B$2:$B$5000,$A124,Datos!$C$2:$C$5000,$B124,Datos!$D$2:$D$5000,I$2))</f>
        <v/>
      </c>
      <c r="J124" s="9">
        <f>IF(COUNTIFS(Datos!$A$2:$A$5000,J$1,Datos!$B$2:$B$5000,$A124,Datos!$C$2:$C$5000,$B124,Datos!$D$2:$D$5000,J$2)=0,"",SUMIFS(Datos!$E$2:$E$5000,Datos!$A$2:$A$5000,J$1,Datos!$B$2:$B$5000,$A124,Datos!$C$2:$C$5000,$B124,Datos!$D$2:$D$5000,J$2))</f>
        <v/>
      </c>
    </row>
    <row r="125">
      <c r="A125" s="8" t="inlineStr">
        <is>
          <t>Costa Rica</t>
        </is>
      </c>
      <c r="B125" s="8" t="n">
        <v>2018</v>
      </c>
      <c r="C125" s="9">
        <f>IF(COUNTIFS(Datos!$A$2:$A$5000,C$1,Datos!$B$2:$B$5000,$A125,Datos!$C$2:$C$5000,$B125,Datos!$D$2:$D$5000,C$2)=0,"",SUMIFS(Datos!$E$2:$E$5000,Datos!$A$2:$A$5000,C$1,Datos!$B$2:$B$5000,$A125,Datos!$C$2:$C$5000,$B125,Datos!$D$2:$D$5000,C$2))</f>
        <v/>
      </c>
      <c r="D125" s="9">
        <f>IF(COUNTIFS(Datos!$A$2:$A$5000,D$1,Datos!$B$2:$B$5000,$A125,Datos!$C$2:$C$5000,$B125,Datos!$D$2:$D$5000,D$2)=0,"",SUMIFS(Datos!$E$2:$E$5000,Datos!$A$2:$A$5000,D$1,Datos!$B$2:$B$5000,$A125,Datos!$C$2:$C$5000,$B125,Datos!$D$2:$D$5000,D$2))</f>
        <v/>
      </c>
      <c r="E125" s="9">
        <f>IF(COUNTIFS(Datos!$A$2:$A$5000,E$1,Datos!$B$2:$B$5000,$A125,Datos!$C$2:$C$5000,$B125,Datos!$D$2:$D$5000,E$2)=0,"",SUMIFS(Datos!$E$2:$E$5000,Datos!$A$2:$A$5000,E$1,Datos!$B$2:$B$5000,$A125,Datos!$C$2:$C$5000,$B125,Datos!$D$2:$D$5000,E$2))</f>
        <v/>
      </c>
      <c r="F125" s="9">
        <f>IF(COUNTIFS(Datos!$A$2:$A$5000,F$1,Datos!$B$2:$B$5000,$A125,Datos!$C$2:$C$5000,$B125,Datos!$D$2:$D$5000,F$2)=0,"",SUMIFS(Datos!$E$2:$E$5000,Datos!$A$2:$A$5000,F$1,Datos!$B$2:$B$5000,$A125,Datos!$C$2:$C$5000,$B125,Datos!$D$2:$D$5000,F$2))</f>
        <v/>
      </c>
      <c r="G125" s="9">
        <f>IF(COUNTIFS(Datos!$A$2:$A$5000,G$1,Datos!$B$2:$B$5000,$A125,Datos!$C$2:$C$5000,$B125,Datos!$D$2:$D$5000,G$2)=0,"",SUMIFS(Datos!$E$2:$E$5000,Datos!$A$2:$A$5000,G$1,Datos!$B$2:$B$5000,$A125,Datos!$C$2:$C$5000,$B125,Datos!$D$2:$D$5000,G$2))</f>
        <v/>
      </c>
      <c r="H125" s="9">
        <f>IF(COUNTIFS(Datos!$A$2:$A$5000,H$1,Datos!$B$2:$B$5000,$A125,Datos!$C$2:$C$5000,$B125,Datos!$D$2:$D$5000,H$2)=0,"",SUMIFS(Datos!$E$2:$E$5000,Datos!$A$2:$A$5000,H$1,Datos!$B$2:$B$5000,$A125,Datos!$C$2:$C$5000,$B125,Datos!$D$2:$D$5000,H$2))</f>
        <v/>
      </c>
      <c r="I125" s="9">
        <f>IF(COUNTIFS(Datos!$A$2:$A$5000,I$1,Datos!$B$2:$B$5000,$A125,Datos!$C$2:$C$5000,$B125,Datos!$D$2:$D$5000,I$2)=0,"",SUMIFS(Datos!$E$2:$E$5000,Datos!$A$2:$A$5000,I$1,Datos!$B$2:$B$5000,$A125,Datos!$C$2:$C$5000,$B125,Datos!$D$2:$D$5000,I$2))</f>
        <v/>
      </c>
      <c r="J125" s="9">
        <f>IF(COUNTIFS(Datos!$A$2:$A$5000,J$1,Datos!$B$2:$B$5000,$A125,Datos!$C$2:$C$5000,$B125,Datos!$D$2:$D$5000,J$2)=0,"",SUMIFS(Datos!$E$2:$E$5000,Datos!$A$2:$A$5000,J$1,Datos!$B$2:$B$5000,$A125,Datos!$C$2:$C$5000,$B125,Datos!$D$2:$D$5000,J$2))</f>
        <v/>
      </c>
    </row>
    <row r="126">
      <c r="A126" s="8" t="inlineStr">
        <is>
          <t>Costa Rica</t>
        </is>
      </c>
      <c r="B126" s="8" t="n">
        <v>2020</v>
      </c>
      <c r="C126" s="9">
        <f>IF(COUNTIFS(Datos!$A$2:$A$5000,C$1,Datos!$B$2:$B$5000,$A126,Datos!$C$2:$C$5000,$B126,Datos!$D$2:$D$5000,C$2)=0,"",SUMIFS(Datos!$E$2:$E$5000,Datos!$A$2:$A$5000,C$1,Datos!$B$2:$B$5000,$A126,Datos!$C$2:$C$5000,$B126,Datos!$D$2:$D$5000,C$2))</f>
        <v/>
      </c>
      <c r="D126" s="9">
        <f>IF(COUNTIFS(Datos!$A$2:$A$5000,D$1,Datos!$B$2:$B$5000,$A126,Datos!$C$2:$C$5000,$B126,Datos!$D$2:$D$5000,D$2)=0,"",SUMIFS(Datos!$E$2:$E$5000,Datos!$A$2:$A$5000,D$1,Datos!$B$2:$B$5000,$A126,Datos!$C$2:$C$5000,$B126,Datos!$D$2:$D$5000,D$2))</f>
        <v/>
      </c>
      <c r="E126" s="9">
        <f>IF(COUNTIFS(Datos!$A$2:$A$5000,E$1,Datos!$B$2:$B$5000,$A126,Datos!$C$2:$C$5000,$B126,Datos!$D$2:$D$5000,E$2)=0,"",SUMIFS(Datos!$E$2:$E$5000,Datos!$A$2:$A$5000,E$1,Datos!$B$2:$B$5000,$A126,Datos!$C$2:$C$5000,$B126,Datos!$D$2:$D$5000,E$2))</f>
        <v/>
      </c>
      <c r="F126" s="9">
        <f>IF(COUNTIFS(Datos!$A$2:$A$5000,F$1,Datos!$B$2:$B$5000,$A126,Datos!$C$2:$C$5000,$B126,Datos!$D$2:$D$5000,F$2)=0,"",SUMIFS(Datos!$E$2:$E$5000,Datos!$A$2:$A$5000,F$1,Datos!$B$2:$B$5000,$A126,Datos!$C$2:$C$5000,$B126,Datos!$D$2:$D$5000,F$2))</f>
        <v/>
      </c>
      <c r="G126" s="9">
        <f>IF(COUNTIFS(Datos!$A$2:$A$5000,G$1,Datos!$B$2:$B$5000,$A126,Datos!$C$2:$C$5000,$B126,Datos!$D$2:$D$5000,G$2)=0,"",SUMIFS(Datos!$E$2:$E$5000,Datos!$A$2:$A$5000,G$1,Datos!$B$2:$B$5000,$A126,Datos!$C$2:$C$5000,$B126,Datos!$D$2:$D$5000,G$2))</f>
        <v/>
      </c>
      <c r="H126" s="9">
        <f>IF(COUNTIFS(Datos!$A$2:$A$5000,H$1,Datos!$B$2:$B$5000,$A126,Datos!$C$2:$C$5000,$B126,Datos!$D$2:$D$5000,H$2)=0,"",SUMIFS(Datos!$E$2:$E$5000,Datos!$A$2:$A$5000,H$1,Datos!$B$2:$B$5000,$A126,Datos!$C$2:$C$5000,$B126,Datos!$D$2:$D$5000,H$2))</f>
        <v/>
      </c>
      <c r="I126" s="9">
        <f>IF(COUNTIFS(Datos!$A$2:$A$5000,I$1,Datos!$B$2:$B$5000,$A126,Datos!$C$2:$C$5000,$B126,Datos!$D$2:$D$5000,I$2)=0,"",SUMIFS(Datos!$E$2:$E$5000,Datos!$A$2:$A$5000,I$1,Datos!$B$2:$B$5000,$A126,Datos!$C$2:$C$5000,$B126,Datos!$D$2:$D$5000,I$2))</f>
        <v/>
      </c>
      <c r="J126" s="9">
        <f>IF(COUNTIFS(Datos!$A$2:$A$5000,J$1,Datos!$B$2:$B$5000,$A126,Datos!$C$2:$C$5000,$B126,Datos!$D$2:$D$5000,J$2)=0,"",SUMIFS(Datos!$E$2:$E$5000,Datos!$A$2:$A$5000,J$1,Datos!$B$2:$B$5000,$A126,Datos!$C$2:$C$5000,$B126,Datos!$D$2:$D$5000,J$2))</f>
        <v/>
      </c>
    </row>
    <row r="127">
      <c r="A127" s="8" t="inlineStr">
        <is>
          <t>Costa Rica</t>
        </is>
      </c>
      <c r="B127" s="8" t="n">
        <v>2024</v>
      </c>
      <c r="C127" s="9">
        <f>IF(COUNTIFS(Datos!$A$2:$A$5000,C$1,Datos!$B$2:$B$5000,$A127,Datos!$C$2:$C$5000,$B127,Datos!$D$2:$D$5000,C$2)=0,"",SUMIFS(Datos!$E$2:$E$5000,Datos!$A$2:$A$5000,C$1,Datos!$B$2:$B$5000,$A127,Datos!$C$2:$C$5000,$B127,Datos!$D$2:$D$5000,C$2))</f>
        <v/>
      </c>
      <c r="D127" s="9">
        <f>IF(COUNTIFS(Datos!$A$2:$A$5000,D$1,Datos!$B$2:$B$5000,$A127,Datos!$C$2:$C$5000,$B127,Datos!$D$2:$D$5000,D$2)=0,"",SUMIFS(Datos!$E$2:$E$5000,Datos!$A$2:$A$5000,D$1,Datos!$B$2:$B$5000,$A127,Datos!$C$2:$C$5000,$B127,Datos!$D$2:$D$5000,D$2))</f>
        <v/>
      </c>
      <c r="E127" s="9">
        <f>IF(COUNTIFS(Datos!$A$2:$A$5000,E$1,Datos!$B$2:$B$5000,$A127,Datos!$C$2:$C$5000,$B127,Datos!$D$2:$D$5000,E$2)=0,"",SUMIFS(Datos!$E$2:$E$5000,Datos!$A$2:$A$5000,E$1,Datos!$B$2:$B$5000,$A127,Datos!$C$2:$C$5000,$B127,Datos!$D$2:$D$5000,E$2))</f>
        <v/>
      </c>
      <c r="F127" s="9">
        <f>IF(COUNTIFS(Datos!$A$2:$A$5000,F$1,Datos!$B$2:$B$5000,$A127,Datos!$C$2:$C$5000,$B127,Datos!$D$2:$D$5000,F$2)=0,"",SUMIFS(Datos!$E$2:$E$5000,Datos!$A$2:$A$5000,F$1,Datos!$B$2:$B$5000,$A127,Datos!$C$2:$C$5000,$B127,Datos!$D$2:$D$5000,F$2))</f>
        <v/>
      </c>
      <c r="G127" s="9">
        <f>IF(COUNTIFS(Datos!$A$2:$A$5000,G$1,Datos!$B$2:$B$5000,$A127,Datos!$C$2:$C$5000,$B127,Datos!$D$2:$D$5000,G$2)=0,"",SUMIFS(Datos!$E$2:$E$5000,Datos!$A$2:$A$5000,G$1,Datos!$B$2:$B$5000,$A127,Datos!$C$2:$C$5000,$B127,Datos!$D$2:$D$5000,G$2))</f>
        <v/>
      </c>
      <c r="H127" s="9">
        <f>IF(COUNTIFS(Datos!$A$2:$A$5000,H$1,Datos!$B$2:$B$5000,$A127,Datos!$C$2:$C$5000,$B127,Datos!$D$2:$D$5000,H$2)=0,"",SUMIFS(Datos!$E$2:$E$5000,Datos!$A$2:$A$5000,H$1,Datos!$B$2:$B$5000,$A127,Datos!$C$2:$C$5000,$B127,Datos!$D$2:$D$5000,H$2))</f>
        <v/>
      </c>
      <c r="I127" s="9">
        <f>IF(COUNTIFS(Datos!$A$2:$A$5000,I$1,Datos!$B$2:$B$5000,$A127,Datos!$C$2:$C$5000,$B127,Datos!$D$2:$D$5000,I$2)=0,"",SUMIFS(Datos!$E$2:$E$5000,Datos!$A$2:$A$5000,I$1,Datos!$B$2:$B$5000,$A127,Datos!$C$2:$C$5000,$B127,Datos!$D$2:$D$5000,I$2))</f>
        <v/>
      </c>
      <c r="J127" s="9">
        <f>IF(COUNTIFS(Datos!$A$2:$A$5000,J$1,Datos!$B$2:$B$5000,$A127,Datos!$C$2:$C$5000,$B127,Datos!$D$2:$D$5000,J$2)=0,"",SUMIFS(Datos!$E$2:$E$5000,Datos!$A$2:$A$5000,J$1,Datos!$B$2:$B$5000,$A127,Datos!$C$2:$C$5000,$B127,Datos!$D$2:$D$5000,J$2))</f>
        <v/>
      </c>
    </row>
    <row r="128">
      <c r="A128" s="8" t="inlineStr">
        <is>
          <t>Rep. Dominicana</t>
        </is>
      </c>
      <c r="B128" s="8" t="n">
        <v>2004</v>
      </c>
      <c r="C128" s="9">
        <f>IF(COUNTIFS(Datos!$A$2:$A$5000,C$1,Datos!$B$2:$B$5000,$A128,Datos!$C$2:$C$5000,$B128,Datos!$D$2:$D$5000,C$2)=0,"",SUMIFS(Datos!$E$2:$E$5000,Datos!$A$2:$A$5000,C$1,Datos!$B$2:$B$5000,$A128,Datos!$C$2:$C$5000,$B128,Datos!$D$2:$D$5000,C$2))</f>
        <v/>
      </c>
      <c r="D128" s="9">
        <f>IF(COUNTIFS(Datos!$A$2:$A$5000,D$1,Datos!$B$2:$B$5000,$A128,Datos!$C$2:$C$5000,$B128,Datos!$D$2:$D$5000,D$2)=0,"",SUMIFS(Datos!$E$2:$E$5000,Datos!$A$2:$A$5000,D$1,Datos!$B$2:$B$5000,$A128,Datos!$C$2:$C$5000,$B128,Datos!$D$2:$D$5000,D$2))</f>
        <v/>
      </c>
      <c r="E128" s="9">
        <f>IF(COUNTIFS(Datos!$A$2:$A$5000,E$1,Datos!$B$2:$B$5000,$A128,Datos!$C$2:$C$5000,$B128,Datos!$D$2:$D$5000,E$2)=0,"",SUMIFS(Datos!$E$2:$E$5000,Datos!$A$2:$A$5000,E$1,Datos!$B$2:$B$5000,$A128,Datos!$C$2:$C$5000,$B128,Datos!$D$2:$D$5000,E$2))</f>
        <v/>
      </c>
      <c r="F128" s="9">
        <f>IF(COUNTIFS(Datos!$A$2:$A$5000,F$1,Datos!$B$2:$B$5000,$A128,Datos!$C$2:$C$5000,$B128,Datos!$D$2:$D$5000,F$2)=0,"",SUMIFS(Datos!$E$2:$E$5000,Datos!$A$2:$A$5000,F$1,Datos!$B$2:$B$5000,$A128,Datos!$C$2:$C$5000,$B128,Datos!$D$2:$D$5000,F$2))</f>
        <v/>
      </c>
      <c r="G128" s="9">
        <f>IF(COUNTIFS(Datos!$A$2:$A$5000,G$1,Datos!$B$2:$B$5000,$A128,Datos!$C$2:$C$5000,$B128,Datos!$D$2:$D$5000,G$2)=0,"",SUMIFS(Datos!$E$2:$E$5000,Datos!$A$2:$A$5000,G$1,Datos!$B$2:$B$5000,$A128,Datos!$C$2:$C$5000,$B128,Datos!$D$2:$D$5000,G$2))</f>
        <v/>
      </c>
      <c r="H128" s="9">
        <f>IF(COUNTIFS(Datos!$A$2:$A$5000,H$1,Datos!$B$2:$B$5000,$A128,Datos!$C$2:$C$5000,$B128,Datos!$D$2:$D$5000,H$2)=0,"",SUMIFS(Datos!$E$2:$E$5000,Datos!$A$2:$A$5000,H$1,Datos!$B$2:$B$5000,$A128,Datos!$C$2:$C$5000,$B128,Datos!$D$2:$D$5000,H$2))</f>
        <v/>
      </c>
      <c r="I128" s="9">
        <f>IF(COUNTIFS(Datos!$A$2:$A$5000,I$1,Datos!$B$2:$B$5000,$A128,Datos!$C$2:$C$5000,$B128,Datos!$D$2:$D$5000,I$2)=0,"",SUMIFS(Datos!$E$2:$E$5000,Datos!$A$2:$A$5000,I$1,Datos!$B$2:$B$5000,$A128,Datos!$C$2:$C$5000,$B128,Datos!$D$2:$D$5000,I$2))</f>
        <v/>
      </c>
      <c r="J128" s="9">
        <f>IF(COUNTIFS(Datos!$A$2:$A$5000,J$1,Datos!$B$2:$B$5000,$A128,Datos!$C$2:$C$5000,$B128,Datos!$D$2:$D$5000,J$2)=0,"",SUMIFS(Datos!$E$2:$E$5000,Datos!$A$2:$A$5000,J$1,Datos!$B$2:$B$5000,$A128,Datos!$C$2:$C$5000,$B128,Datos!$D$2:$D$5000,J$2))</f>
        <v/>
      </c>
    </row>
    <row r="129">
      <c r="A129" s="8" t="inlineStr">
        <is>
          <t>Rep. Dominicana</t>
        </is>
      </c>
      <c r="B129" s="8" t="n">
        <v>2005</v>
      </c>
      <c r="C129" s="9">
        <f>IF(COUNTIFS(Datos!$A$2:$A$5000,C$1,Datos!$B$2:$B$5000,$A129,Datos!$C$2:$C$5000,$B129,Datos!$D$2:$D$5000,C$2)=0,"",SUMIFS(Datos!$E$2:$E$5000,Datos!$A$2:$A$5000,C$1,Datos!$B$2:$B$5000,$A129,Datos!$C$2:$C$5000,$B129,Datos!$D$2:$D$5000,C$2))</f>
        <v/>
      </c>
      <c r="D129" s="9">
        <f>IF(COUNTIFS(Datos!$A$2:$A$5000,D$1,Datos!$B$2:$B$5000,$A129,Datos!$C$2:$C$5000,$B129,Datos!$D$2:$D$5000,D$2)=0,"",SUMIFS(Datos!$E$2:$E$5000,Datos!$A$2:$A$5000,D$1,Datos!$B$2:$B$5000,$A129,Datos!$C$2:$C$5000,$B129,Datos!$D$2:$D$5000,D$2))</f>
        <v/>
      </c>
      <c r="E129" s="9">
        <f>IF(COUNTIFS(Datos!$A$2:$A$5000,E$1,Datos!$B$2:$B$5000,$A129,Datos!$C$2:$C$5000,$B129,Datos!$D$2:$D$5000,E$2)=0,"",SUMIFS(Datos!$E$2:$E$5000,Datos!$A$2:$A$5000,E$1,Datos!$B$2:$B$5000,$A129,Datos!$C$2:$C$5000,$B129,Datos!$D$2:$D$5000,E$2))</f>
        <v/>
      </c>
      <c r="F129" s="9">
        <f>IF(COUNTIFS(Datos!$A$2:$A$5000,F$1,Datos!$B$2:$B$5000,$A129,Datos!$C$2:$C$5000,$B129,Datos!$D$2:$D$5000,F$2)=0,"",SUMIFS(Datos!$E$2:$E$5000,Datos!$A$2:$A$5000,F$1,Datos!$B$2:$B$5000,$A129,Datos!$C$2:$C$5000,$B129,Datos!$D$2:$D$5000,F$2))</f>
        <v/>
      </c>
      <c r="G129" s="9">
        <f>IF(COUNTIFS(Datos!$A$2:$A$5000,G$1,Datos!$B$2:$B$5000,$A129,Datos!$C$2:$C$5000,$B129,Datos!$D$2:$D$5000,G$2)=0,"",SUMIFS(Datos!$E$2:$E$5000,Datos!$A$2:$A$5000,G$1,Datos!$B$2:$B$5000,$A129,Datos!$C$2:$C$5000,$B129,Datos!$D$2:$D$5000,G$2))</f>
        <v/>
      </c>
      <c r="H129" s="9">
        <f>IF(COUNTIFS(Datos!$A$2:$A$5000,H$1,Datos!$B$2:$B$5000,$A129,Datos!$C$2:$C$5000,$B129,Datos!$D$2:$D$5000,H$2)=0,"",SUMIFS(Datos!$E$2:$E$5000,Datos!$A$2:$A$5000,H$1,Datos!$B$2:$B$5000,$A129,Datos!$C$2:$C$5000,$B129,Datos!$D$2:$D$5000,H$2))</f>
        <v/>
      </c>
      <c r="I129" s="9">
        <f>IF(COUNTIFS(Datos!$A$2:$A$5000,I$1,Datos!$B$2:$B$5000,$A129,Datos!$C$2:$C$5000,$B129,Datos!$D$2:$D$5000,I$2)=0,"",SUMIFS(Datos!$E$2:$E$5000,Datos!$A$2:$A$5000,I$1,Datos!$B$2:$B$5000,$A129,Datos!$C$2:$C$5000,$B129,Datos!$D$2:$D$5000,I$2))</f>
        <v/>
      </c>
      <c r="J129" s="9">
        <f>IF(COUNTIFS(Datos!$A$2:$A$5000,J$1,Datos!$B$2:$B$5000,$A129,Datos!$C$2:$C$5000,$B129,Datos!$D$2:$D$5000,J$2)=0,"",SUMIFS(Datos!$E$2:$E$5000,Datos!$A$2:$A$5000,J$1,Datos!$B$2:$B$5000,$A129,Datos!$C$2:$C$5000,$B129,Datos!$D$2:$D$5000,J$2))</f>
        <v/>
      </c>
    </row>
    <row r="130">
      <c r="A130" s="8" t="inlineStr">
        <is>
          <t>Rep. Dominicana</t>
        </is>
      </c>
      <c r="B130" s="8" t="n">
        <v>2006</v>
      </c>
      <c r="C130" s="9">
        <f>IF(COUNTIFS(Datos!$A$2:$A$5000,C$1,Datos!$B$2:$B$5000,$A130,Datos!$C$2:$C$5000,$B130,Datos!$D$2:$D$5000,C$2)=0,"",SUMIFS(Datos!$E$2:$E$5000,Datos!$A$2:$A$5000,C$1,Datos!$B$2:$B$5000,$A130,Datos!$C$2:$C$5000,$B130,Datos!$D$2:$D$5000,C$2))</f>
        <v/>
      </c>
      <c r="D130" s="9">
        <f>IF(COUNTIFS(Datos!$A$2:$A$5000,D$1,Datos!$B$2:$B$5000,$A130,Datos!$C$2:$C$5000,$B130,Datos!$D$2:$D$5000,D$2)=0,"",SUMIFS(Datos!$E$2:$E$5000,Datos!$A$2:$A$5000,D$1,Datos!$B$2:$B$5000,$A130,Datos!$C$2:$C$5000,$B130,Datos!$D$2:$D$5000,D$2))</f>
        <v/>
      </c>
      <c r="E130" s="9">
        <f>IF(COUNTIFS(Datos!$A$2:$A$5000,E$1,Datos!$B$2:$B$5000,$A130,Datos!$C$2:$C$5000,$B130,Datos!$D$2:$D$5000,E$2)=0,"",SUMIFS(Datos!$E$2:$E$5000,Datos!$A$2:$A$5000,E$1,Datos!$B$2:$B$5000,$A130,Datos!$C$2:$C$5000,$B130,Datos!$D$2:$D$5000,E$2))</f>
        <v/>
      </c>
      <c r="F130" s="9">
        <f>IF(COUNTIFS(Datos!$A$2:$A$5000,F$1,Datos!$B$2:$B$5000,$A130,Datos!$C$2:$C$5000,$B130,Datos!$D$2:$D$5000,F$2)=0,"",SUMIFS(Datos!$E$2:$E$5000,Datos!$A$2:$A$5000,F$1,Datos!$B$2:$B$5000,$A130,Datos!$C$2:$C$5000,$B130,Datos!$D$2:$D$5000,F$2))</f>
        <v/>
      </c>
      <c r="G130" s="9">
        <f>IF(COUNTIFS(Datos!$A$2:$A$5000,G$1,Datos!$B$2:$B$5000,$A130,Datos!$C$2:$C$5000,$B130,Datos!$D$2:$D$5000,G$2)=0,"",SUMIFS(Datos!$E$2:$E$5000,Datos!$A$2:$A$5000,G$1,Datos!$B$2:$B$5000,$A130,Datos!$C$2:$C$5000,$B130,Datos!$D$2:$D$5000,G$2))</f>
        <v/>
      </c>
      <c r="H130" s="9">
        <f>IF(COUNTIFS(Datos!$A$2:$A$5000,H$1,Datos!$B$2:$B$5000,$A130,Datos!$C$2:$C$5000,$B130,Datos!$D$2:$D$5000,H$2)=0,"",SUMIFS(Datos!$E$2:$E$5000,Datos!$A$2:$A$5000,H$1,Datos!$B$2:$B$5000,$A130,Datos!$C$2:$C$5000,$B130,Datos!$D$2:$D$5000,H$2))</f>
        <v/>
      </c>
      <c r="I130" s="9">
        <f>IF(COUNTIFS(Datos!$A$2:$A$5000,I$1,Datos!$B$2:$B$5000,$A130,Datos!$C$2:$C$5000,$B130,Datos!$D$2:$D$5000,I$2)=0,"",SUMIFS(Datos!$E$2:$E$5000,Datos!$A$2:$A$5000,I$1,Datos!$B$2:$B$5000,$A130,Datos!$C$2:$C$5000,$B130,Datos!$D$2:$D$5000,I$2))</f>
        <v/>
      </c>
      <c r="J130" s="9">
        <f>IF(COUNTIFS(Datos!$A$2:$A$5000,J$1,Datos!$B$2:$B$5000,$A130,Datos!$C$2:$C$5000,$B130,Datos!$D$2:$D$5000,J$2)=0,"",SUMIFS(Datos!$E$2:$E$5000,Datos!$A$2:$A$5000,J$1,Datos!$B$2:$B$5000,$A130,Datos!$C$2:$C$5000,$B130,Datos!$D$2:$D$5000,J$2))</f>
        <v/>
      </c>
    </row>
    <row r="131">
      <c r="A131" s="8" t="inlineStr">
        <is>
          <t>Rep. Dominicana</t>
        </is>
      </c>
      <c r="B131" s="8" t="n">
        <v>2007</v>
      </c>
      <c r="C131" s="9">
        <f>IF(COUNTIFS(Datos!$A$2:$A$5000,C$1,Datos!$B$2:$B$5000,$A131,Datos!$C$2:$C$5000,$B131,Datos!$D$2:$D$5000,C$2)=0,"",SUMIFS(Datos!$E$2:$E$5000,Datos!$A$2:$A$5000,C$1,Datos!$B$2:$B$5000,$A131,Datos!$C$2:$C$5000,$B131,Datos!$D$2:$D$5000,C$2))</f>
        <v/>
      </c>
      <c r="D131" s="9">
        <f>IF(COUNTIFS(Datos!$A$2:$A$5000,D$1,Datos!$B$2:$B$5000,$A131,Datos!$C$2:$C$5000,$B131,Datos!$D$2:$D$5000,D$2)=0,"",SUMIFS(Datos!$E$2:$E$5000,Datos!$A$2:$A$5000,D$1,Datos!$B$2:$B$5000,$A131,Datos!$C$2:$C$5000,$B131,Datos!$D$2:$D$5000,D$2))</f>
        <v/>
      </c>
      <c r="E131" s="9">
        <f>IF(COUNTIFS(Datos!$A$2:$A$5000,E$1,Datos!$B$2:$B$5000,$A131,Datos!$C$2:$C$5000,$B131,Datos!$D$2:$D$5000,E$2)=0,"",SUMIFS(Datos!$E$2:$E$5000,Datos!$A$2:$A$5000,E$1,Datos!$B$2:$B$5000,$A131,Datos!$C$2:$C$5000,$B131,Datos!$D$2:$D$5000,E$2))</f>
        <v/>
      </c>
      <c r="F131" s="9">
        <f>IF(COUNTIFS(Datos!$A$2:$A$5000,F$1,Datos!$B$2:$B$5000,$A131,Datos!$C$2:$C$5000,$B131,Datos!$D$2:$D$5000,F$2)=0,"",SUMIFS(Datos!$E$2:$E$5000,Datos!$A$2:$A$5000,F$1,Datos!$B$2:$B$5000,$A131,Datos!$C$2:$C$5000,$B131,Datos!$D$2:$D$5000,F$2))</f>
        <v/>
      </c>
      <c r="G131" s="9">
        <f>IF(COUNTIFS(Datos!$A$2:$A$5000,G$1,Datos!$B$2:$B$5000,$A131,Datos!$C$2:$C$5000,$B131,Datos!$D$2:$D$5000,G$2)=0,"",SUMIFS(Datos!$E$2:$E$5000,Datos!$A$2:$A$5000,G$1,Datos!$B$2:$B$5000,$A131,Datos!$C$2:$C$5000,$B131,Datos!$D$2:$D$5000,G$2))</f>
        <v/>
      </c>
      <c r="H131" s="9">
        <f>IF(COUNTIFS(Datos!$A$2:$A$5000,H$1,Datos!$B$2:$B$5000,$A131,Datos!$C$2:$C$5000,$B131,Datos!$D$2:$D$5000,H$2)=0,"",SUMIFS(Datos!$E$2:$E$5000,Datos!$A$2:$A$5000,H$1,Datos!$B$2:$B$5000,$A131,Datos!$C$2:$C$5000,$B131,Datos!$D$2:$D$5000,H$2))</f>
        <v/>
      </c>
      <c r="I131" s="9">
        <f>IF(COUNTIFS(Datos!$A$2:$A$5000,I$1,Datos!$B$2:$B$5000,$A131,Datos!$C$2:$C$5000,$B131,Datos!$D$2:$D$5000,I$2)=0,"",SUMIFS(Datos!$E$2:$E$5000,Datos!$A$2:$A$5000,I$1,Datos!$B$2:$B$5000,$A131,Datos!$C$2:$C$5000,$B131,Datos!$D$2:$D$5000,I$2))</f>
        <v/>
      </c>
      <c r="J131" s="9">
        <f>IF(COUNTIFS(Datos!$A$2:$A$5000,J$1,Datos!$B$2:$B$5000,$A131,Datos!$C$2:$C$5000,$B131,Datos!$D$2:$D$5000,J$2)=0,"",SUMIFS(Datos!$E$2:$E$5000,Datos!$A$2:$A$5000,J$1,Datos!$B$2:$B$5000,$A131,Datos!$C$2:$C$5000,$B131,Datos!$D$2:$D$5000,J$2))</f>
        <v/>
      </c>
    </row>
    <row r="132">
      <c r="A132" s="8" t="inlineStr">
        <is>
          <t>Rep. Dominicana</t>
        </is>
      </c>
      <c r="B132" s="8" t="n">
        <v>2008</v>
      </c>
      <c r="C132" s="9">
        <f>IF(COUNTIFS(Datos!$A$2:$A$5000,C$1,Datos!$B$2:$B$5000,$A132,Datos!$C$2:$C$5000,$B132,Datos!$D$2:$D$5000,C$2)=0,"",SUMIFS(Datos!$E$2:$E$5000,Datos!$A$2:$A$5000,C$1,Datos!$B$2:$B$5000,$A132,Datos!$C$2:$C$5000,$B132,Datos!$D$2:$D$5000,C$2))</f>
        <v/>
      </c>
      <c r="D132" s="9">
        <f>IF(COUNTIFS(Datos!$A$2:$A$5000,D$1,Datos!$B$2:$B$5000,$A132,Datos!$C$2:$C$5000,$B132,Datos!$D$2:$D$5000,D$2)=0,"",SUMIFS(Datos!$E$2:$E$5000,Datos!$A$2:$A$5000,D$1,Datos!$B$2:$B$5000,$A132,Datos!$C$2:$C$5000,$B132,Datos!$D$2:$D$5000,D$2))</f>
        <v/>
      </c>
      <c r="E132" s="9">
        <f>IF(COUNTIFS(Datos!$A$2:$A$5000,E$1,Datos!$B$2:$B$5000,$A132,Datos!$C$2:$C$5000,$B132,Datos!$D$2:$D$5000,E$2)=0,"",SUMIFS(Datos!$E$2:$E$5000,Datos!$A$2:$A$5000,E$1,Datos!$B$2:$B$5000,$A132,Datos!$C$2:$C$5000,$B132,Datos!$D$2:$D$5000,E$2))</f>
        <v/>
      </c>
      <c r="F132" s="9">
        <f>IF(COUNTIFS(Datos!$A$2:$A$5000,F$1,Datos!$B$2:$B$5000,$A132,Datos!$C$2:$C$5000,$B132,Datos!$D$2:$D$5000,F$2)=0,"",SUMIFS(Datos!$E$2:$E$5000,Datos!$A$2:$A$5000,F$1,Datos!$B$2:$B$5000,$A132,Datos!$C$2:$C$5000,$B132,Datos!$D$2:$D$5000,F$2))</f>
        <v/>
      </c>
      <c r="G132" s="9">
        <f>IF(COUNTIFS(Datos!$A$2:$A$5000,G$1,Datos!$B$2:$B$5000,$A132,Datos!$C$2:$C$5000,$B132,Datos!$D$2:$D$5000,G$2)=0,"",SUMIFS(Datos!$E$2:$E$5000,Datos!$A$2:$A$5000,G$1,Datos!$B$2:$B$5000,$A132,Datos!$C$2:$C$5000,$B132,Datos!$D$2:$D$5000,G$2))</f>
        <v/>
      </c>
      <c r="H132" s="9">
        <f>IF(COUNTIFS(Datos!$A$2:$A$5000,H$1,Datos!$B$2:$B$5000,$A132,Datos!$C$2:$C$5000,$B132,Datos!$D$2:$D$5000,H$2)=0,"",SUMIFS(Datos!$E$2:$E$5000,Datos!$A$2:$A$5000,H$1,Datos!$B$2:$B$5000,$A132,Datos!$C$2:$C$5000,$B132,Datos!$D$2:$D$5000,H$2))</f>
        <v/>
      </c>
      <c r="I132" s="9">
        <f>IF(COUNTIFS(Datos!$A$2:$A$5000,I$1,Datos!$B$2:$B$5000,$A132,Datos!$C$2:$C$5000,$B132,Datos!$D$2:$D$5000,I$2)=0,"",SUMIFS(Datos!$E$2:$E$5000,Datos!$A$2:$A$5000,I$1,Datos!$B$2:$B$5000,$A132,Datos!$C$2:$C$5000,$B132,Datos!$D$2:$D$5000,I$2))</f>
        <v/>
      </c>
      <c r="J132" s="9">
        <f>IF(COUNTIFS(Datos!$A$2:$A$5000,J$1,Datos!$B$2:$B$5000,$A132,Datos!$C$2:$C$5000,$B132,Datos!$D$2:$D$5000,J$2)=0,"",SUMIFS(Datos!$E$2:$E$5000,Datos!$A$2:$A$5000,J$1,Datos!$B$2:$B$5000,$A132,Datos!$C$2:$C$5000,$B132,Datos!$D$2:$D$5000,J$2))</f>
        <v/>
      </c>
    </row>
    <row r="133">
      <c r="A133" s="8" t="inlineStr">
        <is>
          <t>Rep. Dominicana</t>
        </is>
      </c>
      <c r="B133" s="8" t="n">
        <v>2009</v>
      </c>
      <c r="C133" s="9">
        <f>IF(COUNTIFS(Datos!$A$2:$A$5000,C$1,Datos!$B$2:$B$5000,$A133,Datos!$C$2:$C$5000,$B133,Datos!$D$2:$D$5000,C$2)=0,"",SUMIFS(Datos!$E$2:$E$5000,Datos!$A$2:$A$5000,C$1,Datos!$B$2:$B$5000,$A133,Datos!$C$2:$C$5000,$B133,Datos!$D$2:$D$5000,C$2))</f>
        <v/>
      </c>
      <c r="D133" s="9">
        <f>IF(COUNTIFS(Datos!$A$2:$A$5000,D$1,Datos!$B$2:$B$5000,$A133,Datos!$C$2:$C$5000,$B133,Datos!$D$2:$D$5000,D$2)=0,"",SUMIFS(Datos!$E$2:$E$5000,Datos!$A$2:$A$5000,D$1,Datos!$B$2:$B$5000,$A133,Datos!$C$2:$C$5000,$B133,Datos!$D$2:$D$5000,D$2))</f>
        <v/>
      </c>
      <c r="E133" s="9">
        <f>IF(COUNTIFS(Datos!$A$2:$A$5000,E$1,Datos!$B$2:$B$5000,$A133,Datos!$C$2:$C$5000,$B133,Datos!$D$2:$D$5000,E$2)=0,"",SUMIFS(Datos!$E$2:$E$5000,Datos!$A$2:$A$5000,E$1,Datos!$B$2:$B$5000,$A133,Datos!$C$2:$C$5000,$B133,Datos!$D$2:$D$5000,E$2))</f>
        <v/>
      </c>
      <c r="F133" s="9">
        <f>IF(COUNTIFS(Datos!$A$2:$A$5000,F$1,Datos!$B$2:$B$5000,$A133,Datos!$C$2:$C$5000,$B133,Datos!$D$2:$D$5000,F$2)=0,"",SUMIFS(Datos!$E$2:$E$5000,Datos!$A$2:$A$5000,F$1,Datos!$B$2:$B$5000,$A133,Datos!$C$2:$C$5000,$B133,Datos!$D$2:$D$5000,F$2))</f>
        <v/>
      </c>
      <c r="G133" s="9">
        <f>IF(COUNTIFS(Datos!$A$2:$A$5000,G$1,Datos!$B$2:$B$5000,$A133,Datos!$C$2:$C$5000,$B133,Datos!$D$2:$D$5000,G$2)=0,"",SUMIFS(Datos!$E$2:$E$5000,Datos!$A$2:$A$5000,G$1,Datos!$B$2:$B$5000,$A133,Datos!$C$2:$C$5000,$B133,Datos!$D$2:$D$5000,G$2))</f>
        <v/>
      </c>
      <c r="H133" s="9">
        <f>IF(COUNTIFS(Datos!$A$2:$A$5000,H$1,Datos!$B$2:$B$5000,$A133,Datos!$C$2:$C$5000,$B133,Datos!$D$2:$D$5000,H$2)=0,"",SUMIFS(Datos!$E$2:$E$5000,Datos!$A$2:$A$5000,H$1,Datos!$B$2:$B$5000,$A133,Datos!$C$2:$C$5000,$B133,Datos!$D$2:$D$5000,H$2))</f>
        <v/>
      </c>
      <c r="I133" s="9">
        <f>IF(COUNTIFS(Datos!$A$2:$A$5000,I$1,Datos!$B$2:$B$5000,$A133,Datos!$C$2:$C$5000,$B133,Datos!$D$2:$D$5000,I$2)=0,"",SUMIFS(Datos!$E$2:$E$5000,Datos!$A$2:$A$5000,I$1,Datos!$B$2:$B$5000,$A133,Datos!$C$2:$C$5000,$B133,Datos!$D$2:$D$5000,I$2))</f>
        <v/>
      </c>
      <c r="J133" s="9">
        <f>IF(COUNTIFS(Datos!$A$2:$A$5000,J$1,Datos!$B$2:$B$5000,$A133,Datos!$C$2:$C$5000,$B133,Datos!$D$2:$D$5000,J$2)=0,"",SUMIFS(Datos!$E$2:$E$5000,Datos!$A$2:$A$5000,J$1,Datos!$B$2:$B$5000,$A133,Datos!$C$2:$C$5000,$B133,Datos!$D$2:$D$5000,J$2))</f>
        <v/>
      </c>
    </row>
    <row r="134">
      <c r="A134" s="8" t="inlineStr">
        <is>
          <t>Rep. Dominicana</t>
        </is>
      </c>
      <c r="B134" s="8" t="n">
        <v>2010</v>
      </c>
      <c r="C134" s="9">
        <f>IF(COUNTIFS(Datos!$A$2:$A$5000,C$1,Datos!$B$2:$B$5000,$A134,Datos!$C$2:$C$5000,$B134,Datos!$D$2:$D$5000,C$2)=0,"",SUMIFS(Datos!$E$2:$E$5000,Datos!$A$2:$A$5000,C$1,Datos!$B$2:$B$5000,$A134,Datos!$C$2:$C$5000,$B134,Datos!$D$2:$D$5000,C$2))</f>
        <v/>
      </c>
      <c r="D134" s="9">
        <f>IF(COUNTIFS(Datos!$A$2:$A$5000,D$1,Datos!$B$2:$B$5000,$A134,Datos!$C$2:$C$5000,$B134,Datos!$D$2:$D$5000,D$2)=0,"",SUMIFS(Datos!$E$2:$E$5000,Datos!$A$2:$A$5000,D$1,Datos!$B$2:$B$5000,$A134,Datos!$C$2:$C$5000,$B134,Datos!$D$2:$D$5000,D$2))</f>
        <v/>
      </c>
      <c r="E134" s="9">
        <f>IF(COUNTIFS(Datos!$A$2:$A$5000,E$1,Datos!$B$2:$B$5000,$A134,Datos!$C$2:$C$5000,$B134,Datos!$D$2:$D$5000,E$2)=0,"",SUMIFS(Datos!$E$2:$E$5000,Datos!$A$2:$A$5000,E$1,Datos!$B$2:$B$5000,$A134,Datos!$C$2:$C$5000,$B134,Datos!$D$2:$D$5000,E$2))</f>
        <v/>
      </c>
      <c r="F134" s="9">
        <f>IF(COUNTIFS(Datos!$A$2:$A$5000,F$1,Datos!$B$2:$B$5000,$A134,Datos!$C$2:$C$5000,$B134,Datos!$D$2:$D$5000,F$2)=0,"",SUMIFS(Datos!$E$2:$E$5000,Datos!$A$2:$A$5000,F$1,Datos!$B$2:$B$5000,$A134,Datos!$C$2:$C$5000,$B134,Datos!$D$2:$D$5000,F$2))</f>
        <v/>
      </c>
      <c r="G134" s="9">
        <f>IF(COUNTIFS(Datos!$A$2:$A$5000,G$1,Datos!$B$2:$B$5000,$A134,Datos!$C$2:$C$5000,$B134,Datos!$D$2:$D$5000,G$2)=0,"",SUMIFS(Datos!$E$2:$E$5000,Datos!$A$2:$A$5000,G$1,Datos!$B$2:$B$5000,$A134,Datos!$C$2:$C$5000,$B134,Datos!$D$2:$D$5000,G$2))</f>
        <v/>
      </c>
      <c r="H134" s="9">
        <f>IF(COUNTIFS(Datos!$A$2:$A$5000,H$1,Datos!$B$2:$B$5000,$A134,Datos!$C$2:$C$5000,$B134,Datos!$D$2:$D$5000,H$2)=0,"",SUMIFS(Datos!$E$2:$E$5000,Datos!$A$2:$A$5000,H$1,Datos!$B$2:$B$5000,$A134,Datos!$C$2:$C$5000,$B134,Datos!$D$2:$D$5000,H$2))</f>
        <v/>
      </c>
      <c r="I134" s="9">
        <f>IF(COUNTIFS(Datos!$A$2:$A$5000,I$1,Datos!$B$2:$B$5000,$A134,Datos!$C$2:$C$5000,$B134,Datos!$D$2:$D$5000,I$2)=0,"",SUMIFS(Datos!$E$2:$E$5000,Datos!$A$2:$A$5000,I$1,Datos!$B$2:$B$5000,$A134,Datos!$C$2:$C$5000,$B134,Datos!$D$2:$D$5000,I$2))</f>
        <v/>
      </c>
      <c r="J134" s="9">
        <f>IF(COUNTIFS(Datos!$A$2:$A$5000,J$1,Datos!$B$2:$B$5000,$A134,Datos!$C$2:$C$5000,$B134,Datos!$D$2:$D$5000,J$2)=0,"",SUMIFS(Datos!$E$2:$E$5000,Datos!$A$2:$A$5000,J$1,Datos!$B$2:$B$5000,$A134,Datos!$C$2:$C$5000,$B134,Datos!$D$2:$D$5000,J$2))</f>
        <v/>
      </c>
    </row>
    <row r="135">
      <c r="A135" s="8" t="inlineStr">
        <is>
          <t>Rep. Dominicana</t>
        </is>
      </c>
      <c r="B135" s="8" t="n">
        <v>2011</v>
      </c>
      <c r="C135" s="9">
        <f>IF(COUNTIFS(Datos!$A$2:$A$5000,C$1,Datos!$B$2:$B$5000,$A135,Datos!$C$2:$C$5000,$B135,Datos!$D$2:$D$5000,C$2)=0,"",SUMIFS(Datos!$E$2:$E$5000,Datos!$A$2:$A$5000,C$1,Datos!$B$2:$B$5000,$A135,Datos!$C$2:$C$5000,$B135,Datos!$D$2:$D$5000,C$2))</f>
        <v/>
      </c>
      <c r="D135" s="9">
        <f>IF(COUNTIFS(Datos!$A$2:$A$5000,D$1,Datos!$B$2:$B$5000,$A135,Datos!$C$2:$C$5000,$B135,Datos!$D$2:$D$5000,D$2)=0,"",SUMIFS(Datos!$E$2:$E$5000,Datos!$A$2:$A$5000,D$1,Datos!$B$2:$B$5000,$A135,Datos!$C$2:$C$5000,$B135,Datos!$D$2:$D$5000,D$2))</f>
        <v/>
      </c>
      <c r="E135" s="9">
        <f>IF(COUNTIFS(Datos!$A$2:$A$5000,E$1,Datos!$B$2:$B$5000,$A135,Datos!$C$2:$C$5000,$B135,Datos!$D$2:$D$5000,E$2)=0,"",SUMIFS(Datos!$E$2:$E$5000,Datos!$A$2:$A$5000,E$1,Datos!$B$2:$B$5000,$A135,Datos!$C$2:$C$5000,$B135,Datos!$D$2:$D$5000,E$2))</f>
        <v/>
      </c>
      <c r="F135" s="9">
        <f>IF(COUNTIFS(Datos!$A$2:$A$5000,F$1,Datos!$B$2:$B$5000,$A135,Datos!$C$2:$C$5000,$B135,Datos!$D$2:$D$5000,F$2)=0,"",SUMIFS(Datos!$E$2:$E$5000,Datos!$A$2:$A$5000,F$1,Datos!$B$2:$B$5000,$A135,Datos!$C$2:$C$5000,$B135,Datos!$D$2:$D$5000,F$2))</f>
        <v/>
      </c>
      <c r="G135" s="9">
        <f>IF(COUNTIFS(Datos!$A$2:$A$5000,G$1,Datos!$B$2:$B$5000,$A135,Datos!$C$2:$C$5000,$B135,Datos!$D$2:$D$5000,G$2)=0,"",SUMIFS(Datos!$E$2:$E$5000,Datos!$A$2:$A$5000,G$1,Datos!$B$2:$B$5000,$A135,Datos!$C$2:$C$5000,$B135,Datos!$D$2:$D$5000,G$2))</f>
        <v/>
      </c>
      <c r="H135" s="9">
        <f>IF(COUNTIFS(Datos!$A$2:$A$5000,H$1,Datos!$B$2:$B$5000,$A135,Datos!$C$2:$C$5000,$B135,Datos!$D$2:$D$5000,H$2)=0,"",SUMIFS(Datos!$E$2:$E$5000,Datos!$A$2:$A$5000,H$1,Datos!$B$2:$B$5000,$A135,Datos!$C$2:$C$5000,$B135,Datos!$D$2:$D$5000,H$2))</f>
        <v/>
      </c>
      <c r="I135" s="9">
        <f>IF(COUNTIFS(Datos!$A$2:$A$5000,I$1,Datos!$B$2:$B$5000,$A135,Datos!$C$2:$C$5000,$B135,Datos!$D$2:$D$5000,I$2)=0,"",SUMIFS(Datos!$E$2:$E$5000,Datos!$A$2:$A$5000,I$1,Datos!$B$2:$B$5000,$A135,Datos!$C$2:$C$5000,$B135,Datos!$D$2:$D$5000,I$2))</f>
        <v/>
      </c>
      <c r="J135" s="9">
        <f>IF(COUNTIFS(Datos!$A$2:$A$5000,J$1,Datos!$B$2:$B$5000,$A135,Datos!$C$2:$C$5000,$B135,Datos!$D$2:$D$5000,J$2)=0,"",SUMIFS(Datos!$E$2:$E$5000,Datos!$A$2:$A$5000,J$1,Datos!$B$2:$B$5000,$A135,Datos!$C$2:$C$5000,$B135,Datos!$D$2:$D$5000,J$2))</f>
        <v/>
      </c>
    </row>
    <row r="136">
      <c r="A136" s="8" t="inlineStr">
        <is>
          <t>Rep. Dominicana</t>
        </is>
      </c>
      <c r="B136" s="8" t="n">
        <v>2016</v>
      </c>
      <c r="C136" s="9">
        <f>IF(COUNTIFS(Datos!$A$2:$A$5000,C$1,Datos!$B$2:$B$5000,$A136,Datos!$C$2:$C$5000,$B136,Datos!$D$2:$D$5000,C$2)=0,"",SUMIFS(Datos!$E$2:$E$5000,Datos!$A$2:$A$5000,C$1,Datos!$B$2:$B$5000,$A136,Datos!$C$2:$C$5000,$B136,Datos!$D$2:$D$5000,C$2))</f>
        <v/>
      </c>
      <c r="D136" s="9">
        <f>IF(COUNTIFS(Datos!$A$2:$A$5000,D$1,Datos!$B$2:$B$5000,$A136,Datos!$C$2:$C$5000,$B136,Datos!$D$2:$D$5000,D$2)=0,"",SUMIFS(Datos!$E$2:$E$5000,Datos!$A$2:$A$5000,D$1,Datos!$B$2:$B$5000,$A136,Datos!$C$2:$C$5000,$B136,Datos!$D$2:$D$5000,D$2))</f>
        <v/>
      </c>
      <c r="E136" s="9">
        <f>IF(COUNTIFS(Datos!$A$2:$A$5000,E$1,Datos!$B$2:$B$5000,$A136,Datos!$C$2:$C$5000,$B136,Datos!$D$2:$D$5000,E$2)=0,"",SUMIFS(Datos!$E$2:$E$5000,Datos!$A$2:$A$5000,E$1,Datos!$B$2:$B$5000,$A136,Datos!$C$2:$C$5000,$B136,Datos!$D$2:$D$5000,E$2))</f>
        <v/>
      </c>
      <c r="F136" s="9">
        <f>IF(COUNTIFS(Datos!$A$2:$A$5000,F$1,Datos!$B$2:$B$5000,$A136,Datos!$C$2:$C$5000,$B136,Datos!$D$2:$D$5000,F$2)=0,"",SUMIFS(Datos!$E$2:$E$5000,Datos!$A$2:$A$5000,F$1,Datos!$B$2:$B$5000,$A136,Datos!$C$2:$C$5000,$B136,Datos!$D$2:$D$5000,F$2))</f>
        <v/>
      </c>
      <c r="G136" s="9">
        <f>IF(COUNTIFS(Datos!$A$2:$A$5000,G$1,Datos!$B$2:$B$5000,$A136,Datos!$C$2:$C$5000,$B136,Datos!$D$2:$D$5000,G$2)=0,"",SUMIFS(Datos!$E$2:$E$5000,Datos!$A$2:$A$5000,G$1,Datos!$B$2:$B$5000,$A136,Datos!$C$2:$C$5000,$B136,Datos!$D$2:$D$5000,G$2))</f>
        <v/>
      </c>
      <c r="H136" s="9">
        <f>IF(COUNTIFS(Datos!$A$2:$A$5000,H$1,Datos!$B$2:$B$5000,$A136,Datos!$C$2:$C$5000,$B136,Datos!$D$2:$D$5000,H$2)=0,"",SUMIFS(Datos!$E$2:$E$5000,Datos!$A$2:$A$5000,H$1,Datos!$B$2:$B$5000,$A136,Datos!$C$2:$C$5000,$B136,Datos!$D$2:$D$5000,H$2))</f>
        <v/>
      </c>
      <c r="I136" s="9">
        <f>IF(COUNTIFS(Datos!$A$2:$A$5000,I$1,Datos!$B$2:$B$5000,$A136,Datos!$C$2:$C$5000,$B136,Datos!$D$2:$D$5000,I$2)=0,"",SUMIFS(Datos!$E$2:$E$5000,Datos!$A$2:$A$5000,I$1,Datos!$B$2:$B$5000,$A136,Datos!$C$2:$C$5000,$B136,Datos!$D$2:$D$5000,I$2))</f>
        <v/>
      </c>
      <c r="J136" s="9">
        <f>IF(COUNTIFS(Datos!$A$2:$A$5000,J$1,Datos!$B$2:$B$5000,$A136,Datos!$C$2:$C$5000,$B136,Datos!$D$2:$D$5000,J$2)=0,"",SUMIFS(Datos!$E$2:$E$5000,Datos!$A$2:$A$5000,J$1,Datos!$B$2:$B$5000,$A136,Datos!$C$2:$C$5000,$B136,Datos!$D$2:$D$5000,J$2))</f>
        <v/>
      </c>
    </row>
    <row r="137">
      <c r="A137" s="8" t="inlineStr">
        <is>
          <t>Rep. Dominicana</t>
        </is>
      </c>
      <c r="B137" s="8" t="n">
        <v>2017</v>
      </c>
      <c r="C137" s="9">
        <f>IF(COUNTIFS(Datos!$A$2:$A$5000,C$1,Datos!$B$2:$B$5000,$A137,Datos!$C$2:$C$5000,$B137,Datos!$D$2:$D$5000,C$2)=0,"",SUMIFS(Datos!$E$2:$E$5000,Datos!$A$2:$A$5000,C$1,Datos!$B$2:$B$5000,$A137,Datos!$C$2:$C$5000,$B137,Datos!$D$2:$D$5000,C$2))</f>
        <v/>
      </c>
      <c r="D137" s="9">
        <f>IF(COUNTIFS(Datos!$A$2:$A$5000,D$1,Datos!$B$2:$B$5000,$A137,Datos!$C$2:$C$5000,$B137,Datos!$D$2:$D$5000,D$2)=0,"",SUMIFS(Datos!$E$2:$E$5000,Datos!$A$2:$A$5000,D$1,Datos!$B$2:$B$5000,$A137,Datos!$C$2:$C$5000,$B137,Datos!$D$2:$D$5000,D$2))</f>
        <v/>
      </c>
      <c r="E137" s="9">
        <f>IF(COUNTIFS(Datos!$A$2:$A$5000,E$1,Datos!$B$2:$B$5000,$A137,Datos!$C$2:$C$5000,$B137,Datos!$D$2:$D$5000,E$2)=0,"",SUMIFS(Datos!$E$2:$E$5000,Datos!$A$2:$A$5000,E$1,Datos!$B$2:$B$5000,$A137,Datos!$C$2:$C$5000,$B137,Datos!$D$2:$D$5000,E$2))</f>
        <v/>
      </c>
      <c r="F137" s="9">
        <f>IF(COUNTIFS(Datos!$A$2:$A$5000,F$1,Datos!$B$2:$B$5000,$A137,Datos!$C$2:$C$5000,$B137,Datos!$D$2:$D$5000,F$2)=0,"",SUMIFS(Datos!$E$2:$E$5000,Datos!$A$2:$A$5000,F$1,Datos!$B$2:$B$5000,$A137,Datos!$C$2:$C$5000,$B137,Datos!$D$2:$D$5000,F$2))</f>
        <v/>
      </c>
      <c r="G137" s="9">
        <f>IF(COUNTIFS(Datos!$A$2:$A$5000,G$1,Datos!$B$2:$B$5000,$A137,Datos!$C$2:$C$5000,$B137,Datos!$D$2:$D$5000,G$2)=0,"",SUMIFS(Datos!$E$2:$E$5000,Datos!$A$2:$A$5000,G$1,Datos!$B$2:$B$5000,$A137,Datos!$C$2:$C$5000,$B137,Datos!$D$2:$D$5000,G$2))</f>
        <v/>
      </c>
      <c r="H137" s="9">
        <f>IF(COUNTIFS(Datos!$A$2:$A$5000,H$1,Datos!$B$2:$B$5000,$A137,Datos!$C$2:$C$5000,$B137,Datos!$D$2:$D$5000,H$2)=0,"",SUMIFS(Datos!$E$2:$E$5000,Datos!$A$2:$A$5000,H$1,Datos!$B$2:$B$5000,$A137,Datos!$C$2:$C$5000,$B137,Datos!$D$2:$D$5000,H$2))</f>
        <v/>
      </c>
      <c r="I137" s="9">
        <f>IF(COUNTIFS(Datos!$A$2:$A$5000,I$1,Datos!$B$2:$B$5000,$A137,Datos!$C$2:$C$5000,$B137,Datos!$D$2:$D$5000,I$2)=0,"",SUMIFS(Datos!$E$2:$E$5000,Datos!$A$2:$A$5000,I$1,Datos!$B$2:$B$5000,$A137,Datos!$C$2:$C$5000,$B137,Datos!$D$2:$D$5000,I$2))</f>
        <v/>
      </c>
      <c r="J137" s="9">
        <f>IF(COUNTIFS(Datos!$A$2:$A$5000,J$1,Datos!$B$2:$B$5000,$A137,Datos!$C$2:$C$5000,$B137,Datos!$D$2:$D$5000,J$2)=0,"",SUMIFS(Datos!$E$2:$E$5000,Datos!$A$2:$A$5000,J$1,Datos!$B$2:$B$5000,$A137,Datos!$C$2:$C$5000,$B137,Datos!$D$2:$D$5000,J$2))</f>
        <v/>
      </c>
    </row>
    <row r="138">
      <c r="A138" s="8" t="inlineStr">
        <is>
          <t>Rep. Dominicana</t>
        </is>
      </c>
      <c r="B138" s="8" t="n">
        <v>2018</v>
      </c>
      <c r="C138" s="9">
        <f>IF(COUNTIFS(Datos!$A$2:$A$5000,C$1,Datos!$B$2:$B$5000,$A138,Datos!$C$2:$C$5000,$B138,Datos!$D$2:$D$5000,C$2)=0,"",SUMIFS(Datos!$E$2:$E$5000,Datos!$A$2:$A$5000,C$1,Datos!$B$2:$B$5000,$A138,Datos!$C$2:$C$5000,$B138,Datos!$D$2:$D$5000,C$2))</f>
        <v/>
      </c>
      <c r="D138" s="9">
        <f>IF(COUNTIFS(Datos!$A$2:$A$5000,D$1,Datos!$B$2:$B$5000,$A138,Datos!$C$2:$C$5000,$B138,Datos!$D$2:$D$5000,D$2)=0,"",SUMIFS(Datos!$E$2:$E$5000,Datos!$A$2:$A$5000,D$1,Datos!$B$2:$B$5000,$A138,Datos!$C$2:$C$5000,$B138,Datos!$D$2:$D$5000,D$2))</f>
        <v/>
      </c>
      <c r="E138" s="9">
        <f>IF(COUNTIFS(Datos!$A$2:$A$5000,E$1,Datos!$B$2:$B$5000,$A138,Datos!$C$2:$C$5000,$B138,Datos!$D$2:$D$5000,E$2)=0,"",SUMIFS(Datos!$E$2:$E$5000,Datos!$A$2:$A$5000,E$1,Datos!$B$2:$B$5000,$A138,Datos!$C$2:$C$5000,$B138,Datos!$D$2:$D$5000,E$2))</f>
        <v/>
      </c>
      <c r="F138" s="9">
        <f>IF(COUNTIFS(Datos!$A$2:$A$5000,F$1,Datos!$B$2:$B$5000,$A138,Datos!$C$2:$C$5000,$B138,Datos!$D$2:$D$5000,F$2)=0,"",SUMIFS(Datos!$E$2:$E$5000,Datos!$A$2:$A$5000,F$1,Datos!$B$2:$B$5000,$A138,Datos!$C$2:$C$5000,$B138,Datos!$D$2:$D$5000,F$2))</f>
        <v/>
      </c>
      <c r="G138" s="9">
        <f>IF(COUNTIFS(Datos!$A$2:$A$5000,G$1,Datos!$B$2:$B$5000,$A138,Datos!$C$2:$C$5000,$B138,Datos!$D$2:$D$5000,G$2)=0,"",SUMIFS(Datos!$E$2:$E$5000,Datos!$A$2:$A$5000,G$1,Datos!$B$2:$B$5000,$A138,Datos!$C$2:$C$5000,$B138,Datos!$D$2:$D$5000,G$2))</f>
        <v/>
      </c>
      <c r="H138" s="9">
        <f>IF(COUNTIFS(Datos!$A$2:$A$5000,H$1,Datos!$B$2:$B$5000,$A138,Datos!$C$2:$C$5000,$B138,Datos!$D$2:$D$5000,H$2)=0,"",SUMIFS(Datos!$E$2:$E$5000,Datos!$A$2:$A$5000,H$1,Datos!$B$2:$B$5000,$A138,Datos!$C$2:$C$5000,$B138,Datos!$D$2:$D$5000,H$2))</f>
        <v/>
      </c>
      <c r="I138" s="9">
        <f>IF(COUNTIFS(Datos!$A$2:$A$5000,I$1,Datos!$B$2:$B$5000,$A138,Datos!$C$2:$C$5000,$B138,Datos!$D$2:$D$5000,I$2)=0,"",SUMIFS(Datos!$E$2:$E$5000,Datos!$A$2:$A$5000,I$1,Datos!$B$2:$B$5000,$A138,Datos!$C$2:$C$5000,$B138,Datos!$D$2:$D$5000,I$2))</f>
        <v/>
      </c>
      <c r="J138" s="9">
        <f>IF(COUNTIFS(Datos!$A$2:$A$5000,J$1,Datos!$B$2:$B$5000,$A138,Datos!$C$2:$C$5000,$B138,Datos!$D$2:$D$5000,J$2)=0,"",SUMIFS(Datos!$E$2:$E$5000,Datos!$A$2:$A$5000,J$1,Datos!$B$2:$B$5000,$A138,Datos!$C$2:$C$5000,$B138,Datos!$D$2:$D$5000,J$2))</f>
        <v/>
      </c>
    </row>
    <row r="139">
      <c r="A139" s="8" t="inlineStr">
        <is>
          <t>Rep. Dominicana</t>
        </is>
      </c>
      <c r="B139" s="8" t="n">
        <v>2020</v>
      </c>
      <c r="C139" s="9">
        <f>IF(COUNTIFS(Datos!$A$2:$A$5000,C$1,Datos!$B$2:$B$5000,$A139,Datos!$C$2:$C$5000,$B139,Datos!$D$2:$D$5000,C$2)=0,"",SUMIFS(Datos!$E$2:$E$5000,Datos!$A$2:$A$5000,C$1,Datos!$B$2:$B$5000,$A139,Datos!$C$2:$C$5000,$B139,Datos!$D$2:$D$5000,C$2))</f>
        <v/>
      </c>
      <c r="D139" s="9">
        <f>IF(COUNTIFS(Datos!$A$2:$A$5000,D$1,Datos!$B$2:$B$5000,$A139,Datos!$C$2:$C$5000,$B139,Datos!$D$2:$D$5000,D$2)=0,"",SUMIFS(Datos!$E$2:$E$5000,Datos!$A$2:$A$5000,D$1,Datos!$B$2:$B$5000,$A139,Datos!$C$2:$C$5000,$B139,Datos!$D$2:$D$5000,D$2))</f>
        <v/>
      </c>
      <c r="E139" s="9">
        <f>IF(COUNTIFS(Datos!$A$2:$A$5000,E$1,Datos!$B$2:$B$5000,$A139,Datos!$C$2:$C$5000,$B139,Datos!$D$2:$D$5000,E$2)=0,"",SUMIFS(Datos!$E$2:$E$5000,Datos!$A$2:$A$5000,E$1,Datos!$B$2:$B$5000,$A139,Datos!$C$2:$C$5000,$B139,Datos!$D$2:$D$5000,E$2))</f>
        <v/>
      </c>
      <c r="F139" s="9">
        <f>IF(COUNTIFS(Datos!$A$2:$A$5000,F$1,Datos!$B$2:$B$5000,$A139,Datos!$C$2:$C$5000,$B139,Datos!$D$2:$D$5000,F$2)=0,"",SUMIFS(Datos!$E$2:$E$5000,Datos!$A$2:$A$5000,F$1,Datos!$B$2:$B$5000,$A139,Datos!$C$2:$C$5000,$B139,Datos!$D$2:$D$5000,F$2))</f>
        <v/>
      </c>
      <c r="G139" s="9">
        <f>IF(COUNTIFS(Datos!$A$2:$A$5000,G$1,Datos!$B$2:$B$5000,$A139,Datos!$C$2:$C$5000,$B139,Datos!$D$2:$D$5000,G$2)=0,"",SUMIFS(Datos!$E$2:$E$5000,Datos!$A$2:$A$5000,G$1,Datos!$B$2:$B$5000,$A139,Datos!$C$2:$C$5000,$B139,Datos!$D$2:$D$5000,G$2))</f>
        <v/>
      </c>
      <c r="H139" s="9">
        <f>IF(COUNTIFS(Datos!$A$2:$A$5000,H$1,Datos!$B$2:$B$5000,$A139,Datos!$C$2:$C$5000,$B139,Datos!$D$2:$D$5000,H$2)=0,"",SUMIFS(Datos!$E$2:$E$5000,Datos!$A$2:$A$5000,H$1,Datos!$B$2:$B$5000,$A139,Datos!$C$2:$C$5000,$B139,Datos!$D$2:$D$5000,H$2))</f>
        <v/>
      </c>
      <c r="I139" s="9">
        <f>IF(COUNTIFS(Datos!$A$2:$A$5000,I$1,Datos!$B$2:$B$5000,$A139,Datos!$C$2:$C$5000,$B139,Datos!$D$2:$D$5000,I$2)=0,"",SUMIFS(Datos!$E$2:$E$5000,Datos!$A$2:$A$5000,I$1,Datos!$B$2:$B$5000,$A139,Datos!$C$2:$C$5000,$B139,Datos!$D$2:$D$5000,I$2))</f>
        <v/>
      </c>
      <c r="J139" s="9">
        <f>IF(COUNTIFS(Datos!$A$2:$A$5000,J$1,Datos!$B$2:$B$5000,$A139,Datos!$C$2:$C$5000,$B139,Datos!$D$2:$D$5000,J$2)=0,"",SUMIFS(Datos!$E$2:$E$5000,Datos!$A$2:$A$5000,J$1,Datos!$B$2:$B$5000,$A139,Datos!$C$2:$C$5000,$B139,Datos!$D$2:$D$5000,J$2))</f>
        <v/>
      </c>
    </row>
    <row r="140">
      <c r="A140" s="8" t="inlineStr">
        <is>
          <t>Rep. Dominicana</t>
        </is>
      </c>
      <c r="B140" s="8" t="n">
        <v>2024</v>
      </c>
      <c r="C140" s="9">
        <f>IF(COUNTIFS(Datos!$A$2:$A$5000,C$1,Datos!$B$2:$B$5000,$A140,Datos!$C$2:$C$5000,$B140,Datos!$D$2:$D$5000,C$2)=0,"",SUMIFS(Datos!$E$2:$E$5000,Datos!$A$2:$A$5000,C$1,Datos!$B$2:$B$5000,$A140,Datos!$C$2:$C$5000,$B140,Datos!$D$2:$D$5000,C$2))</f>
        <v/>
      </c>
      <c r="D140" s="9">
        <f>IF(COUNTIFS(Datos!$A$2:$A$5000,D$1,Datos!$B$2:$B$5000,$A140,Datos!$C$2:$C$5000,$B140,Datos!$D$2:$D$5000,D$2)=0,"",SUMIFS(Datos!$E$2:$E$5000,Datos!$A$2:$A$5000,D$1,Datos!$B$2:$B$5000,$A140,Datos!$C$2:$C$5000,$B140,Datos!$D$2:$D$5000,D$2))</f>
        <v/>
      </c>
      <c r="E140" s="9">
        <f>IF(COUNTIFS(Datos!$A$2:$A$5000,E$1,Datos!$B$2:$B$5000,$A140,Datos!$C$2:$C$5000,$B140,Datos!$D$2:$D$5000,E$2)=0,"",SUMIFS(Datos!$E$2:$E$5000,Datos!$A$2:$A$5000,E$1,Datos!$B$2:$B$5000,$A140,Datos!$C$2:$C$5000,$B140,Datos!$D$2:$D$5000,E$2))</f>
        <v/>
      </c>
      <c r="F140" s="9">
        <f>IF(COUNTIFS(Datos!$A$2:$A$5000,F$1,Datos!$B$2:$B$5000,$A140,Datos!$C$2:$C$5000,$B140,Datos!$D$2:$D$5000,F$2)=0,"",SUMIFS(Datos!$E$2:$E$5000,Datos!$A$2:$A$5000,F$1,Datos!$B$2:$B$5000,$A140,Datos!$C$2:$C$5000,$B140,Datos!$D$2:$D$5000,F$2))</f>
        <v/>
      </c>
      <c r="G140" s="9">
        <f>IF(COUNTIFS(Datos!$A$2:$A$5000,G$1,Datos!$B$2:$B$5000,$A140,Datos!$C$2:$C$5000,$B140,Datos!$D$2:$D$5000,G$2)=0,"",SUMIFS(Datos!$E$2:$E$5000,Datos!$A$2:$A$5000,G$1,Datos!$B$2:$B$5000,$A140,Datos!$C$2:$C$5000,$B140,Datos!$D$2:$D$5000,G$2))</f>
        <v/>
      </c>
      <c r="H140" s="9">
        <f>IF(COUNTIFS(Datos!$A$2:$A$5000,H$1,Datos!$B$2:$B$5000,$A140,Datos!$C$2:$C$5000,$B140,Datos!$D$2:$D$5000,H$2)=0,"",SUMIFS(Datos!$E$2:$E$5000,Datos!$A$2:$A$5000,H$1,Datos!$B$2:$B$5000,$A140,Datos!$C$2:$C$5000,$B140,Datos!$D$2:$D$5000,H$2))</f>
        <v/>
      </c>
      <c r="I140" s="9">
        <f>IF(COUNTIFS(Datos!$A$2:$A$5000,I$1,Datos!$B$2:$B$5000,$A140,Datos!$C$2:$C$5000,$B140,Datos!$D$2:$D$5000,I$2)=0,"",SUMIFS(Datos!$E$2:$E$5000,Datos!$A$2:$A$5000,I$1,Datos!$B$2:$B$5000,$A140,Datos!$C$2:$C$5000,$B140,Datos!$D$2:$D$5000,I$2))</f>
        <v/>
      </c>
      <c r="J140" s="9">
        <f>IF(COUNTIFS(Datos!$A$2:$A$5000,J$1,Datos!$B$2:$B$5000,$A140,Datos!$C$2:$C$5000,$B140,Datos!$D$2:$D$5000,J$2)=0,"",SUMIFS(Datos!$E$2:$E$5000,Datos!$A$2:$A$5000,J$1,Datos!$B$2:$B$5000,$A140,Datos!$C$2:$C$5000,$B140,Datos!$D$2:$D$5000,J$2))</f>
        <v/>
      </c>
    </row>
    <row r="141">
      <c r="A141" s="8" t="inlineStr">
        <is>
          <t>Ecuador</t>
        </is>
      </c>
      <c r="B141" s="8" t="n">
        <v>1996</v>
      </c>
      <c r="C141" s="9">
        <f>IF(COUNTIFS(Datos!$A$2:$A$5000,C$1,Datos!$B$2:$B$5000,$A141,Datos!$C$2:$C$5000,$B141,Datos!$D$2:$D$5000,C$2)=0,"",SUMIFS(Datos!$E$2:$E$5000,Datos!$A$2:$A$5000,C$1,Datos!$B$2:$B$5000,$A141,Datos!$C$2:$C$5000,$B141,Datos!$D$2:$D$5000,C$2))</f>
        <v/>
      </c>
      <c r="D141" s="9">
        <f>IF(COUNTIFS(Datos!$A$2:$A$5000,D$1,Datos!$B$2:$B$5000,$A141,Datos!$C$2:$C$5000,$B141,Datos!$D$2:$D$5000,D$2)=0,"",SUMIFS(Datos!$E$2:$E$5000,Datos!$A$2:$A$5000,D$1,Datos!$B$2:$B$5000,$A141,Datos!$C$2:$C$5000,$B141,Datos!$D$2:$D$5000,D$2))</f>
        <v/>
      </c>
      <c r="E141" s="9">
        <f>IF(COUNTIFS(Datos!$A$2:$A$5000,E$1,Datos!$B$2:$B$5000,$A141,Datos!$C$2:$C$5000,$B141,Datos!$D$2:$D$5000,E$2)=0,"",SUMIFS(Datos!$E$2:$E$5000,Datos!$A$2:$A$5000,E$1,Datos!$B$2:$B$5000,$A141,Datos!$C$2:$C$5000,$B141,Datos!$D$2:$D$5000,E$2))</f>
        <v/>
      </c>
      <c r="F141" s="9">
        <f>IF(COUNTIFS(Datos!$A$2:$A$5000,F$1,Datos!$B$2:$B$5000,$A141,Datos!$C$2:$C$5000,$B141,Datos!$D$2:$D$5000,F$2)=0,"",SUMIFS(Datos!$E$2:$E$5000,Datos!$A$2:$A$5000,F$1,Datos!$B$2:$B$5000,$A141,Datos!$C$2:$C$5000,$B141,Datos!$D$2:$D$5000,F$2))</f>
        <v/>
      </c>
      <c r="G141" s="9">
        <f>IF(COUNTIFS(Datos!$A$2:$A$5000,G$1,Datos!$B$2:$B$5000,$A141,Datos!$C$2:$C$5000,$B141,Datos!$D$2:$D$5000,G$2)=0,"",SUMIFS(Datos!$E$2:$E$5000,Datos!$A$2:$A$5000,G$1,Datos!$B$2:$B$5000,$A141,Datos!$C$2:$C$5000,$B141,Datos!$D$2:$D$5000,G$2))</f>
        <v/>
      </c>
      <c r="H141" s="9">
        <f>IF(COUNTIFS(Datos!$A$2:$A$5000,H$1,Datos!$B$2:$B$5000,$A141,Datos!$C$2:$C$5000,$B141,Datos!$D$2:$D$5000,H$2)=0,"",SUMIFS(Datos!$E$2:$E$5000,Datos!$A$2:$A$5000,H$1,Datos!$B$2:$B$5000,$A141,Datos!$C$2:$C$5000,$B141,Datos!$D$2:$D$5000,H$2))</f>
        <v/>
      </c>
      <c r="I141" s="9">
        <f>IF(COUNTIFS(Datos!$A$2:$A$5000,I$1,Datos!$B$2:$B$5000,$A141,Datos!$C$2:$C$5000,$B141,Datos!$D$2:$D$5000,I$2)=0,"",SUMIFS(Datos!$E$2:$E$5000,Datos!$A$2:$A$5000,I$1,Datos!$B$2:$B$5000,$A141,Datos!$C$2:$C$5000,$B141,Datos!$D$2:$D$5000,I$2))</f>
        <v/>
      </c>
      <c r="J141" s="9">
        <f>IF(COUNTIFS(Datos!$A$2:$A$5000,J$1,Datos!$B$2:$B$5000,$A141,Datos!$C$2:$C$5000,$B141,Datos!$D$2:$D$5000,J$2)=0,"",SUMIFS(Datos!$E$2:$E$5000,Datos!$A$2:$A$5000,J$1,Datos!$B$2:$B$5000,$A141,Datos!$C$2:$C$5000,$B141,Datos!$D$2:$D$5000,J$2))</f>
        <v/>
      </c>
    </row>
    <row r="142">
      <c r="A142" s="8" t="inlineStr">
        <is>
          <t>Ecuador</t>
        </is>
      </c>
      <c r="B142" s="8" t="n">
        <v>1997</v>
      </c>
      <c r="C142" s="9">
        <f>IF(COUNTIFS(Datos!$A$2:$A$5000,C$1,Datos!$B$2:$B$5000,$A142,Datos!$C$2:$C$5000,$B142,Datos!$D$2:$D$5000,C$2)=0,"",SUMIFS(Datos!$E$2:$E$5000,Datos!$A$2:$A$5000,C$1,Datos!$B$2:$B$5000,$A142,Datos!$C$2:$C$5000,$B142,Datos!$D$2:$D$5000,C$2))</f>
        <v/>
      </c>
      <c r="D142" s="9">
        <f>IF(COUNTIFS(Datos!$A$2:$A$5000,D$1,Datos!$B$2:$B$5000,$A142,Datos!$C$2:$C$5000,$B142,Datos!$D$2:$D$5000,D$2)=0,"",SUMIFS(Datos!$E$2:$E$5000,Datos!$A$2:$A$5000,D$1,Datos!$B$2:$B$5000,$A142,Datos!$C$2:$C$5000,$B142,Datos!$D$2:$D$5000,D$2))</f>
        <v/>
      </c>
      <c r="E142" s="9">
        <f>IF(COUNTIFS(Datos!$A$2:$A$5000,E$1,Datos!$B$2:$B$5000,$A142,Datos!$C$2:$C$5000,$B142,Datos!$D$2:$D$5000,E$2)=0,"",SUMIFS(Datos!$E$2:$E$5000,Datos!$A$2:$A$5000,E$1,Datos!$B$2:$B$5000,$A142,Datos!$C$2:$C$5000,$B142,Datos!$D$2:$D$5000,E$2))</f>
        <v/>
      </c>
      <c r="F142" s="9">
        <f>IF(COUNTIFS(Datos!$A$2:$A$5000,F$1,Datos!$B$2:$B$5000,$A142,Datos!$C$2:$C$5000,$B142,Datos!$D$2:$D$5000,F$2)=0,"",SUMIFS(Datos!$E$2:$E$5000,Datos!$A$2:$A$5000,F$1,Datos!$B$2:$B$5000,$A142,Datos!$C$2:$C$5000,$B142,Datos!$D$2:$D$5000,F$2))</f>
        <v/>
      </c>
      <c r="G142" s="9">
        <f>IF(COUNTIFS(Datos!$A$2:$A$5000,G$1,Datos!$B$2:$B$5000,$A142,Datos!$C$2:$C$5000,$B142,Datos!$D$2:$D$5000,G$2)=0,"",SUMIFS(Datos!$E$2:$E$5000,Datos!$A$2:$A$5000,G$1,Datos!$B$2:$B$5000,$A142,Datos!$C$2:$C$5000,$B142,Datos!$D$2:$D$5000,G$2))</f>
        <v/>
      </c>
      <c r="H142" s="9">
        <f>IF(COUNTIFS(Datos!$A$2:$A$5000,H$1,Datos!$B$2:$B$5000,$A142,Datos!$C$2:$C$5000,$B142,Datos!$D$2:$D$5000,H$2)=0,"",SUMIFS(Datos!$E$2:$E$5000,Datos!$A$2:$A$5000,H$1,Datos!$B$2:$B$5000,$A142,Datos!$C$2:$C$5000,$B142,Datos!$D$2:$D$5000,H$2))</f>
        <v/>
      </c>
      <c r="I142" s="9">
        <f>IF(COUNTIFS(Datos!$A$2:$A$5000,I$1,Datos!$B$2:$B$5000,$A142,Datos!$C$2:$C$5000,$B142,Datos!$D$2:$D$5000,I$2)=0,"",SUMIFS(Datos!$E$2:$E$5000,Datos!$A$2:$A$5000,I$1,Datos!$B$2:$B$5000,$A142,Datos!$C$2:$C$5000,$B142,Datos!$D$2:$D$5000,I$2))</f>
        <v/>
      </c>
      <c r="J142" s="9">
        <f>IF(COUNTIFS(Datos!$A$2:$A$5000,J$1,Datos!$B$2:$B$5000,$A142,Datos!$C$2:$C$5000,$B142,Datos!$D$2:$D$5000,J$2)=0,"",SUMIFS(Datos!$E$2:$E$5000,Datos!$A$2:$A$5000,J$1,Datos!$B$2:$B$5000,$A142,Datos!$C$2:$C$5000,$B142,Datos!$D$2:$D$5000,J$2))</f>
        <v/>
      </c>
    </row>
    <row r="143">
      <c r="A143" s="8" t="inlineStr">
        <is>
          <t>Ecuador</t>
        </is>
      </c>
      <c r="B143" s="8" t="n">
        <v>1998</v>
      </c>
      <c r="C143" s="9">
        <f>IF(COUNTIFS(Datos!$A$2:$A$5000,C$1,Datos!$B$2:$B$5000,$A143,Datos!$C$2:$C$5000,$B143,Datos!$D$2:$D$5000,C$2)=0,"",SUMIFS(Datos!$E$2:$E$5000,Datos!$A$2:$A$5000,C$1,Datos!$B$2:$B$5000,$A143,Datos!$C$2:$C$5000,$B143,Datos!$D$2:$D$5000,C$2))</f>
        <v/>
      </c>
      <c r="D143" s="9">
        <f>IF(COUNTIFS(Datos!$A$2:$A$5000,D$1,Datos!$B$2:$B$5000,$A143,Datos!$C$2:$C$5000,$B143,Datos!$D$2:$D$5000,D$2)=0,"",SUMIFS(Datos!$E$2:$E$5000,Datos!$A$2:$A$5000,D$1,Datos!$B$2:$B$5000,$A143,Datos!$C$2:$C$5000,$B143,Datos!$D$2:$D$5000,D$2))</f>
        <v/>
      </c>
      <c r="E143" s="9">
        <f>IF(COUNTIFS(Datos!$A$2:$A$5000,E$1,Datos!$B$2:$B$5000,$A143,Datos!$C$2:$C$5000,$B143,Datos!$D$2:$D$5000,E$2)=0,"",SUMIFS(Datos!$E$2:$E$5000,Datos!$A$2:$A$5000,E$1,Datos!$B$2:$B$5000,$A143,Datos!$C$2:$C$5000,$B143,Datos!$D$2:$D$5000,E$2))</f>
        <v/>
      </c>
      <c r="F143" s="9">
        <f>IF(COUNTIFS(Datos!$A$2:$A$5000,F$1,Datos!$B$2:$B$5000,$A143,Datos!$C$2:$C$5000,$B143,Datos!$D$2:$D$5000,F$2)=0,"",SUMIFS(Datos!$E$2:$E$5000,Datos!$A$2:$A$5000,F$1,Datos!$B$2:$B$5000,$A143,Datos!$C$2:$C$5000,$B143,Datos!$D$2:$D$5000,F$2))</f>
        <v/>
      </c>
      <c r="G143" s="9">
        <f>IF(COUNTIFS(Datos!$A$2:$A$5000,G$1,Datos!$B$2:$B$5000,$A143,Datos!$C$2:$C$5000,$B143,Datos!$D$2:$D$5000,G$2)=0,"",SUMIFS(Datos!$E$2:$E$5000,Datos!$A$2:$A$5000,G$1,Datos!$B$2:$B$5000,$A143,Datos!$C$2:$C$5000,$B143,Datos!$D$2:$D$5000,G$2))</f>
        <v/>
      </c>
      <c r="H143" s="9">
        <f>IF(COUNTIFS(Datos!$A$2:$A$5000,H$1,Datos!$B$2:$B$5000,$A143,Datos!$C$2:$C$5000,$B143,Datos!$D$2:$D$5000,H$2)=0,"",SUMIFS(Datos!$E$2:$E$5000,Datos!$A$2:$A$5000,H$1,Datos!$B$2:$B$5000,$A143,Datos!$C$2:$C$5000,$B143,Datos!$D$2:$D$5000,H$2))</f>
        <v/>
      </c>
      <c r="I143" s="9">
        <f>IF(COUNTIFS(Datos!$A$2:$A$5000,I$1,Datos!$B$2:$B$5000,$A143,Datos!$C$2:$C$5000,$B143,Datos!$D$2:$D$5000,I$2)=0,"",SUMIFS(Datos!$E$2:$E$5000,Datos!$A$2:$A$5000,I$1,Datos!$B$2:$B$5000,$A143,Datos!$C$2:$C$5000,$B143,Datos!$D$2:$D$5000,I$2))</f>
        <v/>
      </c>
      <c r="J143" s="9">
        <f>IF(COUNTIFS(Datos!$A$2:$A$5000,J$1,Datos!$B$2:$B$5000,$A143,Datos!$C$2:$C$5000,$B143,Datos!$D$2:$D$5000,J$2)=0,"",SUMIFS(Datos!$E$2:$E$5000,Datos!$A$2:$A$5000,J$1,Datos!$B$2:$B$5000,$A143,Datos!$C$2:$C$5000,$B143,Datos!$D$2:$D$5000,J$2))</f>
        <v/>
      </c>
    </row>
    <row r="144">
      <c r="A144" s="8" t="inlineStr">
        <is>
          <t>Ecuador</t>
        </is>
      </c>
      <c r="B144" s="8" t="n">
        <v>2000</v>
      </c>
      <c r="C144" s="9">
        <f>IF(COUNTIFS(Datos!$A$2:$A$5000,C$1,Datos!$B$2:$B$5000,$A144,Datos!$C$2:$C$5000,$B144,Datos!$D$2:$D$5000,C$2)=0,"",SUMIFS(Datos!$E$2:$E$5000,Datos!$A$2:$A$5000,C$1,Datos!$B$2:$B$5000,$A144,Datos!$C$2:$C$5000,$B144,Datos!$D$2:$D$5000,C$2))</f>
        <v/>
      </c>
      <c r="D144" s="9">
        <f>IF(COUNTIFS(Datos!$A$2:$A$5000,D$1,Datos!$B$2:$B$5000,$A144,Datos!$C$2:$C$5000,$B144,Datos!$D$2:$D$5000,D$2)=0,"",SUMIFS(Datos!$E$2:$E$5000,Datos!$A$2:$A$5000,D$1,Datos!$B$2:$B$5000,$A144,Datos!$C$2:$C$5000,$B144,Datos!$D$2:$D$5000,D$2))</f>
        <v/>
      </c>
      <c r="E144" s="9">
        <f>IF(COUNTIFS(Datos!$A$2:$A$5000,E$1,Datos!$B$2:$B$5000,$A144,Datos!$C$2:$C$5000,$B144,Datos!$D$2:$D$5000,E$2)=0,"",SUMIFS(Datos!$E$2:$E$5000,Datos!$A$2:$A$5000,E$1,Datos!$B$2:$B$5000,$A144,Datos!$C$2:$C$5000,$B144,Datos!$D$2:$D$5000,E$2))</f>
        <v/>
      </c>
      <c r="F144" s="9">
        <f>IF(COUNTIFS(Datos!$A$2:$A$5000,F$1,Datos!$B$2:$B$5000,$A144,Datos!$C$2:$C$5000,$B144,Datos!$D$2:$D$5000,F$2)=0,"",SUMIFS(Datos!$E$2:$E$5000,Datos!$A$2:$A$5000,F$1,Datos!$B$2:$B$5000,$A144,Datos!$C$2:$C$5000,$B144,Datos!$D$2:$D$5000,F$2))</f>
        <v/>
      </c>
      <c r="G144" s="9">
        <f>IF(COUNTIFS(Datos!$A$2:$A$5000,G$1,Datos!$B$2:$B$5000,$A144,Datos!$C$2:$C$5000,$B144,Datos!$D$2:$D$5000,G$2)=0,"",SUMIFS(Datos!$E$2:$E$5000,Datos!$A$2:$A$5000,G$1,Datos!$B$2:$B$5000,$A144,Datos!$C$2:$C$5000,$B144,Datos!$D$2:$D$5000,G$2))</f>
        <v/>
      </c>
      <c r="H144" s="9">
        <f>IF(COUNTIFS(Datos!$A$2:$A$5000,H$1,Datos!$B$2:$B$5000,$A144,Datos!$C$2:$C$5000,$B144,Datos!$D$2:$D$5000,H$2)=0,"",SUMIFS(Datos!$E$2:$E$5000,Datos!$A$2:$A$5000,H$1,Datos!$B$2:$B$5000,$A144,Datos!$C$2:$C$5000,$B144,Datos!$D$2:$D$5000,H$2))</f>
        <v/>
      </c>
      <c r="I144" s="9">
        <f>IF(COUNTIFS(Datos!$A$2:$A$5000,I$1,Datos!$B$2:$B$5000,$A144,Datos!$C$2:$C$5000,$B144,Datos!$D$2:$D$5000,I$2)=0,"",SUMIFS(Datos!$E$2:$E$5000,Datos!$A$2:$A$5000,I$1,Datos!$B$2:$B$5000,$A144,Datos!$C$2:$C$5000,$B144,Datos!$D$2:$D$5000,I$2))</f>
        <v/>
      </c>
      <c r="J144" s="9">
        <f>IF(COUNTIFS(Datos!$A$2:$A$5000,J$1,Datos!$B$2:$B$5000,$A144,Datos!$C$2:$C$5000,$B144,Datos!$D$2:$D$5000,J$2)=0,"",SUMIFS(Datos!$E$2:$E$5000,Datos!$A$2:$A$5000,J$1,Datos!$B$2:$B$5000,$A144,Datos!$C$2:$C$5000,$B144,Datos!$D$2:$D$5000,J$2))</f>
        <v/>
      </c>
    </row>
    <row r="145">
      <c r="A145" s="8" t="inlineStr">
        <is>
          <t>Ecuador</t>
        </is>
      </c>
      <c r="B145" s="8" t="n">
        <v>2001</v>
      </c>
      <c r="C145" s="9">
        <f>IF(COUNTIFS(Datos!$A$2:$A$5000,C$1,Datos!$B$2:$B$5000,$A145,Datos!$C$2:$C$5000,$B145,Datos!$D$2:$D$5000,C$2)=0,"",SUMIFS(Datos!$E$2:$E$5000,Datos!$A$2:$A$5000,C$1,Datos!$B$2:$B$5000,$A145,Datos!$C$2:$C$5000,$B145,Datos!$D$2:$D$5000,C$2))</f>
        <v/>
      </c>
      <c r="D145" s="9">
        <f>IF(COUNTIFS(Datos!$A$2:$A$5000,D$1,Datos!$B$2:$B$5000,$A145,Datos!$C$2:$C$5000,$B145,Datos!$D$2:$D$5000,D$2)=0,"",SUMIFS(Datos!$E$2:$E$5000,Datos!$A$2:$A$5000,D$1,Datos!$B$2:$B$5000,$A145,Datos!$C$2:$C$5000,$B145,Datos!$D$2:$D$5000,D$2))</f>
        <v/>
      </c>
      <c r="E145" s="9">
        <f>IF(COUNTIFS(Datos!$A$2:$A$5000,E$1,Datos!$B$2:$B$5000,$A145,Datos!$C$2:$C$5000,$B145,Datos!$D$2:$D$5000,E$2)=0,"",SUMIFS(Datos!$E$2:$E$5000,Datos!$A$2:$A$5000,E$1,Datos!$B$2:$B$5000,$A145,Datos!$C$2:$C$5000,$B145,Datos!$D$2:$D$5000,E$2))</f>
        <v/>
      </c>
      <c r="F145" s="9">
        <f>IF(COUNTIFS(Datos!$A$2:$A$5000,F$1,Datos!$B$2:$B$5000,$A145,Datos!$C$2:$C$5000,$B145,Datos!$D$2:$D$5000,F$2)=0,"",SUMIFS(Datos!$E$2:$E$5000,Datos!$A$2:$A$5000,F$1,Datos!$B$2:$B$5000,$A145,Datos!$C$2:$C$5000,$B145,Datos!$D$2:$D$5000,F$2))</f>
        <v/>
      </c>
      <c r="G145" s="9">
        <f>IF(COUNTIFS(Datos!$A$2:$A$5000,G$1,Datos!$B$2:$B$5000,$A145,Datos!$C$2:$C$5000,$B145,Datos!$D$2:$D$5000,G$2)=0,"",SUMIFS(Datos!$E$2:$E$5000,Datos!$A$2:$A$5000,G$1,Datos!$B$2:$B$5000,$A145,Datos!$C$2:$C$5000,$B145,Datos!$D$2:$D$5000,G$2))</f>
        <v/>
      </c>
      <c r="H145" s="9">
        <f>IF(COUNTIFS(Datos!$A$2:$A$5000,H$1,Datos!$B$2:$B$5000,$A145,Datos!$C$2:$C$5000,$B145,Datos!$D$2:$D$5000,H$2)=0,"",SUMIFS(Datos!$E$2:$E$5000,Datos!$A$2:$A$5000,H$1,Datos!$B$2:$B$5000,$A145,Datos!$C$2:$C$5000,$B145,Datos!$D$2:$D$5000,H$2))</f>
        <v/>
      </c>
      <c r="I145" s="9">
        <f>IF(COUNTIFS(Datos!$A$2:$A$5000,I$1,Datos!$B$2:$B$5000,$A145,Datos!$C$2:$C$5000,$B145,Datos!$D$2:$D$5000,I$2)=0,"",SUMIFS(Datos!$E$2:$E$5000,Datos!$A$2:$A$5000,I$1,Datos!$B$2:$B$5000,$A145,Datos!$C$2:$C$5000,$B145,Datos!$D$2:$D$5000,I$2))</f>
        <v/>
      </c>
      <c r="J145" s="9">
        <f>IF(COUNTIFS(Datos!$A$2:$A$5000,J$1,Datos!$B$2:$B$5000,$A145,Datos!$C$2:$C$5000,$B145,Datos!$D$2:$D$5000,J$2)=0,"",SUMIFS(Datos!$E$2:$E$5000,Datos!$A$2:$A$5000,J$1,Datos!$B$2:$B$5000,$A145,Datos!$C$2:$C$5000,$B145,Datos!$D$2:$D$5000,J$2))</f>
        <v/>
      </c>
    </row>
    <row r="146">
      <c r="A146" s="8" t="inlineStr">
        <is>
          <t>Ecuador</t>
        </is>
      </c>
      <c r="B146" s="8" t="n">
        <v>2002</v>
      </c>
      <c r="C146" s="9">
        <f>IF(COUNTIFS(Datos!$A$2:$A$5000,C$1,Datos!$B$2:$B$5000,$A146,Datos!$C$2:$C$5000,$B146,Datos!$D$2:$D$5000,C$2)=0,"",SUMIFS(Datos!$E$2:$E$5000,Datos!$A$2:$A$5000,C$1,Datos!$B$2:$B$5000,$A146,Datos!$C$2:$C$5000,$B146,Datos!$D$2:$D$5000,C$2))</f>
        <v/>
      </c>
      <c r="D146" s="9">
        <f>IF(COUNTIFS(Datos!$A$2:$A$5000,D$1,Datos!$B$2:$B$5000,$A146,Datos!$C$2:$C$5000,$B146,Datos!$D$2:$D$5000,D$2)=0,"",SUMIFS(Datos!$E$2:$E$5000,Datos!$A$2:$A$5000,D$1,Datos!$B$2:$B$5000,$A146,Datos!$C$2:$C$5000,$B146,Datos!$D$2:$D$5000,D$2))</f>
        <v/>
      </c>
      <c r="E146" s="9">
        <f>IF(COUNTIFS(Datos!$A$2:$A$5000,E$1,Datos!$B$2:$B$5000,$A146,Datos!$C$2:$C$5000,$B146,Datos!$D$2:$D$5000,E$2)=0,"",SUMIFS(Datos!$E$2:$E$5000,Datos!$A$2:$A$5000,E$1,Datos!$B$2:$B$5000,$A146,Datos!$C$2:$C$5000,$B146,Datos!$D$2:$D$5000,E$2))</f>
        <v/>
      </c>
      <c r="F146" s="9">
        <f>IF(COUNTIFS(Datos!$A$2:$A$5000,F$1,Datos!$B$2:$B$5000,$A146,Datos!$C$2:$C$5000,$B146,Datos!$D$2:$D$5000,F$2)=0,"",SUMIFS(Datos!$E$2:$E$5000,Datos!$A$2:$A$5000,F$1,Datos!$B$2:$B$5000,$A146,Datos!$C$2:$C$5000,$B146,Datos!$D$2:$D$5000,F$2))</f>
        <v/>
      </c>
      <c r="G146" s="9">
        <f>IF(COUNTIFS(Datos!$A$2:$A$5000,G$1,Datos!$B$2:$B$5000,$A146,Datos!$C$2:$C$5000,$B146,Datos!$D$2:$D$5000,G$2)=0,"",SUMIFS(Datos!$E$2:$E$5000,Datos!$A$2:$A$5000,G$1,Datos!$B$2:$B$5000,$A146,Datos!$C$2:$C$5000,$B146,Datos!$D$2:$D$5000,G$2))</f>
        <v/>
      </c>
      <c r="H146" s="9">
        <f>IF(COUNTIFS(Datos!$A$2:$A$5000,H$1,Datos!$B$2:$B$5000,$A146,Datos!$C$2:$C$5000,$B146,Datos!$D$2:$D$5000,H$2)=0,"",SUMIFS(Datos!$E$2:$E$5000,Datos!$A$2:$A$5000,H$1,Datos!$B$2:$B$5000,$A146,Datos!$C$2:$C$5000,$B146,Datos!$D$2:$D$5000,H$2))</f>
        <v/>
      </c>
      <c r="I146" s="9">
        <f>IF(COUNTIFS(Datos!$A$2:$A$5000,I$1,Datos!$B$2:$B$5000,$A146,Datos!$C$2:$C$5000,$B146,Datos!$D$2:$D$5000,I$2)=0,"",SUMIFS(Datos!$E$2:$E$5000,Datos!$A$2:$A$5000,I$1,Datos!$B$2:$B$5000,$A146,Datos!$C$2:$C$5000,$B146,Datos!$D$2:$D$5000,I$2))</f>
        <v/>
      </c>
      <c r="J146" s="9">
        <f>IF(COUNTIFS(Datos!$A$2:$A$5000,J$1,Datos!$B$2:$B$5000,$A146,Datos!$C$2:$C$5000,$B146,Datos!$D$2:$D$5000,J$2)=0,"",SUMIFS(Datos!$E$2:$E$5000,Datos!$A$2:$A$5000,J$1,Datos!$B$2:$B$5000,$A146,Datos!$C$2:$C$5000,$B146,Datos!$D$2:$D$5000,J$2))</f>
        <v/>
      </c>
    </row>
    <row r="147">
      <c r="A147" s="8" t="inlineStr">
        <is>
          <t>Ecuador</t>
        </is>
      </c>
      <c r="B147" s="8" t="n">
        <v>2003</v>
      </c>
      <c r="C147" s="9">
        <f>IF(COUNTIFS(Datos!$A$2:$A$5000,C$1,Datos!$B$2:$B$5000,$A147,Datos!$C$2:$C$5000,$B147,Datos!$D$2:$D$5000,C$2)=0,"",SUMIFS(Datos!$E$2:$E$5000,Datos!$A$2:$A$5000,C$1,Datos!$B$2:$B$5000,$A147,Datos!$C$2:$C$5000,$B147,Datos!$D$2:$D$5000,C$2))</f>
        <v/>
      </c>
      <c r="D147" s="9">
        <f>IF(COUNTIFS(Datos!$A$2:$A$5000,D$1,Datos!$B$2:$B$5000,$A147,Datos!$C$2:$C$5000,$B147,Datos!$D$2:$D$5000,D$2)=0,"",SUMIFS(Datos!$E$2:$E$5000,Datos!$A$2:$A$5000,D$1,Datos!$B$2:$B$5000,$A147,Datos!$C$2:$C$5000,$B147,Datos!$D$2:$D$5000,D$2))</f>
        <v/>
      </c>
      <c r="E147" s="9">
        <f>IF(COUNTIFS(Datos!$A$2:$A$5000,E$1,Datos!$B$2:$B$5000,$A147,Datos!$C$2:$C$5000,$B147,Datos!$D$2:$D$5000,E$2)=0,"",SUMIFS(Datos!$E$2:$E$5000,Datos!$A$2:$A$5000,E$1,Datos!$B$2:$B$5000,$A147,Datos!$C$2:$C$5000,$B147,Datos!$D$2:$D$5000,E$2))</f>
        <v/>
      </c>
      <c r="F147" s="9">
        <f>IF(COUNTIFS(Datos!$A$2:$A$5000,F$1,Datos!$B$2:$B$5000,$A147,Datos!$C$2:$C$5000,$B147,Datos!$D$2:$D$5000,F$2)=0,"",SUMIFS(Datos!$E$2:$E$5000,Datos!$A$2:$A$5000,F$1,Datos!$B$2:$B$5000,$A147,Datos!$C$2:$C$5000,$B147,Datos!$D$2:$D$5000,F$2))</f>
        <v/>
      </c>
      <c r="G147" s="9">
        <f>IF(COUNTIFS(Datos!$A$2:$A$5000,G$1,Datos!$B$2:$B$5000,$A147,Datos!$C$2:$C$5000,$B147,Datos!$D$2:$D$5000,G$2)=0,"",SUMIFS(Datos!$E$2:$E$5000,Datos!$A$2:$A$5000,G$1,Datos!$B$2:$B$5000,$A147,Datos!$C$2:$C$5000,$B147,Datos!$D$2:$D$5000,G$2))</f>
        <v/>
      </c>
      <c r="H147" s="9">
        <f>IF(COUNTIFS(Datos!$A$2:$A$5000,H$1,Datos!$B$2:$B$5000,$A147,Datos!$C$2:$C$5000,$B147,Datos!$D$2:$D$5000,H$2)=0,"",SUMIFS(Datos!$E$2:$E$5000,Datos!$A$2:$A$5000,H$1,Datos!$B$2:$B$5000,$A147,Datos!$C$2:$C$5000,$B147,Datos!$D$2:$D$5000,H$2))</f>
        <v/>
      </c>
      <c r="I147" s="9">
        <f>IF(COUNTIFS(Datos!$A$2:$A$5000,I$1,Datos!$B$2:$B$5000,$A147,Datos!$C$2:$C$5000,$B147,Datos!$D$2:$D$5000,I$2)=0,"",SUMIFS(Datos!$E$2:$E$5000,Datos!$A$2:$A$5000,I$1,Datos!$B$2:$B$5000,$A147,Datos!$C$2:$C$5000,$B147,Datos!$D$2:$D$5000,I$2))</f>
        <v/>
      </c>
      <c r="J147" s="9">
        <f>IF(COUNTIFS(Datos!$A$2:$A$5000,J$1,Datos!$B$2:$B$5000,$A147,Datos!$C$2:$C$5000,$B147,Datos!$D$2:$D$5000,J$2)=0,"",SUMIFS(Datos!$E$2:$E$5000,Datos!$A$2:$A$5000,J$1,Datos!$B$2:$B$5000,$A147,Datos!$C$2:$C$5000,$B147,Datos!$D$2:$D$5000,J$2))</f>
        <v/>
      </c>
    </row>
    <row r="148">
      <c r="A148" s="8" t="inlineStr">
        <is>
          <t>Ecuador</t>
        </is>
      </c>
      <c r="B148" s="8" t="n">
        <v>2004</v>
      </c>
      <c r="C148" s="9">
        <f>IF(COUNTIFS(Datos!$A$2:$A$5000,C$1,Datos!$B$2:$B$5000,$A148,Datos!$C$2:$C$5000,$B148,Datos!$D$2:$D$5000,C$2)=0,"",SUMIFS(Datos!$E$2:$E$5000,Datos!$A$2:$A$5000,C$1,Datos!$B$2:$B$5000,$A148,Datos!$C$2:$C$5000,$B148,Datos!$D$2:$D$5000,C$2))</f>
        <v/>
      </c>
      <c r="D148" s="9">
        <f>IF(COUNTIFS(Datos!$A$2:$A$5000,D$1,Datos!$B$2:$B$5000,$A148,Datos!$C$2:$C$5000,$B148,Datos!$D$2:$D$5000,D$2)=0,"",SUMIFS(Datos!$E$2:$E$5000,Datos!$A$2:$A$5000,D$1,Datos!$B$2:$B$5000,$A148,Datos!$C$2:$C$5000,$B148,Datos!$D$2:$D$5000,D$2))</f>
        <v/>
      </c>
      <c r="E148" s="9">
        <f>IF(COUNTIFS(Datos!$A$2:$A$5000,E$1,Datos!$B$2:$B$5000,$A148,Datos!$C$2:$C$5000,$B148,Datos!$D$2:$D$5000,E$2)=0,"",SUMIFS(Datos!$E$2:$E$5000,Datos!$A$2:$A$5000,E$1,Datos!$B$2:$B$5000,$A148,Datos!$C$2:$C$5000,$B148,Datos!$D$2:$D$5000,E$2))</f>
        <v/>
      </c>
      <c r="F148" s="9">
        <f>IF(COUNTIFS(Datos!$A$2:$A$5000,F$1,Datos!$B$2:$B$5000,$A148,Datos!$C$2:$C$5000,$B148,Datos!$D$2:$D$5000,F$2)=0,"",SUMIFS(Datos!$E$2:$E$5000,Datos!$A$2:$A$5000,F$1,Datos!$B$2:$B$5000,$A148,Datos!$C$2:$C$5000,$B148,Datos!$D$2:$D$5000,F$2))</f>
        <v/>
      </c>
      <c r="G148" s="9">
        <f>IF(COUNTIFS(Datos!$A$2:$A$5000,G$1,Datos!$B$2:$B$5000,$A148,Datos!$C$2:$C$5000,$B148,Datos!$D$2:$D$5000,G$2)=0,"",SUMIFS(Datos!$E$2:$E$5000,Datos!$A$2:$A$5000,G$1,Datos!$B$2:$B$5000,$A148,Datos!$C$2:$C$5000,$B148,Datos!$D$2:$D$5000,G$2))</f>
        <v/>
      </c>
      <c r="H148" s="9">
        <f>IF(COUNTIFS(Datos!$A$2:$A$5000,H$1,Datos!$B$2:$B$5000,$A148,Datos!$C$2:$C$5000,$B148,Datos!$D$2:$D$5000,H$2)=0,"",SUMIFS(Datos!$E$2:$E$5000,Datos!$A$2:$A$5000,H$1,Datos!$B$2:$B$5000,$A148,Datos!$C$2:$C$5000,$B148,Datos!$D$2:$D$5000,H$2))</f>
        <v/>
      </c>
      <c r="I148" s="9">
        <f>IF(COUNTIFS(Datos!$A$2:$A$5000,I$1,Datos!$B$2:$B$5000,$A148,Datos!$C$2:$C$5000,$B148,Datos!$D$2:$D$5000,I$2)=0,"",SUMIFS(Datos!$E$2:$E$5000,Datos!$A$2:$A$5000,I$1,Datos!$B$2:$B$5000,$A148,Datos!$C$2:$C$5000,$B148,Datos!$D$2:$D$5000,I$2))</f>
        <v/>
      </c>
      <c r="J148" s="9">
        <f>IF(COUNTIFS(Datos!$A$2:$A$5000,J$1,Datos!$B$2:$B$5000,$A148,Datos!$C$2:$C$5000,$B148,Datos!$D$2:$D$5000,J$2)=0,"",SUMIFS(Datos!$E$2:$E$5000,Datos!$A$2:$A$5000,J$1,Datos!$B$2:$B$5000,$A148,Datos!$C$2:$C$5000,$B148,Datos!$D$2:$D$5000,J$2))</f>
        <v/>
      </c>
    </row>
    <row r="149">
      <c r="A149" s="8" t="inlineStr">
        <is>
          <t>Ecuador</t>
        </is>
      </c>
      <c r="B149" s="8" t="n">
        <v>2005</v>
      </c>
      <c r="C149" s="9">
        <f>IF(COUNTIFS(Datos!$A$2:$A$5000,C$1,Datos!$B$2:$B$5000,$A149,Datos!$C$2:$C$5000,$B149,Datos!$D$2:$D$5000,C$2)=0,"",SUMIFS(Datos!$E$2:$E$5000,Datos!$A$2:$A$5000,C$1,Datos!$B$2:$B$5000,$A149,Datos!$C$2:$C$5000,$B149,Datos!$D$2:$D$5000,C$2))</f>
        <v/>
      </c>
      <c r="D149" s="9">
        <f>IF(COUNTIFS(Datos!$A$2:$A$5000,D$1,Datos!$B$2:$B$5000,$A149,Datos!$C$2:$C$5000,$B149,Datos!$D$2:$D$5000,D$2)=0,"",SUMIFS(Datos!$E$2:$E$5000,Datos!$A$2:$A$5000,D$1,Datos!$B$2:$B$5000,$A149,Datos!$C$2:$C$5000,$B149,Datos!$D$2:$D$5000,D$2))</f>
        <v/>
      </c>
      <c r="E149" s="9">
        <f>IF(COUNTIFS(Datos!$A$2:$A$5000,E$1,Datos!$B$2:$B$5000,$A149,Datos!$C$2:$C$5000,$B149,Datos!$D$2:$D$5000,E$2)=0,"",SUMIFS(Datos!$E$2:$E$5000,Datos!$A$2:$A$5000,E$1,Datos!$B$2:$B$5000,$A149,Datos!$C$2:$C$5000,$B149,Datos!$D$2:$D$5000,E$2))</f>
        <v/>
      </c>
      <c r="F149" s="9">
        <f>IF(COUNTIFS(Datos!$A$2:$A$5000,F$1,Datos!$B$2:$B$5000,$A149,Datos!$C$2:$C$5000,$B149,Datos!$D$2:$D$5000,F$2)=0,"",SUMIFS(Datos!$E$2:$E$5000,Datos!$A$2:$A$5000,F$1,Datos!$B$2:$B$5000,$A149,Datos!$C$2:$C$5000,$B149,Datos!$D$2:$D$5000,F$2))</f>
        <v/>
      </c>
      <c r="G149" s="9">
        <f>IF(COUNTIFS(Datos!$A$2:$A$5000,G$1,Datos!$B$2:$B$5000,$A149,Datos!$C$2:$C$5000,$B149,Datos!$D$2:$D$5000,G$2)=0,"",SUMIFS(Datos!$E$2:$E$5000,Datos!$A$2:$A$5000,G$1,Datos!$B$2:$B$5000,$A149,Datos!$C$2:$C$5000,$B149,Datos!$D$2:$D$5000,G$2))</f>
        <v/>
      </c>
      <c r="H149" s="9">
        <f>IF(COUNTIFS(Datos!$A$2:$A$5000,H$1,Datos!$B$2:$B$5000,$A149,Datos!$C$2:$C$5000,$B149,Datos!$D$2:$D$5000,H$2)=0,"",SUMIFS(Datos!$E$2:$E$5000,Datos!$A$2:$A$5000,H$1,Datos!$B$2:$B$5000,$A149,Datos!$C$2:$C$5000,$B149,Datos!$D$2:$D$5000,H$2))</f>
        <v/>
      </c>
      <c r="I149" s="9">
        <f>IF(COUNTIFS(Datos!$A$2:$A$5000,I$1,Datos!$B$2:$B$5000,$A149,Datos!$C$2:$C$5000,$B149,Datos!$D$2:$D$5000,I$2)=0,"",SUMIFS(Datos!$E$2:$E$5000,Datos!$A$2:$A$5000,I$1,Datos!$B$2:$B$5000,$A149,Datos!$C$2:$C$5000,$B149,Datos!$D$2:$D$5000,I$2))</f>
        <v/>
      </c>
      <c r="J149" s="9">
        <f>IF(COUNTIFS(Datos!$A$2:$A$5000,J$1,Datos!$B$2:$B$5000,$A149,Datos!$C$2:$C$5000,$B149,Datos!$D$2:$D$5000,J$2)=0,"",SUMIFS(Datos!$E$2:$E$5000,Datos!$A$2:$A$5000,J$1,Datos!$B$2:$B$5000,$A149,Datos!$C$2:$C$5000,$B149,Datos!$D$2:$D$5000,J$2))</f>
        <v/>
      </c>
    </row>
    <row r="150">
      <c r="A150" s="8" t="inlineStr">
        <is>
          <t>Ecuador</t>
        </is>
      </c>
      <c r="B150" s="8" t="n">
        <v>2006</v>
      </c>
      <c r="C150" s="9">
        <f>IF(COUNTIFS(Datos!$A$2:$A$5000,C$1,Datos!$B$2:$B$5000,$A150,Datos!$C$2:$C$5000,$B150,Datos!$D$2:$D$5000,C$2)=0,"",SUMIFS(Datos!$E$2:$E$5000,Datos!$A$2:$A$5000,C$1,Datos!$B$2:$B$5000,$A150,Datos!$C$2:$C$5000,$B150,Datos!$D$2:$D$5000,C$2))</f>
        <v/>
      </c>
      <c r="D150" s="9">
        <f>IF(COUNTIFS(Datos!$A$2:$A$5000,D$1,Datos!$B$2:$B$5000,$A150,Datos!$C$2:$C$5000,$B150,Datos!$D$2:$D$5000,D$2)=0,"",SUMIFS(Datos!$E$2:$E$5000,Datos!$A$2:$A$5000,D$1,Datos!$B$2:$B$5000,$A150,Datos!$C$2:$C$5000,$B150,Datos!$D$2:$D$5000,D$2))</f>
        <v/>
      </c>
      <c r="E150" s="9">
        <f>IF(COUNTIFS(Datos!$A$2:$A$5000,E$1,Datos!$B$2:$B$5000,$A150,Datos!$C$2:$C$5000,$B150,Datos!$D$2:$D$5000,E$2)=0,"",SUMIFS(Datos!$E$2:$E$5000,Datos!$A$2:$A$5000,E$1,Datos!$B$2:$B$5000,$A150,Datos!$C$2:$C$5000,$B150,Datos!$D$2:$D$5000,E$2))</f>
        <v/>
      </c>
      <c r="F150" s="9">
        <f>IF(COUNTIFS(Datos!$A$2:$A$5000,F$1,Datos!$B$2:$B$5000,$A150,Datos!$C$2:$C$5000,$B150,Datos!$D$2:$D$5000,F$2)=0,"",SUMIFS(Datos!$E$2:$E$5000,Datos!$A$2:$A$5000,F$1,Datos!$B$2:$B$5000,$A150,Datos!$C$2:$C$5000,$B150,Datos!$D$2:$D$5000,F$2))</f>
        <v/>
      </c>
      <c r="G150" s="9">
        <f>IF(COUNTIFS(Datos!$A$2:$A$5000,G$1,Datos!$B$2:$B$5000,$A150,Datos!$C$2:$C$5000,$B150,Datos!$D$2:$D$5000,G$2)=0,"",SUMIFS(Datos!$E$2:$E$5000,Datos!$A$2:$A$5000,G$1,Datos!$B$2:$B$5000,$A150,Datos!$C$2:$C$5000,$B150,Datos!$D$2:$D$5000,G$2))</f>
        <v/>
      </c>
      <c r="H150" s="9">
        <f>IF(COUNTIFS(Datos!$A$2:$A$5000,H$1,Datos!$B$2:$B$5000,$A150,Datos!$C$2:$C$5000,$B150,Datos!$D$2:$D$5000,H$2)=0,"",SUMIFS(Datos!$E$2:$E$5000,Datos!$A$2:$A$5000,H$1,Datos!$B$2:$B$5000,$A150,Datos!$C$2:$C$5000,$B150,Datos!$D$2:$D$5000,H$2))</f>
        <v/>
      </c>
      <c r="I150" s="9">
        <f>IF(COUNTIFS(Datos!$A$2:$A$5000,I$1,Datos!$B$2:$B$5000,$A150,Datos!$C$2:$C$5000,$B150,Datos!$D$2:$D$5000,I$2)=0,"",SUMIFS(Datos!$E$2:$E$5000,Datos!$A$2:$A$5000,I$1,Datos!$B$2:$B$5000,$A150,Datos!$C$2:$C$5000,$B150,Datos!$D$2:$D$5000,I$2))</f>
        <v/>
      </c>
      <c r="J150" s="9">
        <f>IF(COUNTIFS(Datos!$A$2:$A$5000,J$1,Datos!$B$2:$B$5000,$A150,Datos!$C$2:$C$5000,$B150,Datos!$D$2:$D$5000,J$2)=0,"",SUMIFS(Datos!$E$2:$E$5000,Datos!$A$2:$A$5000,J$1,Datos!$B$2:$B$5000,$A150,Datos!$C$2:$C$5000,$B150,Datos!$D$2:$D$5000,J$2))</f>
        <v/>
      </c>
    </row>
    <row r="151">
      <c r="A151" s="8" t="inlineStr">
        <is>
          <t>Ecuador</t>
        </is>
      </c>
      <c r="B151" s="8" t="n">
        <v>2007</v>
      </c>
      <c r="C151" s="9">
        <f>IF(COUNTIFS(Datos!$A$2:$A$5000,C$1,Datos!$B$2:$B$5000,$A151,Datos!$C$2:$C$5000,$B151,Datos!$D$2:$D$5000,C$2)=0,"",SUMIFS(Datos!$E$2:$E$5000,Datos!$A$2:$A$5000,C$1,Datos!$B$2:$B$5000,$A151,Datos!$C$2:$C$5000,$B151,Datos!$D$2:$D$5000,C$2))</f>
        <v/>
      </c>
      <c r="D151" s="9">
        <f>IF(COUNTIFS(Datos!$A$2:$A$5000,D$1,Datos!$B$2:$B$5000,$A151,Datos!$C$2:$C$5000,$B151,Datos!$D$2:$D$5000,D$2)=0,"",SUMIFS(Datos!$E$2:$E$5000,Datos!$A$2:$A$5000,D$1,Datos!$B$2:$B$5000,$A151,Datos!$C$2:$C$5000,$B151,Datos!$D$2:$D$5000,D$2))</f>
        <v/>
      </c>
      <c r="E151" s="9">
        <f>IF(COUNTIFS(Datos!$A$2:$A$5000,E$1,Datos!$B$2:$B$5000,$A151,Datos!$C$2:$C$5000,$B151,Datos!$D$2:$D$5000,E$2)=0,"",SUMIFS(Datos!$E$2:$E$5000,Datos!$A$2:$A$5000,E$1,Datos!$B$2:$B$5000,$A151,Datos!$C$2:$C$5000,$B151,Datos!$D$2:$D$5000,E$2))</f>
        <v/>
      </c>
      <c r="F151" s="9">
        <f>IF(COUNTIFS(Datos!$A$2:$A$5000,F$1,Datos!$B$2:$B$5000,$A151,Datos!$C$2:$C$5000,$B151,Datos!$D$2:$D$5000,F$2)=0,"",SUMIFS(Datos!$E$2:$E$5000,Datos!$A$2:$A$5000,F$1,Datos!$B$2:$B$5000,$A151,Datos!$C$2:$C$5000,$B151,Datos!$D$2:$D$5000,F$2))</f>
        <v/>
      </c>
      <c r="G151" s="9">
        <f>IF(COUNTIFS(Datos!$A$2:$A$5000,G$1,Datos!$B$2:$B$5000,$A151,Datos!$C$2:$C$5000,$B151,Datos!$D$2:$D$5000,G$2)=0,"",SUMIFS(Datos!$E$2:$E$5000,Datos!$A$2:$A$5000,G$1,Datos!$B$2:$B$5000,$A151,Datos!$C$2:$C$5000,$B151,Datos!$D$2:$D$5000,G$2))</f>
        <v/>
      </c>
      <c r="H151" s="9">
        <f>IF(COUNTIFS(Datos!$A$2:$A$5000,H$1,Datos!$B$2:$B$5000,$A151,Datos!$C$2:$C$5000,$B151,Datos!$D$2:$D$5000,H$2)=0,"",SUMIFS(Datos!$E$2:$E$5000,Datos!$A$2:$A$5000,H$1,Datos!$B$2:$B$5000,$A151,Datos!$C$2:$C$5000,$B151,Datos!$D$2:$D$5000,H$2))</f>
        <v/>
      </c>
      <c r="I151" s="9">
        <f>IF(COUNTIFS(Datos!$A$2:$A$5000,I$1,Datos!$B$2:$B$5000,$A151,Datos!$C$2:$C$5000,$B151,Datos!$D$2:$D$5000,I$2)=0,"",SUMIFS(Datos!$E$2:$E$5000,Datos!$A$2:$A$5000,I$1,Datos!$B$2:$B$5000,$A151,Datos!$C$2:$C$5000,$B151,Datos!$D$2:$D$5000,I$2))</f>
        <v/>
      </c>
      <c r="J151" s="9">
        <f>IF(COUNTIFS(Datos!$A$2:$A$5000,J$1,Datos!$B$2:$B$5000,$A151,Datos!$C$2:$C$5000,$B151,Datos!$D$2:$D$5000,J$2)=0,"",SUMIFS(Datos!$E$2:$E$5000,Datos!$A$2:$A$5000,J$1,Datos!$B$2:$B$5000,$A151,Datos!$C$2:$C$5000,$B151,Datos!$D$2:$D$5000,J$2))</f>
        <v/>
      </c>
    </row>
    <row r="152">
      <c r="A152" s="8" t="inlineStr">
        <is>
          <t>Ecuador</t>
        </is>
      </c>
      <c r="B152" s="8" t="n">
        <v>2008</v>
      </c>
      <c r="C152" s="9">
        <f>IF(COUNTIFS(Datos!$A$2:$A$5000,C$1,Datos!$B$2:$B$5000,$A152,Datos!$C$2:$C$5000,$B152,Datos!$D$2:$D$5000,C$2)=0,"",SUMIFS(Datos!$E$2:$E$5000,Datos!$A$2:$A$5000,C$1,Datos!$B$2:$B$5000,$A152,Datos!$C$2:$C$5000,$B152,Datos!$D$2:$D$5000,C$2))</f>
        <v/>
      </c>
      <c r="D152" s="9">
        <f>IF(COUNTIFS(Datos!$A$2:$A$5000,D$1,Datos!$B$2:$B$5000,$A152,Datos!$C$2:$C$5000,$B152,Datos!$D$2:$D$5000,D$2)=0,"",SUMIFS(Datos!$E$2:$E$5000,Datos!$A$2:$A$5000,D$1,Datos!$B$2:$B$5000,$A152,Datos!$C$2:$C$5000,$B152,Datos!$D$2:$D$5000,D$2))</f>
        <v/>
      </c>
      <c r="E152" s="9">
        <f>IF(COUNTIFS(Datos!$A$2:$A$5000,E$1,Datos!$B$2:$B$5000,$A152,Datos!$C$2:$C$5000,$B152,Datos!$D$2:$D$5000,E$2)=0,"",SUMIFS(Datos!$E$2:$E$5000,Datos!$A$2:$A$5000,E$1,Datos!$B$2:$B$5000,$A152,Datos!$C$2:$C$5000,$B152,Datos!$D$2:$D$5000,E$2))</f>
        <v/>
      </c>
      <c r="F152" s="9">
        <f>IF(COUNTIFS(Datos!$A$2:$A$5000,F$1,Datos!$B$2:$B$5000,$A152,Datos!$C$2:$C$5000,$B152,Datos!$D$2:$D$5000,F$2)=0,"",SUMIFS(Datos!$E$2:$E$5000,Datos!$A$2:$A$5000,F$1,Datos!$B$2:$B$5000,$A152,Datos!$C$2:$C$5000,$B152,Datos!$D$2:$D$5000,F$2))</f>
        <v/>
      </c>
      <c r="G152" s="9">
        <f>IF(COUNTIFS(Datos!$A$2:$A$5000,G$1,Datos!$B$2:$B$5000,$A152,Datos!$C$2:$C$5000,$B152,Datos!$D$2:$D$5000,G$2)=0,"",SUMIFS(Datos!$E$2:$E$5000,Datos!$A$2:$A$5000,G$1,Datos!$B$2:$B$5000,$A152,Datos!$C$2:$C$5000,$B152,Datos!$D$2:$D$5000,G$2))</f>
        <v/>
      </c>
      <c r="H152" s="9">
        <f>IF(COUNTIFS(Datos!$A$2:$A$5000,H$1,Datos!$B$2:$B$5000,$A152,Datos!$C$2:$C$5000,$B152,Datos!$D$2:$D$5000,H$2)=0,"",SUMIFS(Datos!$E$2:$E$5000,Datos!$A$2:$A$5000,H$1,Datos!$B$2:$B$5000,$A152,Datos!$C$2:$C$5000,$B152,Datos!$D$2:$D$5000,H$2))</f>
        <v/>
      </c>
      <c r="I152" s="9">
        <f>IF(COUNTIFS(Datos!$A$2:$A$5000,I$1,Datos!$B$2:$B$5000,$A152,Datos!$C$2:$C$5000,$B152,Datos!$D$2:$D$5000,I$2)=0,"",SUMIFS(Datos!$E$2:$E$5000,Datos!$A$2:$A$5000,I$1,Datos!$B$2:$B$5000,$A152,Datos!$C$2:$C$5000,$B152,Datos!$D$2:$D$5000,I$2))</f>
        <v/>
      </c>
      <c r="J152" s="9">
        <f>IF(COUNTIFS(Datos!$A$2:$A$5000,J$1,Datos!$B$2:$B$5000,$A152,Datos!$C$2:$C$5000,$B152,Datos!$D$2:$D$5000,J$2)=0,"",SUMIFS(Datos!$E$2:$E$5000,Datos!$A$2:$A$5000,J$1,Datos!$B$2:$B$5000,$A152,Datos!$C$2:$C$5000,$B152,Datos!$D$2:$D$5000,J$2))</f>
        <v/>
      </c>
    </row>
    <row r="153">
      <c r="A153" s="8" t="inlineStr">
        <is>
          <t>Ecuador</t>
        </is>
      </c>
      <c r="B153" s="8" t="n">
        <v>2009</v>
      </c>
      <c r="C153" s="9">
        <f>IF(COUNTIFS(Datos!$A$2:$A$5000,C$1,Datos!$B$2:$B$5000,$A153,Datos!$C$2:$C$5000,$B153,Datos!$D$2:$D$5000,C$2)=0,"",SUMIFS(Datos!$E$2:$E$5000,Datos!$A$2:$A$5000,C$1,Datos!$B$2:$B$5000,$A153,Datos!$C$2:$C$5000,$B153,Datos!$D$2:$D$5000,C$2))</f>
        <v/>
      </c>
      <c r="D153" s="9">
        <f>IF(COUNTIFS(Datos!$A$2:$A$5000,D$1,Datos!$B$2:$B$5000,$A153,Datos!$C$2:$C$5000,$B153,Datos!$D$2:$D$5000,D$2)=0,"",SUMIFS(Datos!$E$2:$E$5000,Datos!$A$2:$A$5000,D$1,Datos!$B$2:$B$5000,$A153,Datos!$C$2:$C$5000,$B153,Datos!$D$2:$D$5000,D$2))</f>
        <v/>
      </c>
      <c r="E153" s="9">
        <f>IF(COUNTIFS(Datos!$A$2:$A$5000,E$1,Datos!$B$2:$B$5000,$A153,Datos!$C$2:$C$5000,$B153,Datos!$D$2:$D$5000,E$2)=0,"",SUMIFS(Datos!$E$2:$E$5000,Datos!$A$2:$A$5000,E$1,Datos!$B$2:$B$5000,$A153,Datos!$C$2:$C$5000,$B153,Datos!$D$2:$D$5000,E$2))</f>
        <v/>
      </c>
      <c r="F153" s="9">
        <f>IF(COUNTIFS(Datos!$A$2:$A$5000,F$1,Datos!$B$2:$B$5000,$A153,Datos!$C$2:$C$5000,$B153,Datos!$D$2:$D$5000,F$2)=0,"",SUMIFS(Datos!$E$2:$E$5000,Datos!$A$2:$A$5000,F$1,Datos!$B$2:$B$5000,$A153,Datos!$C$2:$C$5000,$B153,Datos!$D$2:$D$5000,F$2))</f>
        <v/>
      </c>
      <c r="G153" s="9">
        <f>IF(COUNTIFS(Datos!$A$2:$A$5000,G$1,Datos!$B$2:$B$5000,$A153,Datos!$C$2:$C$5000,$B153,Datos!$D$2:$D$5000,G$2)=0,"",SUMIFS(Datos!$E$2:$E$5000,Datos!$A$2:$A$5000,G$1,Datos!$B$2:$B$5000,$A153,Datos!$C$2:$C$5000,$B153,Datos!$D$2:$D$5000,G$2))</f>
        <v/>
      </c>
      <c r="H153" s="9">
        <f>IF(COUNTIFS(Datos!$A$2:$A$5000,H$1,Datos!$B$2:$B$5000,$A153,Datos!$C$2:$C$5000,$B153,Datos!$D$2:$D$5000,H$2)=0,"",SUMIFS(Datos!$E$2:$E$5000,Datos!$A$2:$A$5000,H$1,Datos!$B$2:$B$5000,$A153,Datos!$C$2:$C$5000,$B153,Datos!$D$2:$D$5000,H$2))</f>
        <v/>
      </c>
      <c r="I153" s="9">
        <f>IF(COUNTIFS(Datos!$A$2:$A$5000,I$1,Datos!$B$2:$B$5000,$A153,Datos!$C$2:$C$5000,$B153,Datos!$D$2:$D$5000,I$2)=0,"",SUMIFS(Datos!$E$2:$E$5000,Datos!$A$2:$A$5000,I$1,Datos!$B$2:$B$5000,$A153,Datos!$C$2:$C$5000,$B153,Datos!$D$2:$D$5000,I$2))</f>
        <v/>
      </c>
      <c r="J153" s="9">
        <f>IF(COUNTIFS(Datos!$A$2:$A$5000,J$1,Datos!$B$2:$B$5000,$A153,Datos!$C$2:$C$5000,$B153,Datos!$D$2:$D$5000,J$2)=0,"",SUMIFS(Datos!$E$2:$E$5000,Datos!$A$2:$A$5000,J$1,Datos!$B$2:$B$5000,$A153,Datos!$C$2:$C$5000,$B153,Datos!$D$2:$D$5000,J$2))</f>
        <v/>
      </c>
    </row>
    <row r="154">
      <c r="A154" s="8" t="inlineStr">
        <is>
          <t>Ecuador</t>
        </is>
      </c>
      <c r="B154" s="8" t="n">
        <v>2010</v>
      </c>
      <c r="C154" s="9">
        <f>IF(COUNTIFS(Datos!$A$2:$A$5000,C$1,Datos!$B$2:$B$5000,$A154,Datos!$C$2:$C$5000,$B154,Datos!$D$2:$D$5000,C$2)=0,"",SUMIFS(Datos!$E$2:$E$5000,Datos!$A$2:$A$5000,C$1,Datos!$B$2:$B$5000,$A154,Datos!$C$2:$C$5000,$B154,Datos!$D$2:$D$5000,C$2))</f>
        <v/>
      </c>
      <c r="D154" s="9">
        <f>IF(COUNTIFS(Datos!$A$2:$A$5000,D$1,Datos!$B$2:$B$5000,$A154,Datos!$C$2:$C$5000,$B154,Datos!$D$2:$D$5000,D$2)=0,"",SUMIFS(Datos!$E$2:$E$5000,Datos!$A$2:$A$5000,D$1,Datos!$B$2:$B$5000,$A154,Datos!$C$2:$C$5000,$B154,Datos!$D$2:$D$5000,D$2))</f>
        <v/>
      </c>
      <c r="E154" s="9">
        <f>IF(COUNTIFS(Datos!$A$2:$A$5000,E$1,Datos!$B$2:$B$5000,$A154,Datos!$C$2:$C$5000,$B154,Datos!$D$2:$D$5000,E$2)=0,"",SUMIFS(Datos!$E$2:$E$5000,Datos!$A$2:$A$5000,E$1,Datos!$B$2:$B$5000,$A154,Datos!$C$2:$C$5000,$B154,Datos!$D$2:$D$5000,E$2))</f>
        <v/>
      </c>
      <c r="F154" s="9">
        <f>IF(COUNTIFS(Datos!$A$2:$A$5000,F$1,Datos!$B$2:$B$5000,$A154,Datos!$C$2:$C$5000,$B154,Datos!$D$2:$D$5000,F$2)=0,"",SUMIFS(Datos!$E$2:$E$5000,Datos!$A$2:$A$5000,F$1,Datos!$B$2:$B$5000,$A154,Datos!$C$2:$C$5000,$B154,Datos!$D$2:$D$5000,F$2))</f>
        <v/>
      </c>
      <c r="G154" s="9">
        <f>IF(COUNTIFS(Datos!$A$2:$A$5000,G$1,Datos!$B$2:$B$5000,$A154,Datos!$C$2:$C$5000,$B154,Datos!$D$2:$D$5000,G$2)=0,"",SUMIFS(Datos!$E$2:$E$5000,Datos!$A$2:$A$5000,G$1,Datos!$B$2:$B$5000,$A154,Datos!$C$2:$C$5000,$B154,Datos!$D$2:$D$5000,G$2))</f>
        <v/>
      </c>
      <c r="H154" s="9">
        <f>IF(COUNTIFS(Datos!$A$2:$A$5000,H$1,Datos!$B$2:$B$5000,$A154,Datos!$C$2:$C$5000,$B154,Datos!$D$2:$D$5000,H$2)=0,"",SUMIFS(Datos!$E$2:$E$5000,Datos!$A$2:$A$5000,H$1,Datos!$B$2:$B$5000,$A154,Datos!$C$2:$C$5000,$B154,Datos!$D$2:$D$5000,H$2))</f>
        <v/>
      </c>
      <c r="I154" s="9">
        <f>IF(COUNTIFS(Datos!$A$2:$A$5000,I$1,Datos!$B$2:$B$5000,$A154,Datos!$C$2:$C$5000,$B154,Datos!$D$2:$D$5000,I$2)=0,"",SUMIFS(Datos!$E$2:$E$5000,Datos!$A$2:$A$5000,I$1,Datos!$B$2:$B$5000,$A154,Datos!$C$2:$C$5000,$B154,Datos!$D$2:$D$5000,I$2))</f>
        <v/>
      </c>
      <c r="J154" s="9">
        <f>IF(COUNTIFS(Datos!$A$2:$A$5000,J$1,Datos!$B$2:$B$5000,$A154,Datos!$C$2:$C$5000,$B154,Datos!$D$2:$D$5000,J$2)=0,"",SUMIFS(Datos!$E$2:$E$5000,Datos!$A$2:$A$5000,J$1,Datos!$B$2:$B$5000,$A154,Datos!$C$2:$C$5000,$B154,Datos!$D$2:$D$5000,J$2))</f>
        <v/>
      </c>
    </row>
    <row r="155">
      <c r="A155" s="8" t="inlineStr">
        <is>
          <t>Ecuador</t>
        </is>
      </c>
      <c r="B155" s="8" t="n">
        <v>2011</v>
      </c>
      <c r="C155" s="9">
        <f>IF(COUNTIFS(Datos!$A$2:$A$5000,C$1,Datos!$B$2:$B$5000,$A155,Datos!$C$2:$C$5000,$B155,Datos!$D$2:$D$5000,C$2)=0,"",SUMIFS(Datos!$E$2:$E$5000,Datos!$A$2:$A$5000,C$1,Datos!$B$2:$B$5000,$A155,Datos!$C$2:$C$5000,$B155,Datos!$D$2:$D$5000,C$2))</f>
        <v/>
      </c>
      <c r="D155" s="9">
        <f>IF(COUNTIFS(Datos!$A$2:$A$5000,D$1,Datos!$B$2:$B$5000,$A155,Datos!$C$2:$C$5000,$B155,Datos!$D$2:$D$5000,D$2)=0,"",SUMIFS(Datos!$E$2:$E$5000,Datos!$A$2:$A$5000,D$1,Datos!$B$2:$B$5000,$A155,Datos!$C$2:$C$5000,$B155,Datos!$D$2:$D$5000,D$2))</f>
        <v/>
      </c>
      <c r="E155" s="9">
        <f>IF(COUNTIFS(Datos!$A$2:$A$5000,E$1,Datos!$B$2:$B$5000,$A155,Datos!$C$2:$C$5000,$B155,Datos!$D$2:$D$5000,E$2)=0,"",SUMIFS(Datos!$E$2:$E$5000,Datos!$A$2:$A$5000,E$1,Datos!$B$2:$B$5000,$A155,Datos!$C$2:$C$5000,$B155,Datos!$D$2:$D$5000,E$2))</f>
        <v/>
      </c>
      <c r="F155" s="9">
        <f>IF(COUNTIFS(Datos!$A$2:$A$5000,F$1,Datos!$B$2:$B$5000,$A155,Datos!$C$2:$C$5000,$B155,Datos!$D$2:$D$5000,F$2)=0,"",SUMIFS(Datos!$E$2:$E$5000,Datos!$A$2:$A$5000,F$1,Datos!$B$2:$B$5000,$A155,Datos!$C$2:$C$5000,$B155,Datos!$D$2:$D$5000,F$2))</f>
        <v/>
      </c>
      <c r="G155" s="9">
        <f>IF(COUNTIFS(Datos!$A$2:$A$5000,G$1,Datos!$B$2:$B$5000,$A155,Datos!$C$2:$C$5000,$B155,Datos!$D$2:$D$5000,G$2)=0,"",SUMIFS(Datos!$E$2:$E$5000,Datos!$A$2:$A$5000,G$1,Datos!$B$2:$B$5000,$A155,Datos!$C$2:$C$5000,$B155,Datos!$D$2:$D$5000,G$2))</f>
        <v/>
      </c>
      <c r="H155" s="9">
        <f>IF(COUNTIFS(Datos!$A$2:$A$5000,H$1,Datos!$B$2:$B$5000,$A155,Datos!$C$2:$C$5000,$B155,Datos!$D$2:$D$5000,H$2)=0,"",SUMIFS(Datos!$E$2:$E$5000,Datos!$A$2:$A$5000,H$1,Datos!$B$2:$B$5000,$A155,Datos!$C$2:$C$5000,$B155,Datos!$D$2:$D$5000,H$2))</f>
        <v/>
      </c>
      <c r="I155" s="9">
        <f>IF(COUNTIFS(Datos!$A$2:$A$5000,I$1,Datos!$B$2:$B$5000,$A155,Datos!$C$2:$C$5000,$B155,Datos!$D$2:$D$5000,I$2)=0,"",SUMIFS(Datos!$E$2:$E$5000,Datos!$A$2:$A$5000,I$1,Datos!$B$2:$B$5000,$A155,Datos!$C$2:$C$5000,$B155,Datos!$D$2:$D$5000,I$2))</f>
        <v/>
      </c>
      <c r="J155" s="9">
        <f>IF(COUNTIFS(Datos!$A$2:$A$5000,J$1,Datos!$B$2:$B$5000,$A155,Datos!$C$2:$C$5000,$B155,Datos!$D$2:$D$5000,J$2)=0,"",SUMIFS(Datos!$E$2:$E$5000,Datos!$A$2:$A$5000,J$1,Datos!$B$2:$B$5000,$A155,Datos!$C$2:$C$5000,$B155,Datos!$D$2:$D$5000,J$2))</f>
        <v/>
      </c>
    </row>
    <row r="156">
      <c r="A156" s="8" t="inlineStr">
        <is>
          <t>Ecuador</t>
        </is>
      </c>
      <c r="B156" s="8" t="n">
        <v>2016</v>
      </c>
      <c r="C156" s="9">
        <f>IF(COUNTIFS(Datos!$A$2:$A$5000,C$1,Datos!$B$2:$B$5000,$A156,Datos!$C$2:$C$5000,$B156,Datos!$D$2:$D$5000,C$2)=0,"",SUMIFS(Datos!$E$2:$E$5000,Datos!$A$2:$A$5000,C$1,Datos!$B$2:$B$5000,$A156,Datos!$C$2:$C$5000,$B156,Datos!$D$2:$D$5000,C$2))</f>
        <v/>
      </c>
      <c r="D156" s="9">
        <f>IF(COUNTIFS(Datos!$A$2:$A$5000,D$1,Datos!$B$2:$B$5000,$A156,Datos!$C$2:$C$5000,$B156,Datos!$D$2:$D$5000,D$2)=0,"",SUMIFS(Datos!$E$2:$E$5000,Datos!$A$2:$A$5000,D$1,Datos!$B$2:$B$5000,$A156,Datos!$C$2:$C$5000,$B156,Datos!$D$2:$D$5000,D$2))</f>
        <v/>
      </c>
      <c r="E156" s="9">
        <f>IF(COUNTIFS(Datos!$A$2:$A$5000,E$1,Datos!$B$2:$B$5000,$A156,Datos!$C$2:$C$5000,$B156,Datos!$D$2:$D$5000,E$2)=0,"",SUMIFS(Datos!$E$2:$E$5000,Datos!$A$2:$A$5000,E$1,Datos!$B$2:$B$5000,$A156,Datos!$C$2:$C$5000,$B156,Datos!$D$2:$D$5000,E$2))</f>
        <v/>
      </c>
      <c r="F156" s="9">
        <f>IF(COUNTIFS(Datos!$A$2:$A$5000,F$1,Datos!$B$2:$B$5000,$A156,Datos!$C$2:$C$5000,$B156,Datos!$D$2:$D$5000,F$2)=0,"",SUMIFS(Datos!$E$2:$E$5000,Datos!$A$2:$A$5000,F$1,Datos!$B$2:$B$5000,$A156,Datos!$C$2:$C$5000,$B156,Datos!$D$2:$D$5000,F$2))</f>
        <v/>
      </c>
      <c r="G156" s="9">
        <f>IF(COUNTIFS(Datos!$A$2:$A$5000,G$1,Datos!$B$2:$B$5000,$A156,Datos!$C$2:$C$5000,$B156,Datos!$D$2:$D$5000,G$2)=0,"",SUMIFS(Datos!$E$2:$E$5000,Datos!$A$2:$A$5000,G$1,Datos!$B$2:$B$5000,$A156,Datos!$C$2:$C$5000,$B156,Datos!$D$2:$D$5000,G$2))</f>
        <v/>
      </c>
      <c r="H156" s="9">
        <f>IF(COUNTIFS(Datos!$A$2:$A$5000,H$1,Datos!$B$2:$B$5000,$A156,Datos!$C$2:$C$5000,$B156,Datos!$D$2:$D$5000,H$2)=0,"",SUMIFS(Datos!$E$2:$E$5000,Datos!$A$2:$A$5000,H$1,Datos!$B$2:$B$5000,$A156,Datos!$C$2:$C$5000,$B156,Datos!$D$2:$D$5000,H$2))</f>
        <v/>
      </c>
      <c r="I156" s="9">
        <f>IF(COUNTIFS(Datos!$A$2:$A$5000,I$1,Datos!$B$2:$B$5000,$A156,Datos!$C$2:$C$5000,$B156,Datos!$D$2:$D$5000,I$2)=0,"",SUMIFS(Datos!$E$2:$E$5000,Datos!$A$2:$A$5000,I$1,Datos!$B$2:$B$5000,$A156,Datos!$C$2:$C$5000,$B156,Datos!$D$2:$D$5000,I$2))</f>
        <v/>
      </c>
      <c r="J156" s="9">
        <f>IF(COUNTIFS(Datos!$A$2:$A$5000,J$1,Datos!$B$2:$B$5000,$A156,Datos!$C$2:$C$5000,$B156,Datos!$D$2:$D$5000,J$2)=0,"",SUMIFS(Datos!$E$2:$E$5000,Datos!$A$2:$A$5000,J$1,Datos!$B$2:$B$5000,$A156,Datos!$C$2:$C$5000,$B156,Datos!$D$2:$D$5000,J$2))</f>
        <v/>
      </c>
    </row>
    <row r="157">
      <c r="A157" s="8" t="inlineStr">
        <is>
          <t>Ecuador</t>
        </is>
      </c>
      <c r="B157" s="8" t="n">
        <v>2017</v>
      </c>
      <c r="C157" s="9">
        <f>IF(COUNTIFS(Datos!$A$2:$A$5000,C$1,Datos!$B$2:$B$5000,$A157,Datos!$C$2:$C$5000,$B157,Datos!$D$2:$D$5000,C$2)=0,"",SUMIFS(Datos!$E$2:$E$5000,Datos!$A$2:$A$5000,C$1,Datos!$B$2:$B$5000,$A157,Datos!$C$2:$C$5000,$B157,Datos!$D$2:$D$5000,C$2))</f>
        <v/>
      </c>
      <c r="D157" s="9">
        <f>IF(COUNTIFS(Datos!$A$2:$A$5000,D$1,Datos!$B$2:$B$5000,$A157,Datos!$C$2:$C$5000,$B157,Datos!$D$2:$D$5000,D$2)=0,"",SUMIFS(Datos!$E$2:$E$5000,Datos!$A$2:$A$5000,D$1,Datos!$B$2:$B$5000,$A157,Datos!$C$2:$C$5000,$B157,Datos!$D$2:$D$5000,D$2))</f>
        <v/>
      </c>
      <c r="E157" s="9">
        <f>IF(COUNTIFS(Datos!$A$2:$A$5000,E$1,Datos!$B$2:$B$5000,$A157,Datos!$C$2:$C$5000,$B157,Datos!$D$2:$D$5000,E$2)=0,"",SUMIFS(Datos!$E$2:$E$5000,Datos!$A$2:$A$5000,E$1,Datos!$B$2:$B$5000,$A157,Datos!$C$2:$C$5000,$B157,Datos!$D$2:$D$5000,E$2))</f>
        <v/>
      </c>
      <c r="F157" s="9">
        <f>IF(COUNTIFS(Datos!$A$2:$A$5000,F$1,Datos!$B$2:$B$5000,$A157,Datos!$C$2:$C$5000,$B157,Datos!$D$2:$D$5000,F$2)=0,"",SUMIFS(Datos!$E$2:$E$5000,Datos!$A$2:$A$5000,F$1,Datos!$B$2:$B$5000,$A157,Datos!$C$2:$C$5000,$B157,Datos!$D$2:$D$5000,F$2))</f>
        <v/>
      </c>
      <c r="G157" s="9">
        <f>IF(COUNTIFS(Datos!$A$2:$A$5000,G$1,Datos!$B$2:$B$5000,$A157,Datos!$C$2:$C$5000,$B157,Datos!$D$2:$D$5000,G$2)=0,"",SUMIFS(Datos!$E$2:$E$5000,Datos!$A$2:$A$5000,G$1,Datos!$B$2:$B$5000,$A157,Datos!$C$2:$C$5000,$B157,Datos!$D$2:$D$5000,G$2))</f>
        <v/>
      </c>
      <c r="H157" s="9">
        <f>IF(COUNTIFS(Datos!$A$2:$A$5000,H$1,Datos!$B$2:$B$5000,$A157,Datos!$C$2:$C$5000,$B157,Datos!$D$2:$D$5000,H$2)=0,"",SUMIFS(Datos!$E$2:$E$5000,Datos!$A$2:$A$5000,H$1,Datos!$B$2:$B$5000,$A157,Datos!$C$2:$C$5000,$B157,Datos!$D$2:$D$5000,H$2))</f>
        <v/>
      </c>
      <c r="I157" s="9">
        <f>IF(COUNTIFS(Datos!$A$2:$A$5000,I$1,Datos!$B$2:$B$5000,$A157,Datos!$C$2:$C$5000,$B157,Datos!$D$2:$D$5000,I$2)=0,"",SUMIFS(Datos!$E$2:$E$5000,Datos!$A$2:$A$5000,I$1,Datos!$B$2:$B$5000,$A157,Datos!$C$2:$C$5000,$B157,Datos!$D$2:$D$5000,I$2))</f>
        <v/>
      </c>
      <c r="J157" s="9">
        <f>IF(COUNTIFS(Datos!$A$2:$A$5000,J$1,Datos!$B$2:$B$5000,$A157,Datos!$C$2:$C$5000,$B157,Datos!$D$2:$D$5000,J$2)=0,"",SUMIFS(Datos!$E$2:$E$5000,Datos!$A$2:$A$5000,J$1,Datos!$B$2:$B$5000,$A157,Datos!$C$2:$C$5000,$B157,Datos!$D$2:$D$5000,J$2))</f>
        <v/>
      </c>
    </row>
    <row r="158">
      <c r="A158" s="8" t="inlineStr">
        <is>
          <t>Ecuador</t>
        </is>
      </c>
      <c r="B158" s="8" t="n">
        <v>2018</v>
      </c>
      <c r="C158" s="9">
        <f>IF(COUNTIFS(Datos!$A$2:$A$5000,C$1,Datos!$B$2:$B$5000,$A158,Datos!$C$2:$C$5000,$B158,Datos!$D$2:$D$5000,C$2)=0,"",SUMIFS(Datos!$E$2:$E$5000,Datos!$A$2:$A$5000,C$1,Datos!$B$2:$B$5000,$A158,Datos!$C$2:$C$5000,$B158,Datos!$D$2:$D$5000,C$2))</f>
        <v/>
      </c>
      <c r="D158" s="9">
        <f>IF(COUNTIFS(Datos!$A$2:$A$5000,D$1,Datos!$B$2:$B$5000,$A158,Datos!$C$2:$C$5000,$B158,Datos!$D$2:$D$5000,D$2)=0,"",SUMIFS(Datos!$E$2:$E$5000,Datos!$A$2:$A$5000,D$1,Datos!$B$2:$B$5000,$A158,Datos!$C$2:$C$5000,$B158,Datos!$D$2:$D$5000,D$2))</f>
        <v/>
      </c>
      <c r="E158" s="9">
        <f>IF(COUNTIFS(Datos!$A$2:$A$5000,E$1,Datos!$B$2:$B$5000,$A158,Datos!$C$2:$C$5000,$B158,Datos!$D$2:$D$5000,E$2)=0,"",SUMIFS(Datos!$E$2:$E$5000,Datos!$A$2:$A$5000,E$1,Datos!$B$2:$B$5000,$A158,Datos!$C$2:$C$5000,$B158,Datos!$D$2:$D$5000,E$2))</f>
        <v/>
      </c>
      <c r="F158" s="9">
        <f>IF(COUNTIFS(Datos!$A$2:$A$5000,F$1,Datos!$B$2:$B$5000,$A158,Datos!$C$2:$C$5000,$B158,Datos!$D$2:$D$5000,F$2)=0,"",SUMIFS(Datos!$E$2:$E$5000,Datos!$A$2:$A$5000,F$1,Datos!$B$2:$B$5000,$A158,Datos!$C$2:$C$5000,$B158,Datos!$D$2:$D$5000,F$2))</f>
        <v/>
      </c>
      <c r="G158" s="9">
        <f>IF(COUNTIFS(Datos!$A$2:$A$5000,G$1,Datos!$B$2:$B$5000,$A158,Datos!$C$2:$C$5000,$B158,Datos!$D$2:$D$5000,G$2)=0,"",SUMIFS(Datos!$E$2:$E$5000,Datos!$A$2:$A$5000,G$1,Datos!$B$2:$B$5000,$A158,Datos!$C$2:$C$5000,$B158,Datos!$D$2:$D$5000,G$2))</f>
        <v/>
      </c>
      <c r="H158" s="9">
        <f>IF(COUNTIFS(Datos!$A$2:$A$5000,H$1,Datos!$B$2:$B$5000,$A158,Datos!$C$2:$C$5000,$B158,Datos!$D$2:$D$5000,H$2)=0,"",SUMIFS(Datos!$E$2:$E$5000,Datos!$A$2:$A$5000,H$1,Datos!$B$2:$B$5000,$A158,Datos!$C$2:$C$5000,$B158,Datos!$D$2:$D$5000,H$2))</f>
        <v/>
      </c>
      <c r="I158" s="9">
        <f>IF(COUNTIFS(Datos!$A$2:$A$5000,I$1,Datos!$B$2:$B$5000,$A158,Datos!$C$2:$C$5000,$B158,Datos!$D$2:$D$5000,I$2)=0,"",SUMIFS(Datos!$E$2:$E$5000,Datos!$A$2:$A$5000,I$1,Datos!$B$2:$B$5000,$A158,Datos!$C$2:$C$5000,$B158,Datos!$D$2:$D$5000,I$2))</f>
        <v/>
      </c>
      <c r="J158" s="9">
        <f>IF(COUNTIFS(Datos!$A$2:$A$5000,J$1,Datos!$B$2:$B$5000,$A158,Datos!$C$2:$C$5000,$B158,Datos!$D$2:$D$5000,J$2)=0,"",SUMIFS(Datos!$E$2:$E$5000,Datos!$A$2:$A$5000,J$1,Datos!$B$2:$B$5000,$A158,Datos!$C$2:$C$5000,$B158,Datos!$D$2:$D$5000,J$2))</f>
        <v/>
      </c>
    </row>
    <row r="159">
      <c r="A159" s="8" t="inlineStr">
        <is>
          <t>Ecuador</t>
        </is>
      </c>
      <c r="B159" s="8" t="n">
        <v>2020</v>
      </c>
      <c r="C159" s="9">
        <f>IF(COUNTIFS(Datos!$A$2:$A$5000,C$1,Datos!$B$2:$B$5000,$A159,Datos!$C$2:$C$5000,$B159,Datos!$D$2:$D$5000,C$2)=0,"",SUMIFS(Datos!$E$2:$E$5000,Datos!$A$2:$A$5000,C$1,Datos!$B$2:$B$5000,$A159,Datos!$C$2:$C$5000,$B159,Datos!$D$2:$D$5000,C$2))</f>
        <v/>
      </c>
      <c r="D159" s="9">
        <f>IF(COUNTIFS(Datos!$A$2:$A$5000,D$1,Datos!$B$2:$B$5000,$A159,Datos!$C$2:$C$5000,$B159,Datos!$D$2:$D$5000,D$2)=0,"",SUMIFS(Datos!$E$2:$E$5000,Datos!$A$2:$A$5000,D$1,Datos!$B$2:$B$5000,$A159,Datos!$C$2:$C$5000,$B159,Datos!$D$2:$D$5000,D$2))</f>
        <v/>
      </c>
      <c r="E159" s="9">
        <f>IF(COUNTIFS(Datos!$A$2:$A$5000,E$1,Datos!$B$2:$B$5000,$A159,Datos!$C$2:$C$5000,$B159,Datos!$D$2:$D$5000,E$2)=0,"",SUMIFS(Datos!$E$2:$E$5000,Datos!$A$2:$A$5000,E$1,Datos!$B$2:$B$5000,$A159,Datos!$C$2:$C$5000,$B159,Datos!$D$2:$D$5000,E$2))</f>
        <v/>
      </c>
      <c r="F159" s="9">
        <f>IF(COUNTIFS(Datos!$A$2:$A$5000,F$1,Datos!$B$2:$B$5000,$A159,Datos!$C$2:$C$5000,$B159,Datos!$D$2:$D$5000,F$2)=0,"",SUMIFS(Datos!$E$2:$E$5000,Datos!$A$2:$A$5000,F$1,Datos!$B$2:$B$5000,$A159,Datos!$C$2:$C$5000,$B159,Datos!$D$2:$D$5000,F$2))</f>
        <v/>
      </c>
      <c r="G159" s="9">
        <f>IF(COUNTIFS(Datos!$A$2:$A$5000,G$1,Datos!$B$2:$B$5000,$A159,Datos!$C$2:$C$5000,$B159,Datos!$D$2:$D$5000,G$2)=0,"",SUMIFS(Datos!$E$2:$E$5000,Datos!$A$2:$A$5000,G$1,Datos!$B$2:$B$5000,$A159,Datos!$C$2:$C$5000,$B159,Datos!$D$2:$D$5000,G$2))</f>
        <v/>
      </c>
      <c r="H159" s="9">
        <f>IF(COUNTIFS(Datos!$A$2:$A$5000,H$1,Datos!$B$2:$B$5000,$A159,Datos!$C$2:$C$5000,$B159,Datos!$D$2:$D$5000,H$2)=0,"",SUMIFS(Datos!$E$2:$E$5000,Datos!$A$2:$A$5000,H$1,Datos!$B$2:$B$5000,$A159,Datos!$C$2:$C$5000,$B159,Datos!$D$2:$D$5000,H$2))</f>
        <v/>
      </c>
      <c r="I159" s="9">
        <f>IF(COUNTIFS(Datos!$A$2:$A$5000,I$1,Datos!$B$2:$B$5000,$A159,Datos!$C$2:$C$5000,$B159,Datos!$D$2:$D$5000,I$2)=0,"",SUMIFS(Datos!$E$2:$E$5000,Datos!$A$2:$A$5000,I$1,Datos!$B$2:$B$5000,$A159,Datos!$C$2:$C$5000,$B159,Datos!$D$2:$D$5000,I$2))</f>
        <v/>
      </c>
      <c r="J159" s="9">
        <f>IF(COUNTIFS(Datos!$A$2:$A$5000,J$1,Datos!$B$2:$B$5000,$A159,Datos!$C$2:$C$5000,$B159,Datos!$D$2:$D$5000,J$2)=0,"",SUMIFS(Datos!$E$2:$E$5000,Datos!$A$2:$A$5000,J$1,Datos!$B$2:$B$5000,$A159,Datos!$C$2:$C$5000,$B159,Datos!$D$2:$D$5000,J$2))</f>
        <v/>
      </c>
    </row>
    <row r="160">
      <c r="A160" s="8" t="inlineStr">
        <is>
          <t>Ecuador</t>
        </is>
      </c>
      <c r="B160" s="8" t="n">
        <v>2024</v>
      </c>
      <c r="C160" s="9">
        <f>IF(COUNTIFS(Datos!$A$2:$A$5000,C$1,Datos!$B$2:$B$5000,$A160,Datos!$C$2:$C$5000,$B160,Datos!$D$2:$D$5000,C$2)=0,"",SUMIFS(Datos!$E$2:$E$5000,Datos!$A$2:$A$5000,C$1,Datos!$B$2:$B$5000,$A160,Datos!$C$2:$C$5000,$B160,Datos!$D$2:$D$5000,C$2))</f>
        <v/>
      </c>
      <c r="D160" s="9">
        <f>IF(COUNTIFS(Datos!$A$2:$A$5000,D$1,Datos!$B$2:$B$5000,$A160,Datos!$C$2:$C$5000,$B160,Datos!$D$2:$D$5000,D$2)=0,"",SUMIFS(Datos!$E$2:$E$5000,Datos!$A$2:$A$5000,D$1,Datos!$B$2:$B$5000,$A160,Datos!$C$2:$C$5000,$B160,Datos!$D$2:$D$5000,D$2))</f>
        <v/>
      </c>
      <c r="E160" s="9">
        <f>IF(COUNTIFS(Datos!$A$2:$A$5000,E$1,Datos!$B$2:$B$5000,$A160,Datos!$C$2:$C$5000,$B160,Datos!$D$2:$D$5000,E$2)=0,"",SUMIFS(Datos!$E$2:$E$5000,Datos!$A$2:$A$5000,E$1,Datos!$B$2:$B$5000,$A160,Datos!$C$2:$C$5000,$B160,Datos!$D$2:$D$5000,E$2))</f>
        <v/>
      </c>
      <c r="F160" s="9">
        <f>IF(COUNTIFS(Datos!$A$2:$A$5000,F$1,Datos!$B$2:$B$5000,$A160,Datos!$C$2:$C$5000,$B160,Datos!$D$2:$D$5000,F$2)=0,"",SUMIFS(Datos!$E$2:$E$5000,Datos!$A$2:$A$5000,F$1,Datos!$B$2:$B$5000,$A160,Datos!$C$2:$C$5000,$B160,Datos!$D$2:$D$5000,F$2))</f>
        <v/>
      </c>
      <c r="G160" s="9">
        <f>IF(COUNTIFS(Datos!$A$2:$A$5000,G$1,Datos!$B$2:$B$5000,$A160,Datos!$C$2:$C$5000,$B160,Datos!$D$2:$D$5000,G$2)=0,"",SUMIFS(Datos!$E$2:$E$5000,Datos!$A$2:$A$5000,G$1,Datos!$B$2:$B$5000,$A160,Datos!$C$2:$C$5000,$B160,Datos!$D$2:$D$5000,G$2))</f>
        <v/>
      </c>
      <c r="H160" s="9">
        <f>IF(COUNTIFS(Datos!$A$2:$A$5000,H$1,Datos!$B$2:$B$5000,$A160,Datos!$C$2:$C$5000,$B160,Datos!$D$2:$D$5000,H$2)=0,"",SUMIFS(Datos!$E$2:$E$5000,Datos!$A$2:$A$5000,H$1,Datos!$B$2:$B$5000,$A160,Datos!$C$2:$C$5000,$B160,Datos!$D$2:$D$5000,H$2))</f>
        <v/>
      </c>
      <c r="I160" s="9">
        <f>IF(COUNTIFS(Datos!$A$2:$A$5000,I$1,Datos!$B$2:$B$5000,$A160,Datos!$C$2:$C$5000,$B160,Datos!$D$2:$D$5000,I$2)=0,"",SUMIFS(Datos!$E$2:$E$5000,Datos!$A$2:$A$5000,I$1,Datos!$B$2:$B$5000,$A160,Datos!$C$2:$C$5000,$B160,Datos!$D$2:$D$5000,I$2))</f>
        <v/>
      </c>
      <c r="J160" s="9">
        <f>IF(COUNTIFS(Datos!$A$2:$A$5000,J$1,Datos!$B$2:$B$5000,$A160,Datos!$C$2:$C$5000,$B160,Datos!$D$2:$D$5000,J$2)=0,"",SUMIFS(Datos!$E$2:$E$5000,Datos!$A$2:$A$5000,J$1,Datos!$B$2:$B$5000,$A160,Datos!$C$2:$C$5000,$B160,Datos!$D$2:$D$5000,J$2))</f>
        <v/>
      </c>
    </row>
    <row r="161">
      <c r="A161" s="8" t="inlineStr">
        <is>
          <t>El Salvador</t>
        </is>
      </c>
      <c r="B161" s="8" t="n">
        <v>1996</v>
      </c>
      <c r="C161" s="9">
        <f>IF(COUNTIFS(Datos!$A$2:$A$5000,C$1,Datos!$B$2:$B$5000,$A161,Datos!$C$2:$C$5000,$B161,Datos!$D$2:$D$5000,C$2)=0,"",SUMIFS(Datos!$E$2:$E$5000,Datos!$A$2:$A$5000,C$1,Datos!$B$2:$B$5000,$A161,Datos!$C$2:$C$5000,$B161,Datos!$D$2:$D$5000,C$2))</f>
        <v/>
      </c>
      <c r="D161" s="9">
        <f>IF(COUNTIFS(Datos!$A$2:$A$5000,D$1,Datos!$B$2:$B$5000,$A161,Datos!$C$2:$C$5000,$B161,Datos!$D$2:$D$5000,D$2)=0,"",SUMIFS(Datos!$E$2:$E$5000,Datos!$A$2:$A$5000,D$1,Datos!$B$2:$B$5000,$A161,Datos!$C$2:$C$5000,$B161,Datos!$D$2:$D$5000,D$2))</f>
        <v/>
      </c>
      <c r="E161" s="9">
        <f>IF(COUNTIFS(Datos!$A$2:$A$5000,E$1,Datos!$B$2:$B$5000,$A161,Datos!$C$2:$C$5000,$B161,Datos!$D$2:$D$5000,E$2)=0,"",SUMIFS(Datos!$E$2:$E$5000,Datos!$A$2:$A$5000,E$1,Datos!$B$2:$B$5000,$A161,Datos!$C$2:$C$5000,$B161,Datos!$D$2:$D$5000,E$2))</f>
        <v/>
      </c>
      <c r="F161" s="9">
        <f>IF(COUNTIFS(Datos!$A$2:$A$5000,F$1,Datos!$B$2:$B$5000,$A161,Datos!$C$2:$C$5000,$B161,Datos!$D$2:$D$5000,F$2)=0,"",SUMIFS(Datos!$E$2:$E$5000,Datos!$A$2:$A$5000,F$1,Datos!$B$2:$B$5000,$A161,Datos!$C$2:$C$5000,$B161,Datos!$D$2:$D$5000,F$2))</f>
        <v/>
      </c>
      <c r="G161" s="9">
        <f>IF(COUNTIFS(Datos!$A$2:$A$5000,G$1,Datos!$B$2:$B$5000,$A161,Datos!$C$2:$C$5000,$B161,Datos!$D$2:$D$5000,G$2)=0,"",SUMIFS(Datos!$E$2:$E$5000,Datos!$A$2:$A$5000,G$1,Datos!$B$2:$B$5000,$A161,Datos!$C$2:$C$5000,$B161,Datos!$D$2:$D$5000,G$2))</f>
        <v/>
      </c>
      <c r="H161" s="9">
        <f>IF(COUNTIFS(Datos!$A$2:$A$5000,H$1,Datos!$B$2:$B$5000,$A161,Datos!$C$2:$C$5000,$B161,Datos!$D$2:$D$5000,H$2)=0,"",SUMIFS(Datos!$E$2:$E$5000,Datos!$A$2:$A$5000,H$1,Datos!$B$2:$B$5000,$A161,Datos!$C$2:$C$5000,$B161,Datos!$D$2:$D$5000,H$2))</f>
        <v/>
      </c>
      <c r="I161" s="9">
        <f>IF(COUNTIFS(Datos!$A$2:$A$5000,I$1,Datos!$B$2:$B$5000,$A161,Datos!$C$2:$C$5000,$B161,Datos!$D$2:$D$5000,I$2)=0,"",SUMIFS(Datos!$E$2:$E$5000,Datos!$A$2:$A$5000,I$1,Datos!$B$2:$B$5000,$A161,Datos!$C$2:$C$5000,$B161,Datos!$D$2:$D$5000,I$2))</f>
        <v/>
      </c>
      <c r="J161" s="9">
        <f>IF(COUNTIFS(Datos!$A$2:$A$5000,J$1,Datos!$B$2:$B$5000,$A161,Datos!$C$2:$C$5000,$B161,Datos!$D$2:$D$5000,J$2)=0,"",SUMIFS(Datos!$E$2:$E$5000,Datos!$A$2:$A$5000,J$1,Datos!$B$2:$B$5000,$A161,Datos!$C$2:$C$5000,$B161,Datos!$D$2:$D$5000,J$2))</f>
        <v/>
      </c>
    </row>
    <row r="162">
      <c r="A162" s="8" t="inlineStr">
        <is>
          <t>El Salvador</t>
        </is>
      </c>
      <c r="B162" s="8" t="n">
        <v>1997</v>
      </c>
      <c r="C162" s="9">
        <f>IF(COUNTIFS(Datos!$A$2:$A$5000,C$1,Datos!$B$2:$B$5000,$A162,Datos!$C$2:$C$5000,$B162,Datos!$D$2:$D$5000,C$2)=0,"",SUMIFS(Datos!$E$2:$E$5000,Datos!$A$2:$A$5000,C$1,Datos!$B$2:$B$5000,$A162,Datos!$C$2:$C$5000,$B162,Datos!$D$2:$D$5000,C$2))</f>
        <v/>
      </c>
      <c r="D162" s="9">
        <f>IF(COUNTIFS(Datos!$A$2:$A$5000,D$1,Datos!$B$2:$B$5000,$A162,Datos!$C$2:$C$5000,$B162,Datos!$D$2:$D$5000,D$2)=0,"",SUMIFS(Datos!$E$2:$E$5000,Datos!$A$2:$A$5000,D$1,Datos!$B$2:$B$5000,$A162,Datos!$C$2:$C$5000,$B162,Datos!$D$2:$D$5000,D$2))</f>
        <v/>
      </c>
      <c r="E162" s="9">
        <f>IF(COUNTIFS(Datos!$A$2:$A$5000,E$1,Datos!$B$2:$B$5000,$A162,Datos!$C$2:$C$5000,$B162,Datos!$D$2:$D$5000,E$2)=0,"",SUMIFS(Datos!$E$2:$E$5000,Datos!$A$2:$A$5000,E$1,Datos!$B$2:$B$5000,$A162,Datos!$C$2:$C$5000,$B162,Datos!$D$2:$D$5000,E$2))</f>
        <v/>
      </c>
      <c r="F162" s="9">
        <f>IF(COUNTIFS(Datos!$A$2:$A$5000,F$1,Datos!$B$2:$B$5000,$A162,Datos!$C$2:$C$5000,$B162,Datos!$D$2:$D$5000,F$2)=0,"",SUMIFS(Datos!$E$2:$E$5000,Datos!$A$2:$A$5000,F$1,Datos!$B$2:$B$5000,$A162,Datos!$C$2:$C$5000,$B162,Datos!$D$2:$D$5000,F$2))</f>
        <v/>
      </c>
      <c r="G162" s="9">
        <f>IF(COUNTIFS(Datos!$A$2:$A$5000,G$1,Datos!$B$2:$B$5000,$A162,Datos!$C$2:$C$5000,$B162,Datos!$D$2:$D$5000,G$2)=0,"",SUMIFS(Datos!$E$2:$E$5000,Datos!$A$2:$A$5000,G$1,Datos!$B$2:$B$5000,$A162,Datos!$C$2:$C$5000,$B162,Datos!$D$2:$D$5000,G$2))</f>
        <v/>
      </c>
      <c r="H162" s="9">
        <f>IF(COUNTIFS(Datos!$A$2:$A$5000,H$1,Datos!$B$2:$B$5000,$A162,Datos!$C$2:$C$5000,$B162,Datos!$D$2:$D$5000,H$2)=0,"",SUMIFS(Datos!$E$2:$E$5000,Datos!$A$2:$A$5000,H$1,Datos!$B$2:$B$5000,$A162,Datos!$C$2:$C$5000,$B162,Datos!$D$2:$D$5000,H$2))</f>
        <v/>
      </c>
      <c r="I162" s="9">
        <f>IF(COUNTIFS(Datos!$A$2:$A$5000,I$1,Datos!$B$2:$B$5000,$A162,Datos!$C$2:$C$5000,$B162,Datos!$D$2:$D$5000,I$2)=0,"",SUMIFS(Datos!$E$2:$E$5000,Datos!$A$2:$A$5000,I$1,Datos!$B$2:$B$5000,$A162,Datos!$C$2:$C$5000,$B162,Datos!$D$2:$D$5000,I$2))</f>
        <v/>
      </c>
      <c r="J162" s="9">
        <f>IF(COUNTIFS(Datos!$A$2:$A$5000,J$1,Datos!$B$2:$B$5000,$A162,Datos!$C$2:$C$5000,$B162,Datos!$D$2:$D$5000,J$2)=0,"",SUMIFS(Datos!$E$2:$E$5000,Datos!$A$2:$A$5000,J$1,Datos!$B$2:$B$5000,$A162,Datos!$C$2:$C$5000,$B162,Datos!$D$2:$D$5000,J$2))</f>
        <v/>
      </c>
    </row>
    <row r="163">
      <c r="A163" s="8" t="inlineStr">
        <is>
          <t>El Salvador</t>
        </is>
      </c>
      <c r="B163" s="8" t="n">
        <v>1998</v>
      </c>
      <c r="C163" s="9">
        <f>IF(COUNTIFS(Datos!$A$2:$A$5000,C$1,Datos!$B$2:$B$5000,$A163,Datos!$C$2:$C$5000,$B163,Datos!$D$2:$D$5000,C$2)=0,"",SUMIFS(Datos!$E$2:$E$5000,Datos!$A$2:$A$5000,C$1,Datos!$B$2:$B$5000,$A163,Datos!$C$2:$C$5000,$B163,Datos!$D$2:$D$5000,C$2))</f>
        <v/>
      </c>
      <c r="D163" s="9">
        <f>IF(COUNTIFS(Datos!$A$2:$A$5000,D$1,Datos!$B$2:$B$5000,$A163,Datos!$C$2:$C$5000,$B163,Datos!$D$2:$D$5000,D$2)=0,"",SUMIFS(Datos!$E$2:$E$5000,Datos!$A$2:$A$5000,D$1,Datos!$B$2:$B$5000,$A163,Datos!$C$2:$C$5000,$B163,Datos!$D$2:$D$5000,D$2))</f>
        <v/>
      </c>
      <c r="E163" s="9">
        <f>IF(COUNTIFS(Datos!$A$2:$A$5000,E$1,Datos!$B$2:$B$5000,$A163,Datos!$C$2:$C$5000,$B163,Datos!$D$2:$D$5000,E$2)=0,"",SUMIFS(Datos!$E$2:$E$5000,Datos!$A$2:$A$5000,E$1,Datos!$B$2:$B$5000,$A163,Datos!$C$2:$C$5000,$B163,Datos!$D$2:$D$5000,E$2))</f>
        <v/>
      </c>
      <c r="F163" s="9">
        <f>IF(COUNTIFS(Datos!$A$2:$A$5000,F$1,Datos!$B$2:$B$5000,$A163,Datos!$C$2:$C$5000,$B163,Datos!$D$2:$D$5000,F$2)=0,"",SUMIFS(Datos!$E$2:$E$5000,Datos!$A$2:$A$5000,F$1,Datos!$B$2:$B$5000,$A163,Datos!$C$2:$C$5000,$B163,Datos!$D$2:$D$5000,F$2))</f>
        <v/>
      </c>
      <c r="G163" s="9">
        <f>IF(COUNTIFS(Datos!$A$2:$A$5000,G$1,Datos!$B$2:$B$5000,$A163,Datos!$C$2:$C$5000,$B163,Datos!$D$2:$D$5000,G$2)=0,"",SUMIFS(Datos!$E$2:$E$5000,Datos!$A$2:$A$5000,G$1,Datos!$B$2:$B$5000,$A163,Datos!$C$2:$C$5000,$B163,Datos!$D$2:$D$5000,G$2))</f>
        <v/>
      </c>
      <c r="H163" s="9">
        <f>IF(COUNTIFS(Datos!$A$2:$A$5000,H$1,Datos!$B$2:$B$5000,$A163,Datos!$C$2:$C$5000,$B163,Datos!$D$2:$D$5000,H$2)=0,"",SUMIFS(Datos!$E$2:$E$5000,Datos!$A$2:$A$5000,H$1,Datos!$B$2:$B$5000,$A163,Datos!$C$2:$C$5000,$B163,Datos!$D$2:$D$5000,H$2))</f>
        <v/>
      </c>
      <c r="I163" s="9">
        <f>IF(COUNTIFS(Datos!$A$2:$A$5000,I$1,Datos!$B$2:$B$5000,$A163,Datos!$C$2:$C$5000,$B163,Datos!$D$2:$D$5000,I$2)=0,"",SUMIFS(Datos!$E$2:$E$5000,Datos!$A$2:$A$5000,I$1,Datos!$B$2:$B$5000,$A163,Datos!$C$2:$C$5000,$B163,Datos!$D$2:$D$5000,I$2))</f>
        <v/>
      </c>
      <c r="J163" s="9">
        <f>IF(COUNTIFS(Datos!$A$2:$A$5000,J$1,Datos!$B$2:$B$5000,$A163,Datos!$C$2:$C$5000,$B163,Datos!$D$2:$D$5000,J$2)=0,"",SUMIFS(Datos!$E$2:$E$5000,Datos!$A$2:$A$5000,J$1,Datos!$B$2:$B$5000,$A163,Datos!$C$2:$C$5000,$B163,Datos!$D$2:$D$5000,J$2))</f>
        <v/>
      </c>
    </row>
    <row r="164">
      <c r="A164" s="8" t="inlineStr">
        <is>
          <t>El Salvador</t>
        </is>
      </c>
      <c r="B164" s="8" t="n">
        <v>2000</v>
      </c>
      <c r="C164" s="9">
        <f>IF(COUNTIFS(Datos!$A$2:$A$5000,C$1,Datos!$B$2:$B$5000,$A164,Datos!$C$2:$C$5000,$B164,Datos!$D$2:$D$5000,C$2)=0,"",SUMIFS(Datos!$E$2:$E$5000,Datos!$A$2:$A$5000,C$1,Datos!$B$2:$B$5000,$A164,Datos!$C$2:$C$5000,$B164,Datos!$D$2:$D$5000,C$2))</f>
        <v/>
      </c>
      <c r="D164" s="9">
        <f>IF(COUNTIFS(Datos!$A$2:$A$5000,D$1,Datos!$B$2:$B$5000,$A164,Datos!$C$2:$C$5000,$B164,Datos!$D$2:$D$5000,D$2)=0,"",SUMIFS(Datos!$E$2:$E$5000,Datos!$A$2:$A$5000,D$1,Datos!$B$2:$B$5000,$A164,Datos!$C$2:$C$5000,$B164,Datos!$D$2:$D$5000,D$2))</f>
        <v/>
      </c>
      <c r="E164" s="9">
        <f>IF(COUNTIFS(Datos!$A$2:$A$5000,E$1,Datos!$B$2:$B$5000,$A164,Datos!$C$2:$C$5000,$B164,Datos!$D$2:$D$5000,E$2)=0,"",SUMIFS(Datos!$E$2:$E$5000,Datos!$A$2:$A$5000,E$1,Datos!$B$2:$B$5000,$A164,Datos!$C$2:$C$5000,$B164,Datos!$D$2:$D$5000,E$2))</f>
        <v/>
      </c>
      <c r="F164" s="9">
        <f>IF(COUNTIFS(Datos!$A$2:$A$5000,F$1,Datos!$B$2:$B$5000,$A164,Datos!$C$2:$C$5000,$B164,Datos!$D$2:$D$5000,F$2)=0,"",SUMIFS(Datos!$E$2:$E$5000,Datos!$A$2:$A$5000,F$1,Datos!$B$2:$B$5000,$A164,Datos!$C$2:$C$5000,$B164,Datos!$D$2:$D$5000,F$2))</f>
        <v/>
      </c>
      <c r="G164" s="9">
        <f>IF(COUNTIFS(Datos!$A$2:$A$5000,G$1,Datos!$B$2:$B$5000,$A164,Datos!$C$2:$C$5000,$B164,Datos!$D$2:$D$5000,G$2)=0,"",SUMIFS(Datos!$E$2:$E$5000,Datos!$A$2:$A$5000,G$1,Datos!$B$2:$B$5000,$A164,Datos!$C$2:$C$5000,$B164,Datos!$D$2:$D$5000,G$2))</f>
        <v/>
      </c>
      <c r="H164" s="9">
        <f>IF(COUNTIFS(Datos!$A$2:$A$5000,H$1,Datos!$B$2:$B$5000,$A164,Datos!$C$2:$C$5000,$B164,Datos!$D$2:$D$5000,H$2)=0,"",SUMIFS(Datos!$E$2:$E$5000,Datos!$A$2:$A$5000,H$1,Datos!$B$2:$B$5000,$A164,Datos!$C$2:$C$5000,$B164,Datos!$D$2:$D$5000,H$2))</f>
        <v/>
      </c>
      <c r="I164" s="9">
        <f>IF(COUNTIFS(Datos!$A$2:$A$5000,I$1,Datos!$B$2:$B$5000,$A164,Datos!$C$2:$C$5000,$B164,Datos!$D$2:$D$5000,I$2)=0,"",SUMIFS(Datos!$E$2:$E$5000,Datos!$A$2:$A$5000,I$1,Datos!$B$2:$B$5000,$A164,Datos!$C$2:$C$5000,$B164,Datos!$D$2:$D$5000,I$2))</f>
        <v/>
      </c>
      <c r="J164" s="9">
        <f>IF(COUNTIFS(Datos!$A$2:$A$5000,J$1,Datos!$B$2:$B$5000,$A164,Datos!$C$2:$C$5000,$B164,Datos!$D$2:$D$5000,J$2)=0,"",SUMIFS(Datos!$E$2:$E$5000,Datos!$A$2:$A$5000,J$1,Datos!$B$2:$B$5000,$A164,Datos!$C$2:$C$5000,$B164,Datos!$D$2:$D$5000,J$2))</f>
        <v/>
      </c>
    </row>
    <row r="165">
      <c r="A165" s="8" t="inlineStr">
        <is>
          <t>El Salvador</t>
        </is>
      </c>
      <c r="B165" s="8" t="n">
        <v>2001</v>
      </c>
      <c r="C165" s="9">
        <f>IF(COUNTIFS(Datos!$A$2:$A$5000,C$1,Datos!$B$2:$B$5000,$A165,Datos!$C$2:$C$5000,$B165,Datos!$D$2:$D$5000,C$2)=0,"",SUMIFS(Datos!$E$2:$E$5000,Datos!$A$2:$A$5000,C$1,Datos!$B$2:$B$5000,$A165,Datos!$C$2:$C$5000,$B165,Datos!$D$2:$D$5000,C$2))</f>
        <v/>
      </c>
      <c r="D165" s="9">
        <f>IF(COUNTIFS(Datos!$A$2:$A$5000,D$1,Datos!$B$2:$B$5000,$A165,Datos!$C$2:$C$5000,$B165,Datos!$D$2:$D$5000,D$2)=0,"",SUMIFS(Datos!$E$2:$E$5000,Datos!$A$2:$A$5000,D$1,Datos!$B$2:$B$5000,$A165,Datos!$C$2:$C$5000,$B165,Datos!$D$2:$D$5000,D$2))</f>
        <v/>
      </c>
      <c r="E165" s="9">
        <f>IF(COUNTIFS(Datos!$A$2:$A$5000,E$1,Datos!$B$2:$B$5000,$A165,Datos!$C$2:$C$5000,$B165,Datos!$D$2:$D$5000,E$2)=0,"",SUMIFS(Datos!$E$2:$E$5000,Datos!$A$2:$A$5000,E$1,Datos!$B$2:$B$5000,$A165,Datos!$C$2:$C$5000,$B165,Datos!$D$2:$D$5000,E$2))</f>
        <v/>
      </c>
      <c r="F165" s="9">
        <f>IF(COUNTIFS(Datos!$A$2:$A$5000,F$1,Datos!$B$2:$B$5000,$A165,Datos!$C$2:$C$5000,$B165,Datos!$D$2:$D$5000,F$2)=0,"",SUMIFS(Datos!$E$2:$E$5000,Datos!$A$2:$A$5000,F$1,Datos!$B$2:$B$5000,$A165,Datos!$C$2:$C$5000,$B165,Datos!$D$2:$D$5000,F$2))</f>
        <v/>
      </c>
      <c r="G165" s="9">
        <f>IF(COUNTIFS(Datos!$A$2:$A$5000,G$1,Datos!$B$2:$B$5000,$A165,Datos!$C$2:$C$5000,$B165,Datos!$D$2:$D$5000,G$2)=0,"",SUMIFS(Datos!$E$2:$E$5000,Datos!$A$2:$A$5000,G$1,Datos!$B$2:$B$5000,$A165,Datos!$C$2:$C$5000,$B165,Datos!$D$2:$D$5000,G$2))</f>
        <v/>
      </c>
      <c r="H165" s="9">
        <f>IF(COUNTIFS(Datos!$A$2:$A$5000,H$1,Datos!$B$2:$B$5000,$A165,Datos!$C$2:$C$5000,$B165,Datos!$D$2:$D$5000,H$2)=0,"",SUMIFS(Datos!$E$2:$E$5000,Datos!$A$2:$A$5000,H$1,Datos!$B$2:$B$5000,$A165,Datos!$C$2:$C$5000,$B165,Datos!$D$2:$D$5000,H$2))</f>
        <v/>
      </c>
      <c r="I165" s="9">
        <f>IF(COUNTIFS(Datos!$A$2:$A$5000,I$1,Datos!$B$2:$B$5000,$A165,Datos!$C$2:$C$5000,$B165,Datos!$D$2:$D$5000,I$2)=0,"",SUMIFS(Datos!$E$2:$E$5000,Datos!$A$2:$A$5000,I$1,Datos!$B$2:$B$5000,$A165,Datos!$C$2:$C$5000,$B165,Datos!$D$2:$D$5000,I$2))</f>
        <v/>
      </c>
      <c r="J165" s="9">
        <f>IF(COUNTIFS(Datos!$A$2:$A$5000,J$1,Datos!$B$2:$B$5000,$A165,Datos!$C$2:$C$5000,$B165,Datos!$D$2:$D$5000,J$2)=0,"",SUMIFS(Datos!$E$2:$E$5000,Datos!$A$2:$A$5000,J$1,Datos!$B$2:$B$5000,$A165,Datos!$C$2:$C$5000,$B165,Datos!$D$2:$D$5000,J$2))</f>
        <v/>
      </c>
    </row>
    <row r="166">
      <c r="A166" s="8" t="inlineStr">
        <is>
          <t>El Salvador</t>
        </is>
      </c>
      <c r="B166" s="8" t="n">
        <v>2002</v>
      </c>
      <c r="C166" s="9">
        <f>IF(COUNTIFS(Datos!$A$2:$A$5000,C$1,Datos!$B$2:$B$5000,$A166,Datos!$C$2:$C$5000,$B166,Datos!$D$2:$D$5000,C$2)=0,"",SUMIFS(Datos!$E$2:$E$5000,Datos!$A$2:$A$5000,C$1,Datos!$B$2:$B$5000,$A166,Datos!$C$2:$C$5000,$B166,Datos!$D$2:$D$5000,C$2))</f>
        <v/>
      </c>
      <c r="D166" s="9">
        <f>IF(COUNTIFS(Datos!$A$2:$A$5000,D$1,Datos!$B$2:$B$5000,$A166,Datos!$C$2:$C$5000,$B166,Datos!$D$2:$D$5000,D$2)=0,"",SUMIFS(Datos!$E$2:$E$5000,Datos!$A$2:$A$5000,D$1,Datos!$B$2:$B$5000,$A166,Datos!$C$2:$C$5000,$B166,Datos!$D$2:$D$5000,D$2))</f>
        <v/>
      </c>
      <c r="E166" s="9">
        <f>IF(COUNTIFS(Datos!$A$2:$A$5000,E$1,Datos!$B$2:$B$5000,$A166,Datos!$C$2:$C$5000,$B166,Datos!$D$2:$D$5000,E$2)=0,"",SUMIFS(Datos!$E$2:$E$5000,Datos!$A$2:$A$5000,E$1,Datos!$B$2:$B$5000,$A166,Datos!$C$2:$C$5000,$B166,Datos!$D$2:$D$5000,E$2))</f>
        <v/>
      </c>
      <c r="F166" s="9">
        <f>IF(COUNTIFS(Datos!$A$2:$A$5000,F$1,Datos!$B$2:$B$5000,$A166,Datos!$C$2:$C$5000,$B166,Datos!$D$2:$D$5000,F$2)=0,"",SUMIFS(Datos!$E$2:$E$5000,Datos!$A$2:$A$5000,F$1,Datos!$B$2:$B$5000,$A166,Datos!$C$2:$C$5000,$B166,Datos!$D$2:$D$5000,F$2))</f>
        <v/>
      </c>
      <c r="G166" s="9">
        <f>IF(COUNTIFS(Datos!$A$2:$A$5000,G$1,Datos!$B$2:$B$5000,$A166,Datos!$C$2:$C$5000,$B166,Datos!$D$2:$D$5000,G$2)=0,"",SUMIFS(Datos!$E$2:$E$5000,Datos!$A$2:$A$5000,G$1,Datos!$B$2:$B$5000,$A166,Datos!$C$2:$C$5000,$B166,Datos!$D$2:$D$5000,G$2))</f>
        <v/>
      </c>
      <c r="H166" s="9">
        <f>IF(COUNTIFS(Datos!$A$2:$A$5000,H$1,Datos!$B$2:$B$5000,$A166,Datos!$C$2:$C$5000,$B166,Datos!$D$2:$D$5000,H$2)=0,"",SUMIFS(Datos!$E$2:$E$5000,Datos!$A$2:$A$5000,H$1,Datos!$B$2:$B$5000,$A166,Datos!$C$2:$C$5000,$B166,Datos!$D$2:$D$5000,H$2))</f>
        <v/>
      </c>
      <c r="I166" s="9">
        <f>IF(COUNTIFS(Datos!$A$2:$A$5000,I$1,Datos!$B$2:$B$5000,$A166,Datos!$C$2:$C$5000,$B166,Datos!$D$2:$D$5000,I$2)=0,"",SUMIFS(Datos!$E$2:$E$5000,Datos!$A$2:$A$5000,I$1,Datos!$B$2:$B$5000,$A166,Datos!$C$2:$C$5000,$B166,Datos!$D$2:$D$5000,I$2))</f>
        <v/>
      </c>
      <c r="J166" s="9">
        <f>IF(COUNTIFS(Datos!$A$2:$A$5000,J$1,Datos!$B$2:$B$5000,$A166,Datos!$C$2:$C$5000,$B166,Datos!$D$2:$D$5000,J$2)=0,"",SUMIFS(Datos!$E$2:$E$5000,Datos!$A$2:$A$5000,J$1,Datos!$B$2:$B$5000,$A166,Datos!$C$2:$C$5000,$B166,Datos!$D$2:$D$5000,J$2))</f>
        <v/>
      </c>
    </row>
    <row r="167">
      <c r="A167" s="8" t="inlineStr">
        <is>
          <t>El Salvador</t>
        </is>
      </c>
      <c r="B167" s="8" t="n">
        <v>2003</v>
      </c>
      <c r="C167" s="9">
        <f>IF(COUNTIFS(Datos!$A$2:$A$5000,C$1,Datos!$B$2:$B$5000,$A167,Datos!$C$2:$C$5000,$B167,Datos!$D$2:$D$5000,C$2)=0,"",SUMIFS(Datos!$E$2:$E$5000,Datos!$A$2:$A$5000,C$1,Datos!$B$2:$B$5000,$A167,Datos!$C$2:$C$5000,$B167,Datos!$D$2:$D$5000,C$2))</f>
        <v/>
      </c>
      <c r="D167" s="9">
        <f>IF(COUNTIFS(Datos!$A$2:$A$5000,D$1,Datos!$B$2:$B$5000,$A167,Datos!$C$2:$C$5000,$B167,Datos!$D$2:$D$5000,D$2)=0,"",SUMIFS(Datos!$E$2:$E$5000,Datos!$A$2:$A$5000,D$1,Datos!$B$2:$B$5000,$A167,Datos!$C$2:$C$5000,$B167,Datos!$D$2:$D$5000,D$2))</f>
        <v/>
      </c>
      <c r="E167" s="9">
        <f>IF(COUNTIFS(Datos!$A$2:$A$5000,E$1,Datos!$B$2:$B$5000,$A167,Datos!$C$2:$C$5000,$B167,Datos!$D$2:$D$5000,E$2)=0,"",SUMIFS(Datos!$E$2:$E$5000,Datos!$A$2:$A$5000,E$1,Datos!$B$2:$B$5000,$A167,Datos!$C$2:$C$5000,$B167,Datos!$D$2:$D$5000,E$2))</f>
        <v/>
      </c>
      <c r="F167" s="9">
        <f>IF(COUNTIFS(Datos!$A$2:$A$5000,F$1,Datos!$B$2:$B$5000,$A167,Datos!$C$2:$C$5000,$B167,Datos!$D$2:$D$5000,F$2)=0,"",SUMIFS(Datos!$E$2:$E$5000,Datos!$A$2:$A$5000,F$1,Datos!$B$2:$B$5000,$A167,Datos!$C$2:$C$5000,$B167,Datos!$D$2:$D$5000,F$2))</f>
        <v/>
      </c>
      <c r="G167" s="9">
        <f>IF(COUNTIFS(Datos!$A$2:$A$5000,G$1,Datos!$B$2:$B$5000,$A167,Datos!$C$2:$C$5000,$B167,Datos!$D$2:$D$5000,G$2)=0,"",SUMIFS(Datos!$E$2:$E$5000,Datos!$A$2:$A$5000,G$1,Datos!$B$2:$B$5000,$A167,Datos!$C$2:$C$5000,$B167,Datos!$D$2:$D$5000,G$2))</f>
        <v/>
      </c>
      <c r="H167" s="9">
        <f>IF(COUNTIFS(Datos!$A$2:$A$5000,H$1,Datos!$B$2:$B$5000,$A167,Datos!$C$2:$C$5000,$B167,Datos!$D$2:$D$5000,H$2)=0,"",SUMIFS(Datos!$E$2:$E$5000,Datos!$A$2:$A$5000,H$1,Datos!$B$2:$B$5000,$A167,Datos!$C$2:$C$5000,$B167,Datos!$D$2:$D$5000,H$2))</f>
        <v/>
      </c>
      <c r="I167" s="9">
        <f>IF(COUNTIFS(Datos!$A$2:$A$5000,I$1,Datos!$B$2:$B$5000,$A167,Datos!$C$2:$C$5000,$B167,Datos!$D$2:$D$5000,I$2)=0,"",SUMIFS(Datos!$E$2:$E$5000,Datos!$A$2:$A$5000,I$1,Datos!$B$2:$B$5000,$A167,Datos!$C$2:$C$5000,$B167,Datos!$D$2:$D$5000,I$2))</f>
        <v/>
      </c>
      <c r="J167" s="9">
        <f>IF(COUNTIFS(Datos!$A$2:$A$5000,J$1,Datos!$B$2:$B$5000,$A167,Datos!$C$2:$C$5000,$B167,Datos!$D$2:$D$5000,J$2)=0,"",SUMIFS(Datos!$E$2:$E$5000,Datos!$A$2:$A$5000,J$1,Datos!$B$2:$B$5000,$A167,Datos!$C$2:$C$5000,$B167,Datos!$D$2:$D$5000,J$2))</f>
        <v/>
      </c>
    </row>
    <row r="168">
      <c r="A168" s="8" t="inlineStr">
        <is>
          <t>El Salvador</t>
        </is>
      </c>
      <c r="B168" s="8" t="n">
        <v>2004</v>
      </c>
      <c r="C168" s="9">
        <f>IF(COUNTIFS(Datos!$A$2:$A$5000,C$1,Datos!$B$2:$B$5000,$A168,Datos!$C$2:$C$5000,$B168,Datos!$D$2:$D$5000,C$2)=0,"",SUMIFS(Datos!$E$2:$E$5000,Datos!$A$2:$A$5000,C$1,Datos!$B$2:$B$5000,$A168,Datos!$C$2:$C$5000,$B168,Datos!$D$2:$D$5000,C$2))</f>
        <v/>
      </c>
      <c r="D168" s="9">
        <f>IF(COUNTIFS(Datos!$A$2:$A$5000,D$1,Datos!$B$2:$B$5000,$A168,Datos!$C$2:$C$5000,$B168,Datos!$D$2:$D$5000,D$2)=0,"",SUMIFS(Datos!$E$2:$E$5000,Datos!$A$2:$A$5000,D$1,Datos!$B$2:$B$5000,$A168,Datos!$C$2:$C$5000,$B168,Datos!$D$2:$D$5000,D$2))</f>
        <v/>
      </c>
      <c r="E168" s="9">
        <f>IF(COUNTIFS(Datos!$A$2:$A$5000,E$1,Datos!$B$2:$B$5000,$A168,Datos!$C$2:$C$5000,$B168,Datos!$D$2:$D$5000,E$2)=0,"",SUMIFS(Datos!$E$2:$E$5000,Datos!$A$2:$A$5000,E$1,Datos!$B$2:$B$5000,$A168,Datos!$C$2:$C$5000,$B168,Datos!$D$2:$D$5000,E$2))</f>
        <v/>
      </c>
      <c r="F168" s="9">
        <f>IF(COUNTIFS(Datos!$A$2:$A$5000,F$1,Datos!$B$2:$B$5000,$A168,Datos!$C$2:$C$5000,$B168,Datos!$D$2:$D$5000,F$2)=0,"",SUMIFS(Datos!$E$2:$E$5000,Datos!$A$2:$A$5000,F$1,Datos!$B$2:$B$5000,$A168,Datos!$C$2:$C$5000,$B168,Datos!$D$2:$D$5000,F$2))</f>
        <v/>
      </c>
      <c r="G168" s="9">
        <f>IF(COUNTIFS(Datos!$A$2:$A$5000,G$1,Datos!$B$2:$B$5000,$A168,Datos!$C$2:$C$5000,$B168,Datos!$D$2:$D$5000,G$2)=0,"",SUMIFS(Datos!$E$2:$E$5000,Datos!$A$2:$A$5000,G$1,Datos!$B$2:$B$5000,$A168,Datos!$C$2:$C$5000,$B168,Datos!$D$2:$D$5000,G$2))</f>
        <v/>
      </c>
      <c r="H168" s="9">
        <f>IF(COUNTIFS(Datos!$A$2:$A$5000,H$1,Datos!$B$2:$B$5000,$A168,Datos!$C$2:$C$5000,$B168,Datos!$D$2:$D$5000,H$2)=0,"",SUMIFS(Datos!$E$2:$E$5000,Datos!$A$2:$A$5000,H$1,Datos!$B$2:$B$5000,$A168,Datos!$C$2:$C$5000,$B168,Datos!$D$2:$D$5000,H$2))</f>
        <v/>
      </c>
      <c r="I168" s="9">
        <f>IF(COUNTIFS(Datos!$A$2:$A$5000,I$1,Datos!$B$2:$B$5000,$A168,Datos!$C$2:$C$5000,$B168,Datos!$D$2:$D$5000,I$2)=0,"",SUMIFS(Datos!$E$2:$E$5000,Datos!$A$2:$A$5000,I$1,Datos!$B$2:$B$5000,$A168,Datos!$C$2:$C$5000,$B168,Datos!$D$2:$D$5000,I$2))</f>
        <v/>
      </c>
      <c r="J168" s="9">
        <f>IF(COUNTIFS(Datos!$A$2:$A$5000,J$1,Datos!$B$2:$B$5000,$A168,Datos!$C$2:$C$5000,$B168,Datos!$D$2:$D$5000,J$2)=0,"",SUMIFS(Datos!$E$2:$E$5000,Datos!$A$2:$A$5000,J$1,Datos!$B$2:$B$5000,$A168,Datos!$C$2:$C$5000,$B168,Datos!$D$2:$D$5000,J$2))</f>
        <v/>
      </c>
    </row>
    <row r="169">
      <c r="A169" s="8" t="inlineStr">
        <is>
          <t>El Salvador</t>
        </is>
      </c>
      <c r="B169" s="8" t="n">
        <v>2005</v>
      </c>
      <c r="C169" s="9">
        <f>IF(COUNTIFS(Datos!$A$2:$A$5000,C$1,Datos!$B$2:$B$5000,$A169,Datos!$C$2:$C$5000,$B169,Datos!$D$2:$D$5000,C$2)=0,"",SUMIFS(Datos!$E$2:$E$5000,Datos!$A$2:$A$5000,C$1,Datos!$B$2:$B$5000,$A169,Datos!$C$2:$C$5000,$B169,Datos!$D$2:$D$5000,C$2))</f>
        <v/>
      </c>
      <c r="D169" s="9">
        <f>IF(COUNTIFS(Datos!$A$2:$A$5000,D$1,Datos!$B$2:$B$5000,$A169,Datos!$C$2:$C$5000,$B169,Datos!$D$2:$D$5000,D$2)=0,"",SUMIFS(Datos!$E$2:$E$5000,Datos!$A$2:$A$5000,D$1,Datos!$B$2:$B$5000,$A169,Datos!$C$2:$C$5000,$B169,Datos!$D$2:$D$5000,D$2))</f>
        <v/>
      </c>
      <c r="E169" s="9">
        <f>IF(COUNTIFS(Datos!$A$2:$A$5000,E$1,Datos!$B$2:$B$5000,$A169,Datos!$C$2:$C$5000,$B169,Datos!$D$2:$D$5000,E$2)=0,"",SUMIFS(Datos!$E$2:$E$5000,Datos!$A$2:$A$5000,E$1,Datos!$B$2:$B$5000,$A169,Datos!$C$2:$C$5000,$B169,Datos!$D$2:$D$5000,E$2))</f>
        <v/>
      </c>
      <c r="F169" s="9">
        <f>IF(COUNTIFS(Datos!$A$2:$A$5000,F$1,Datos!$B$2:$B$5000,$A169,Datos!$C$2:$C$5000,$B169,Datos!$D$2:$D$5000,F$2)=0,"",SUMIFS(Datos!$E$2:$E$5000,Datos!$A$2:$A$5000,F$1,Datos!$B$2:$B$5000,$A169,Datos!$C$2:$C$5000,$B169,Datos!$D$2:$D$5000,F$2))</f>
        <v/>
      </c>
      <c r="G169" s="9">
        <f>IF(COUNTIFS(Datos!$A$2:$A$5000,G$1,Datos!$B$2:$B$5000,$A169,Datos!$C$2:$C$5000,$B169,Datos!$D$2:$D$5000,G$2)=0,"",SUMIFS(Datos!$E$2:$E$5000,Datos!$A$2:$A$5000,G$1,Datos!$B$2:$B$5000,$A169,Datos!$C$2:$C$5000,$B169,Datos!$D$2:$D$5000,G$2))</f>
        <v/>
      </c>
      <c r="H169" s="9">
        <f>IF(COUNTIFS(Datos!$A$2:$A$5000,H$1,Datos!$B$2:$B$5000,$A169,Datos!$C$2:$C$5000,$B169,Datos!$D$2:$D$5000,H$2)=0,"",SUMIFS(Datos!$E$2:$E$5000,Datos!$A$2:$A$5000,H$1,Datos!$B$2:$B$5000,$A169,Datos!$C$2:$C$5000,$B169,Datos!$D$2:$D$5000,H$2))</f>
        <v/>
      </c>
      <c r="I169" s="9">
        <f>IF(COUNTIFS(Datos!$A$2:$A$5000,I$1,Datos!$B$2:$B$5000,$A169,Datos!$C$2:$C$5000,$B169,Datos!$D$2:$D$5000,I$2)=0,"",SUMIFS(Datos!$E$2:$E$5000,Datos!$A$2:$A$5000,I$1,Datos!$B$2:$B$5000,$A169,Datos!$C$2:$C$5000,$B169,Datos!$D$2:$D$5000,I$2))</f>
        <v/>
      </c>
      <c r="J169" s="9">
        <f>IF(COUNTIFS(Datos!$A$2:$A$5000,J$1,Datos!$B$2:$B$5000,$A169,Datos!$C$2:$C$5000,$B169,Datos!$D$2:$D$5000,J$2)=0,"",SUMIFS(Datos!$E$2:$E$5000,Datos!$A$2:$A$5000,J$1,Datos!$B$2:$B$5000,$A169,Datos!$C$2:$C$5000,$B169,Datos!$D$2:$D$5000,J$2))</f>
        <v/>
      </c>
    </row>
    <row r="170">
      <c r="A170" s="8" t="inlineStr">
        <is>
          <t>El Salvador</t>
        </is>
      </c>
      <c r="B170" s="8" t="n">
        <v>2006</v>
      </c>
      <c r="C170" s="9">
        <f>IF(COUNTIFS(Datos!$A$2:$A$5000,C$1,Datos!$B$2:$B$5000,$A170,Datos!$C$2:$C$5000,$B170,Datos!$D$2:$D$5000,C$2)=0,"",SUMIFS(Datos!$E$2:$E$5000,Datos!$A$2:$A$5000,C$1,Datos!$B$2:$B$5000,$A170,Datos!$C$2:$C$5000,$B170,Datos!$D$2:$D$5000,C$2))</f>
        <v/>
      </c>
      <c r="D170" s="9">
        <f>IF(COUNTIFS(Datos!$A$2:$A$5000,D$1,Datos!$B$2:$B$5000,$A170,Datos!$C$2:$C$5000,$B170,Datos!$D$2:$D$5000,D$2)=0,"",SUMIFS(Datos!$E$2:$E$5000,Datos!$A$2:$A$5000,D$1,Datos!$B$2:$B$5000,$A170,Datos!$C$2:$C$5000,$B170,Datos!$D$2:$D$5000,D$2))</f>
        <v/>
      </c>
      <c r="E170" s="9">
        <f>IF(COUNTIFS(Datos!$A$2:$A$5000,E$1,Datos!$B$2:$B$5000,$A170,Datos!$C$2:$C$5000,$B170,Datos!$D$2:$D$5000,E$2)=0,"",SUMIFS(Datos!$E$2:$E$5000,Datos!$A$2:$A$5000,E$1,Datos!$B$2:$B$5000,$A170,Datos!$C$2:$C$5000,$B170,Datos!$D$2:$D$5000,E$2))</f>
        <v/>
      </c>
      <c r="F170" s="9">
        <f>IF(COUNTIFS(Datos!$A$2:$A$5000,F$1,Datos!$B$2:$B$5000,$A170,Datos!$C$2:$C$5000,$B170,Datos!$D$2:$D$5000,F$2)=0,"",SUMIFS(Datos!$E$2:$E$5000,Datos!$A$2:$A$5000,F$1,Datos!$B$2:$B$5000,$A170,Datos!$C$2:$C$5000,$B170,Datos!$D$2:$D$5000,F$2))</f>
        <v/>
      </c>
      <c r="G170" s="9">
        <f>IF(COUNTIFS(Datos!$A$2:$A$5000,G$1,Datos!$B$2:$B$5000,$A170,Datos!$C$2:$C$5000,$B170,Datos!$D$2:$D$5000,G$2)=0,"",SUMIFS(Datos!$E$2:$E$5000,Datos!$A$2:$A$5000,G$1,Datos!$B$2:$B$5000,$A170,Datos!$C$2:$C$5000,$B170,Datos!$D$2:$D$5000,G$2))</f>
        <v/>
      </c>
      <c r="H170" s="9">
        <f>IF(COUNTIFS(Datos!$A$2:$A$5000,H$1,Datos!$B$2:$B$5000,$A170,Datos!$C$2:$C$5000,$B170,Datos!$D$2:$D$5000,H$2)=0,"",SUMIFS(Datos!$E$2:$E$5000,Datos!$A$2:$A$5000,H$1,Datos!$B$2:$B$5000,$A170,Datos!$C$2:$C$5000,$B170,Datos!$D$2:$D$5000,H$2))</f>
        <v/>
      </c>
      <c r="I170" s="9">
        <f>IF(COUNTIFS(Datos!$A$2:$A$5000,I$1,Datos!$B$2:$B$5000,$A170,Datos!$C$2:$C$5000,$B170,Datos!$D$2:$D$5000,I$2)=0,"",SUMIFS(Datos!$E$2:$E$5000,Datos!$A$2:$A$5000,I$1,Datos!$B$2:$B$5000,$A170,Datos!$C$2:$C$5000,$B170,Datos!$D$2:$D$5000,I$2))</f>
        <v/>
      </c>
      <c r="J170" s="9">
        <f>IF(COUNTIFS(Datos!$A$2:$A$5000,J$1,Datos!$B$2:$B$5000,$A170,Datos!$C$2:$C$5000,$B170,Datos!$D$2:$D$5000,J$2)=0,"",SUMIFS(Datos!$E$2:$E$5000,Datos!$A$2:$A$5000,J$1,Datos!$B$2:$B$5000,$A170,Datos!$C$2:$C$5000,$B170,Datos!$D$2:$D$5000,J$2))</f>
        <v/>
      </c>
    </row>
    <row r="171">
      <c r="A171" s="8" t="inlineStr">
        <is>
          <t>El Salvador</t>
        </is>
      </c>
      <c r="B171" s="8" t="n">
        <v>2007</v>
      </c>
      <c r="C171" s="9">
        <f>IF(COUNTIFS(Datos!$A$2:$A$5000,C$1,Datos!$B$2:$B$5000,$A171,Datos!$C$2:$C$5000,$B171,Datos!$D$2:$D$5000,C$2)=0,"",SUMIFS(Datos!$E$2:$E$5000,Datos!$A$2:$A$5000,C$1,Datos!$B$2:$B$5000,$A171,Datos!$C$2:$C$5000,$B171,Datos!$D$2:$D$5000,C$2))</f>
        <v/>
      </c>
      <c r="D171" s="9">
        <f>IF(COUNTIFS(Datos!$A$2:$A$5000,D$1,Datos!$B$2:$B$5000,$A171,Datos!$C$2:$C$5000,$B171,Datos!$D$2:$D$5000,D$2)=0,"",SUMIFS(Datos!$E$2:$E$5000,Datos!$A$2:$A$5000,D$1,Datos!$B$2:$B$5000,$A171,Datos!$C$2:$C$5000,$B171,Datos!$D$2:$D$5000,D$2))</f>
        <v/>
      </c>
      <c r="E171" s="9">
        <f>IF(COUNTIFS(Datos!$A$2:$A$5000,E$1,Datos!$B$2:$B$5000,$A171,Datos!$C$2:$C$5000,$B171,Datos!$D$2:$D$5000,E$2)=0,"",SUMIFS(Datos!$E$2:$E$5000,Datos!$A$2:$A$5000,E$1,Datos!$B$2:$B$5000,$A171,Datos!$C$2:$C$5000,$B171,Datos!$D$2:$D$5000,E$2))</f>
        <v/>
      </c>
      <c r="F171" s="9">
        <f>IF(COUNTIFS(Datos!$A$2:$A$5000,F$1,Datos!$B$2:$B$5000,$A171,Datos!$C$2:$C$5000,$B171,Datos!$D$2:$D$5000,F$2)=0,"",SUMIFS(Datos!$E$2:$E$5000,Datos!$A$2:$A$5000,F$1,Datos!$B$2:$B$5000,$A171,Datos!$C$2:$C$5000,$B171,Datos!$D$2:$D$5000,F$2))</f>
        <v/>
      </c>
      <c r="G171" s="9">
        <f>IF(COUNTIFS(Datos!$A$2:$A$5000,G$1,Datos!$B$2:$B$5000,$A171,Datos!$C$2:$C$5000,$B171,Datos!$D$2:$D$5000,G$2)=0,"",SUMIFS(Datos!$E$2:$E$5000,Datos!$A$2:$A$5000,G$1,Datos!$B$2:$B$5000,$A171,Datos!$C$2:$C$5000,$B171,Datos!$D$2:$D$5000,G$2))</f>
        <v/>
      </c>
      <c r="H171" s="9">
        <f>IF(COUNTIFS(Datos!$A$2:$A$5000,H$1,Datos!$B$2:$B$5000,$A171,Datos!$C$2:$C$5000,$B171,Datos!$D$2:$D$5000,H$2)=0,"",SUMIFS(Datos!$E$2:$E$5000,Datos!$A$2:$A$5000,H$1,Datos!$B$2:$B$5000,$A171,Datos!$C$2:$C$5000,$B171,Datos!$D$2:$D$5000,H$2))</f>
        <v/>
      </c>
      <c r="I171" s="9">
        <f>IF(COUNTIFS(Datos!$A$2:$A$5000,I$1,Datos!$B$2:$B$5000,$A171,Datos!$C$2:$C$5000,$B171,Datos!$D$2:$D$5000,I$2)=0,"",SUMIFS(Datos!$E$2:$E$5000,Datos!$A$2:$A$5000,I$1,Datos!$B$2:$B$5000,$A171,Datos!$C$2:$C$5000,$B171,Datos!$D$2:$D$5000,I$2))</f>
        <v/>
      </c>
      <c r="J171" s="9">
        <f>IF(COUNTIFS(Datos!$A$2:$A$5000,J$1,Datos!$B$2:$B$5000,$A171,Datos!$C$2:$C$5000,$B171,Datos!$D$2:$D$5000,J$2)=0,"",SUMIFS(Datos!$E$2:$E$5000,Datos!$A$2:$A$5000,J$1,Datos!$B$2:$B$5000,$A171,Datos!$C$2:$C$5000,$B171,Datos!$D$2:$D$5000,J$2))</f>
        <v/>
      </c>
    </row>
    <row r="172">
      <c r="A172" s="8" t="inlineStr">
        <is>
          <t>El Salvador</t>
        </is>
      </c>
      <c r="B172" s="8" t="n">
        <v>2008</v>
      </c>
      <c r="C172" s="9">
        <f>IF(COUNTIFS(Datos!$A$2:$A$5000,C$1,Datos!$B$2:$B$5000,$A172,Datos!$C$2:$C$5000,$B172,Datos!$D$2:$D$5000,C$2)=0,"",SUMIFS(Datos!$E$2:$E$5000,Datos!$A$2:$A$5000,C$1,Datos!$B$2:$B$5000,$A172,Datos!$C$2:$C$5000,$B172,Datos!$D$2:$D$5000,C$2))</f>
        <v/>
      </c>
      <c r="D172" s="9">
        <f>IF(COUNTIFS(Datos!$A$2:$A$5000,D$1,Datos!$B$2:$B$5000,$A172,Datos!$C$2:$C$5000,$B172,Datos!$D$2:$D$5000,D$2)=0,"",SUMIFS(Datos!$E$2:$E$5000,Datos!$A$2:$A$5000,D$1,Datos!$B$2:$B$5000,$A172,Datos!$C$2:$C$5000,$B172,Datos!$D$2:$D$5000,D$2))</f>
        <v/>
      </c>
      <c r="E172" s="9">
        <f>IF(COUNTIFS(Datos!$A$2:$A$5000,E$1,Datos!$B$2:$B$5000,$A172,Datos!$C$2:$C$5000,$B172,Datos!$D$2:$D$5000,E$2)=0,"",SUMIFS(Datos!$E$2:$E$5000,Datos!$A$2:$A$5000,E$1,Datos!$B$2:$B$5000,$A172,Datos!$C$2:$C$5000,$B172,Datos!$D$2:$D$5000,E$2))</f>
        <v/>
      </c>
      <c r="F172" s="9">
        <f>IF(COUNTIFS(Datos!$A$2:$A$5000,F$1,Datos!$B$2:$B$5000,$A172,Datos!$C$2:$C$5000,$B172,Datos!$D$2:$D$5000,F$2)=0,"",SUMIFS(Datos!$E$2:$E$5000,Datos!$A$2:$A$5000,F$1,Datos!$B$2:$B$5000,$A172,Datos!$C$2:$C$5000,$B172,Datos!$D$2:$D$5000,F$2))</f>
        <v/>
      </c>
      <c r="G172" s="9">
        <f>IF(COUNTIFS(Datos!$A$2:$A$5000,G$1,Datos!$B$2:$B$5000,$A172,Datos!$C$2:$C$5000,$B172,Datos!$D$2:$D$5000,G$2)=0,"",SUMIFS(Datos!$E$2:$E$5000,Datos!$A$2:$A$5000,G$1,Datos!$B$2:$B$5000,$A172,Datos!$C$2:$C$5000,$B172,Datos!$D$2:$D$5000,G$2))</f>
        <v/>
      </c>
      <c r="H172" s="9">
        <f>IF(COUNTIFS(Datos!$A$2:$A$5000,H$1,Datos!$B$2:$B$5000,$A172,Datos!$C$2:$C$5000,$B172,Datos!$D$2:$D$5000,H$2)=0,"",SUMIFS(Datos!$E$2:$E$5000,Datos!$A$2:$A$5000,H$1,Datos!$B$2:$B$5000,$A172,Datos!$C$2:$C$5000,$B172,Datos!$D$2:$D$5000,H$2))</f>
        <v/>
      </c>
      <c r="I172" s="9">
        <f>IF(COUNTIFS(Datos!$A$2:$A$5000,I$1,Datos!$B$2:$B$5000,$A172,Datos!$C$2:$C$5000,$B172,Datos!$D$2:$D$5000,I$2)=0,"",SUMIFS(Datos!$E$2:$E$5000,Datos!$A$2:$A$5000,I$1,Datos!$B$2:$B$5000,$A172,Datos!$C$2:$C$5000,$B172,Datos!$D$2:$D$5000,I$2))</f>
        <v/>
      </c>
      <c r="J172" s="9">
        <f>IF(COUNTIFS(Datos!$A$2:$A$5000,J$1,Datos!$B$2:$B$5000,$A172,Datos!$C$2:$C$5000,$B172,Datos!$D$2:$D$5000,J$2)=0,"",SUMIFS(Datos!$E$2:$E$5000,Datos!$A$2:$A$5000,J$1,Datos!$B$2:$B$5000,$A172,Datos!$C$2:$C$5000,$B172,Datos!$D$2:$D$5000,J$2))</f>
        <v/>
      </c>
    </row>
    <row r="173">
      <c r="A173" s="8" t="inlineStr">
        <is>
          <t>El Salvador</t>
        </is>
      </c>
      <c r="B173" s="8" t="n">
        <v>2009</v>
      </c>
      <c r="C173" s="9">
        <f>IF(COUNTIFS(Datos!$A$2:$A$5000,C$1,Datos!$B$2:$B$5000,$A173,Datos!$C$2:$C$5000,$B173,Datos!$D$2:$D$5000,C$2)=0,"",SUMIFS(Datos!$E$2:$E$5000,Datos!$A$2:$A$5000,C$1,Datos!$B$2:$B$5000,$A173,Datos!$C$2:$C$5000,$B173,Datos!$D$2:$D$5000,C$2))</f>
        <v/>
      </c>
      <c r="D173" s="9">
        <f>IF(COUNTIFS(Datos!$A$2:$A$5000,D$1,Datos!$B$2:$B$5000,$A173,Datos!$C$2:$C$5000,$B173,Datos!$D$2:$D$5000,D$2)=0,"",SUMIFS(Datos!$E$2:$E$5000,Datos!$A$2:$A$5000,D$1,Datos!$B$2:$B$5000,$A173,Datos!$C$2:$C$5000,$B173,Datos!$D$2:$D$5000,D$2))</f>
        <v/>
      </c>
      <c r="E173" s="9">
        <f>IF(COUNTIFS(Datos!$A$2:$A$5000,E$1,Datos!$B$2:$B$5000,$A173,Datos!$C$2:$C$5000,$B173,Datos!$D$2:$D$5000,E$2)=0,"",SUMIFS(Datos!$E$2:$E$5000,Datos!$A$2:$A$5000,E$1,Datos!$B$2:$B$5000,$A173,Datos!$C$2:$C$5000,$B173,Datos!$D$2:$D$5000,E$2))</f>
        <v/>
      </c>
      <c r="F173" s="9">
        <f>IF(COUNTIFS(Datos!$A$2:$A$5000,F$1,Datos!$B$2:$B$5000,$A173,Datos!$C$2:$C$5000,$B173,Datos!$D$2:$D$5000,F$2)=0,"",SUMIFS(Datos!$E$2:$E$5000,Datos!$A$2:$A$5000,F$1,Datos!$B$2:$B$5000,$A173,Datos!$C$2:$C$5000,$B173,Datos!$D$2:$D$5000,F$2))</f>
        <v/>
      </c>
      <c r="G173" s="9">
        <f>IF(COUNTIFS(Datos!$A$2:$A$5000,G$1,Datos!$B$2:$B$5000,$A173,Datos!$C$2:$C$5000,$B173,Datos!$D$2:$D$5000,G$2)=0,"",SUMIFS(Datos!$E$2:$E$5000,Datos!$A$2:$A$5000,G$1,Datos!$B$2:$B$5000,$A173,Datos!$C$2:$C$5000,$B173,Datos!$D$2:$D$5000,G$2))</f>
        <v/>
      </c>
      <c r="H173" s="9">
        <f>IF(COUNTIFS(Datos!$A$2:$A$5000,H$1,Datos!$B$2:$B$5000,$A173,Datos!$C$2:$C$5000,$B173,Datos!$D$2:$D$5000,H$2)=0,"",SUMIFS(Datos!$E$2:$E$5000,Datos!$A$2:$A$5000,H$1,Datos!$B$2:$B$5000,$A173,Datos!$C$2:$C$5000,$B173,Datos!$D$2:$D$5000,H$2))</f>
        <v/>
      </c>
      <c r="I173" s="9">
        <f>IF(COUNTIFS(Datos!$A$2:$A$5000,I$1,Datos!$B$2:$B$5000,$A173,Datos!$C$2:$C$5000,$B173,Datos!$D$2:$D$5000,I$2)=0,"",SUMIFS(Datos!$E$2:$E$5000,Datos!$A$2:$A$5000,I$1,Datos!$B$2:$B$5000,$A173,Datos!$C$2:$C$5000,$B173,Datos!$D$2:$D$5000,I$2))</f>
        <v/>
      </c>
      <c r="J173" s="9">
        <f>IF(COUNTIFS(Datos!$A$2:$A$5000,J$1,Datos!$B$2:$B$5000,$A173,Datos!$C$2:$C$5000,$B173,Datos!$D$2:$D$5000,J$2)=0,"",SUMIFS(Datos!$E$2:$E$5000,Datos!$A$2:$A$5000,J$1,Datos!$B$2:$B$5000,$A173,Datos!$C$2:$C$5000,$B173,Datos!$D$2:$D$5000,J$2))</f>
        <v/>
      </c>
    </row>
    <row r="174">
      <c r="A174" s="8" t="inlineStr">
        <is>
          <t>El Salvador</t>
        </is>
      </c>
      <c r="B174" s="8" t="n">
        <v>2010</v>
      </c>
      <c r="C174" s="9">
        <f>IF(COUNTIFS(Datos!$A$2:$A$5000,C$1,Datos!$B$2:$B$5000,$A174,Datos!$C$2:$C$5000,$B174,Datos!$D$2:$D$5000,C$2)=0,"",SUMIFS(Datos!$E$2:$E$5000,Datos!$A$2:$A$5000,C$1,Datos!$B$2:$B$5000,$A174,Datos!$C$2:$C$5000,$B174,Datos!$D$2:$D$5000,C$2))</f>
        <v/>
      </c>
      <c r="D174" s="9">
        <f>IF(COUNTIFS(Datos!$A$2:$A$5000,D$1,Datos!$B$2:$B$5000,$A174,Datos!$C$2:$C$5000,$B174,Datos!$D$2:$D$5000,D$2)=0,"",SUMIFS(Datos!$E$2:$E$5000,Datos!$A$2:$A$5000,D$1,Datos!$B$2:$B$5000,$A174,Datos!$C$2:$C$5000,$B174,Datos!$D$2:$D$5000,D$2))</f>
        <v/>
      </c>
      <c r="E174" s="9">
        <f>IF(COUNTIFS(Datos!$A$2:$A$5000,E$1,Datos!$B$2:$B$5000,$A174,Datos!$C$2:$C$5000,$B174,Datos!$D$2:$D$5000,E$2)=0,"",SUMIFS(Datos!$E$2:$E$5000,Datos!$A$2:$A$5000,E$1,Datos!$B$2:$B$5000,$A174,Datos!$C$2:$C$5000,$B174,Datos!$D$2:$D$5000,E$2))</f>
        <v/>
      </c>
      <c r="F174" s="9">
        <f>IF(COUNTIFS(Datos!$A$2:$A$5000,F$1,Datos!$B$2:$B$5000,$A174,Datos!$C$2:$C$5000,$B174,Datos!$D$2:$D$5000,F$2)=0,"",SUMIFS(Datos!$E$2:$E$5000,Datos!$A$2:$A$5000,F$1,Datos!$B$2:$B$5000,$A174,Datos!$C$2:$C$5000,$B174,Datos!$D$2:$D$5000,F$2))</f>
        <v/>
      </c>
      <c r="G174" s="9">
        <f>IF(COUNTIFS(Datos!$A$2:$A$5000,G$1,Datos!$B$2:$B$5000,$A174,Datos!$C$2:$C$5000,$B174,Datos!$D$2:$D$5000,G$2)=0,"",SUMIFS(Datos!$E$2:$E$5000,Datos!$A$2:$A$5000,G$1,Datos!$B$2:$B$5000,$A174,Datos!$C$2:$C$5000,$B174,Datos!$D$2:$D$5000,G$2))</f>
        <v/>
      </c>
      <c r="H174" s="9">
        <f>IF(COUNTIFS(Datos!$A$2:$A$5000,H$1,Datos!$B$2:$B$5000,$A174,Datos!$C$2:$C$5000,$B174,Datos!$D$2:$D$5000,H$2)=0,"",SUMIFS(Datos!$E$2:$E$5000,Datos!$A$2:$A$5000,H$1,Datos!$B$2:$B$5000,$A174,Datos!$C$2:$C$5000,$B174,Datos!$D$2:$D$5000,H$2))</f>
        <v/>
      </c>
      <c r="I174" s="9">
        <f>IF(COUNTIFS(Datos!$A$2:$A$5000,I$1,Datos!$B$2:$B$5000,$A174,Datos!$C$2:$C$5000,$B174,Datos!$D$2:$D$5000,I$2)=0,"",SUMIFS(Datos!$E$2:$E$5000,Datos!$A$2:$A$5000,I$1,Datos!$B$2:$B$5000,$A174,Datos!$C$2:$C$5000,$B174,Datos!$D$2:$D$5000,I$2))</f>
        <v/>
      </c>
      <c r="J174" s="9">
        <f>IF(COUNTIFS(Datos!$A$2:$A$5000,J$1,Datos!$B$2:$B$5000,$A174,Datos!$C$2:$C$5000,$B174,Datos!$D$2:$D$5000,J$2)=0,"",SUMIFS(Datos!$E$2:$E$5000,Datos!$A$2:$A$5000,J$1,Datos!$B$2:$B$5000,$A174,Datos!$C$2:$C$5000,$B174,Datos!$D$2:$D$5000,J$2))</f>
        <v/>
      </c>
    </row>
    <row r="175">
      <c r="A175" s="8" t="inlineStr">
        <is>
          <t>El Salvador</t>
        </is>
      </c>
      <c r="B175" s="8" t="n">
        <v>2011</v>
      </c>
      <c r="C175" s="9">
        <f>IF(COUNTIFS(Datos!$A$2:$A$5000,C$1,Datos!$B$2:$B$5000,$A175,Datos!$C$2:$C$5000,$B175,Datos!$D$2:$D$5000,C$2)=0,"",SUMIFS(Datos!$E$2:$E$5000,Datos!$A$2:$A$5000,C$1,Datos!$B$2:$B$5000,$A175,Datos!$C$2:$C$5000,$B175,Datos!$D$2:$D$5000,C$2))</f>
        <v/>
      </c>
      <c r="D175" s="9">
        <f>IF(COUNTIFS(Datos!$A$2:$A$5000,D$1,Datos!$B$2:$B$5000,$A175,Datos!$C$2:$C$5000,$B175,Datos!$D$2:$D$5000,D$2)=0,"",SUMIFS(Datos!$E$2:$E$5000,Datos!$A$2:$A$5000,D$1,Datos!$B$2:$B$5000,$A175,Datos!$C$2:$C$5000,$B175,Datos!$D$2:$D$5000,D$2))</f>
        <v/>
      </c>
      <c r="E175" s="9">
        <f>IF(COUNTIFS(Datos!$A$2:$A$5000,E$1,Datos!$B$2:$B$5000,$A175,Datos!$C$2:$C$5000,$B175,Datos!$D$2:$D$5000,E$2)=0,"",SUMIFS(Datos!$E$2:$E$5000,Datos!$A$2:$A$5000,E$1,Datos!$B$2:$B$5000,$A175,Datos!$C$2:$C$5000,$B175,Datos!$D$2:$D$5000,E$2))</f>
        <v/>
      </c>
      <c r="F175" s="9">
        <f>IF(COUNTIFS(Datos!$A$2:$A$5000,F$1,Datos!$B$2:$B$5000,$A175,Datos!$C$2:$C$5000,$B175,Datos!$D$2:$D$5000,F$2)=0,"",SUMIFS(Datos!$E$2:$E$5000,Datos!$A$2:$A$5000,F$1,Datos!$B$2:$B$5000,$A175,Datos!$C$2:$C$5000,$B175,Datos!$D$2:$D$5000,F$2))</f>
        <v/>
      </c>
      <c r="G175" s="9">
        <f>IF(COUNTIFS(Datos!$A$2:$A$5000,G$1,Datos!$B$2:$B$5000,$A175,Datos!$C$2:$C$5000,$B175,Datos!$D$2:$D$5000,G$2)=0,"",SUMIFS(Datos!$E$2:$E$5000,Datos!$A$2:$A$5000,G$1,Datos!$B$2:$B$5000,$A175,Datos!$C$2:$C$5000,$B175,Datos!$D$2:$D$5000,G$2))</f>
        <v/>
      </c>
      <c r="H175" s="9">
        <f>IF(COUNTIFS(Datos!$A$2:$A$5000,H$1,Datos!$B$2:$B$5000,$A175,Datos!$C$2:$C$5000,$B175,Datos!$D$2:$D$5000,H$2)=0,"",SUMIFS(Datos!$E$2:$E$5000,Datos!$A$2:$A$5000,H$1,Datos!$B$2:$B$5000,$A175,Datos!$C$2:$C$5000,$B175,Datos!$D$2:$D$5000,H$2))</f>
        <v/>
      </c>
      <c r="I175" s="9">
        <f>IF(COUNTIFS(Datos!$A$2:$A$5000,I$1,Datos!$B$2:$B$5000,$A175,Datos!$C$2:$C$5000,$B175,Datos!$D$2:$D$5000,I$2)=0,"",SUMIFS(Datos!$E$2:$E$5000,Datos!$A$2:$A$5000,I$1,Datos!$B$2:$B$5000,$A175,Datos!$C$2:$C$5000,$B175,Datos!$D$2:$D$5000,I$2))</f>
        <v/>
      </c>
      <c r="J175" s="9">
        <f>IF(COUNTIFS(Datos!$A$2:$A$5000,J$1,Datos!$B$2:$B$5000,$A175,Datos!$C$2:$C$5000,$B175,Datos!$D$2:$D$5000,J$2)=0,"",SUMIFS(Datos!$E$2:$E$5000,Datos!$A$2:$A$5000,J$1,Datos!$B$2:$B$5000,$A175,Datos!$C$2:$C$5000,$B175,Datos!$D$2:$D$5000,J$2))</f>
        <v/>
      </c>
    </row>
    <row r="176">
      <c r="A176" s="8" t="inlineStr">
        <is>
          <t>El Salvador</t>
        </is>
      </c>
      <c r="B176" s="8" t="n">
        <v>2016</v>
      </c>
      <c r="C176" s="9">
        <f>IF(COUNTIFS(Datos!$A$2:$A$5000,C$1,Datos!$B$2:$B$5000,$A176,Datos!$C$2:$C$5000,$B176,Datos!$D$2:$D$5000,C$2)=0,"",SUMIFS(Datos!$E$2:$E$5000,Datos!$A$2:$A$5000,C$1,Datos!$B$2:$B$5000,$A176,Datos!$C$2:$C$5000,$B176,Datos!$D$2:$D$5000,C$2))</f>
        <v/>
      </c>
      <c r="D176" s="9">
        <f>IF(COUNTIFS(Datos!$A$2:$A$5000,D$1,Datos!$B$2:$B$5000,$A176,Datos!$C$2:$C$5000,$B176,Datos!$D$2:$D$5000,D$2)=0,"",SUMIFS(Datos!$E$2:$E$5000,Datos!$A$2:$A$5000,D$1,Datos!$B$2:$B$5000,$A176,Datos!$C$2:$C$5000,$B176,Datos!$D$2:$D$5000,D$2))</f>
        <v/>
      </c>
      <c r="E176" s="9">
        <f>IF(COUNTIFS(Datos!$A$2:$A$5000,E$1,Datos!$B$2:$B$5000,$A176,Datos!$C$2:$C$5000,$B176,Datos!$D$2:$D$5000,E$2)=0,"",SUMIFS(Datos!$E$2:$E$5000,Datos!$A$2:$A$5000,E$1,Datos!$B$2:$B$5000,$A176,Datos!$C$2:$C$5000,$B176,Datos!$D$2:$D$5000,E$2))</f>
        <v/>
      </c>
      <c r="F176" s="9">
        <f>IF(COUNTIFS(Datos!$A$2:$A$5000,F$1,Datos!$B$2:$B$5000,$A176,Datos!$C$2:$C$5000,$B176,Datos!$D$2:$D$5000,F$2)=0,"",SUMIFS(Datos!$E$2:$E$5000,Datos!$A$2:$A$5000,F$1,Datos!$B$2:$B$5000,$A176,Datos!$C$2:$C$5000,$B176,Datos!$D$2:$D$5000,F$2))</f>
        <v/>
      </c>
      <c r="G176" s="9">
        <f>IF(COUNTIFS(Datos!$A$2:$A$5000,G$1,Datos!$B$2:$B$5000,$A176,Datos!$C$2:$C$5000,$B176,Datos!$D$2:$D$5000,G$2)=0,"",SUMIFS(Datos!$E$2:$E$5000,Datos!$A$2:$A$5000,G$1,Datos!$B$2:$B$5000,$A176,Datos!$C$2:$C$5000,$B176,Datos!$D$2:$D$5000,G$2))</f>
        <v/>
      </c>
      <c r="H176" s="9">
        <f>IF(COUNTIFS(Datos!$A$2:$A$5000,H$1,Datos!$B$2:$B$5000,$A176,Datos!$C$2:$C$5000,$B176,Datos!$D$2:$D$5000,H$2)=0,"",SUMIFS(Datos!$E$2:$E$5000,Datos!$A$2:$A$5000,H$1,Datos!$B$2:$B$5000,$A176,Datos!$C$2:$C$5000,$B176,Datos!$D$2:$D$5000,H$2))</f>
        <v/>
      </c>
      <c r="I176" s="9">
        <f>IF(COUNTIFS(Datos!$A$2:$A$5000,I$1,Datos!$B$2:$B$5000,$A176,Datos!$C$2:$C$5000,$B176,Datos!$D$2:$D$5000,I$2)=0,"",SUMIFS(Datos!$E$2:$E$5000,Datos!$A$2:$A$5000,I$1,Datos!$B$2:$B$5000,$A176,Datos!$C$2:$C$5000,$B176,Datos!$D$2:$D$5000,I$2))</f>
        <v/>
      </c>
      <c r="J176" s="9">
        <f>IF(COUNTIFS(Datos!$A$2:$A$5000,J$1,Datos!$B$2:$B$5000,$A176,Datos!$C$2:$C$5000,$B176,Datos!$D$2:$D$5000,J$2)=0,"",SUMIFS(Datos!$E$2:$E$5000,Datos!$A$2:$A$5000,J$1,Datos!$B$2:$B$5000,$A176,Datos!$C$2:$C$5000,$B176,Datos!$D$2:$D$5000,J$2))</f>
        <v/>
      </c>
    </row>
    <row r="177">
      <c r="A177" s="8" t="inlineStr">
        <is>
          <t>El Salvador</t>
        </is>
      </c>
      <c r="B177" s="8" t="n">
        <v>2017</v>
      </c>
      <c r="C177" s="9">
        <f>IF(COUNTIFS(Datos!$A$2:$A$5000,C$1,Datos!$B$2:$B$5000,$A177,Datos!$C$2:$C$5000,$B177,Datos!$D$2:$D$5000,C$2)=0,"",SUMIFS(Datos!$E$2:$E$5000,Datos!$A$2:$A$5000,C$1,Datos!$B$2:$B$5000,$A177,Datos!$C$2:$C$5000,$B177,Datos!$D$2:$D$5000,C$2))</f>
        <v/>
      </c>
      <c r="D177" s="9">
        <f>IF(COUNTIFS(Datos!$A$2:$A$5000,D$1,Datos!$B$2:$B$5000,$A177,Datos!$C$2:$C$5000,$B177,Datos!$D$2:$D$5000,D$2)=0,"",SUMIFS(Datos!$E$2:$E$5000,Datos!$A$2:$A$5000,D$1,Datos!$B$2:$B$5000,$A177,Datos!$C$2:$C$5000,$B177,Datos!$D$2:$D$5000,D$2))</f>
        <v/>
      </c>
      <c r="E177" s="9">
        <f>IF(COUNTIFS(Datos!$A$2:$A$5000,E$1,Datos!$B$2:$B$5000,$A177,Datos!$C$2:$C$5000,$B177,Datos!$D$2:$D$5000,E$2)=0,"",SUMIFS(Datos!$E$2:$E$5000,Datos!$A$2:$A$5000,E$1,Datos!$B$2:$B$5000,$A177,Datos!$C$2:$C$5000,$B177,Datos!$D$2:$D$5000,E$2))</f>
        <v/>
      </c>
      <c r="F177" s="9">
        <f>IF(COUNTIFS(Datos!$A$2:$A$5000,F$1,Datos!$B$2:$B$5000,$A177,Datos!$C$2:$C$5000,$B177,Datos!$D$2:$D$5000,F$2)=0,"",SUMIFS(Datos!$E$2:$E$5000,Datos!$A$2:$A$5000,F$1,Datos!$B$2:$B$5000,$A177,Datos!$C$2:$C$5000,$B177,Datos!$D$2:$D$5000,F$2))</f>
        <v/>
      </c>
      <c r="G177" s="9">
        <f>IF(COUNTIFS(Datos!$A$2:$A$5000,G$1,Datos!$B$2:$B$5000,$A177,Datos!$C$2:$C$5000,$B177,Datos!$D$2:$D$5000,G$2)=0,"",SUMIFS(Datos!$E$2:$E$5000,Datos!$A$2:$A$5000,G$1,Datos!$B$2:$B$5000,$A177,Datos!$C$2:$C$5000,$B177,Datos!$D$2:$D$5000,G$2))</f>
        <v/>
      </c>
      <c r="H177" s="9">
        <f>IF(COUNTIFS(Datos!$A$2:$A$5000,H$1,Datos!$B$2:$B$5000,$A177,Datos!$C$2:$C$5000,$B177,Datos!$D$2:$D$5000,H$2)=0,"",SUMIFS(Datos!$E$2:$E$5000,Datos!$A$2:$A$5000,H$1,Datos!$B$2:$B$5000,$A177,Datos!$C$2:$C$5000,$B177,Datos!$D$2:$D$5000,H$2))</f>
        <v/>
      </c>
      <c r="I177" s="9">
        <f>IF(COUNTIFS(Datos!$A$2:$A$5000,I$1,Datos!$B$2:$B$5000,$A177,Datos!$C$2:$C$5000,$B177,Datos!$D$2:$D$5000,I$2)=0,"",SUMIFS(Datos!$E$2:$E$5000,Datos!$A$2:$A$5000,I$1,Datos!$B$2:$B$5000,$A177,Datos!$C$2:$C$5000,$B177,Datos!$D$2:$D$5000,I$2))</f>
        <v/>
      </c>
      <c r="J177" s="9">
        <f>IF(COUNTIFS(Datos!$A$2:$A$5000,J$1,Datos!$B$2:$B$5000,$A177,Datos!$C$2:$C$5000,$B177,Datos!$D$2:$D$5000,J$2)=0,"",SUMIFS(Datos!$E$2:$E$5000,Datos!$A$2:$A$5000,J$1,Datos!$B$2:$B$5000,$A177,Datos!$C$2:$C$5000,$B177,Datos!$D$2:$D$5000,J$2))</f>
        <v/>
      </c>
    </row>
    <row r="178">
      <c r="A178" s="8" t="inlineStr">
        <is>
          <t>El Salvador</t>
        </is>
      </c>
      <c r="B178" s="8" t="n">
        <v>2018</v>
      </c>
      <c r="C178" s="9">
        <f>IF(COUNTIFS(Datos!$A$2:$A$5000,C$1,Datos!$B$2:$B$5000,$A178,Datos!$C$2:$C$5000,$B178,Datos!$D$2:$D$5000,C$2)=0,"",SUMIFS(Datos!$E$2:$E$5000,Datos!$A$2:$A$5000,C$1,Datos!$B$2:$B$5000,$A178,Datos!$C$2:$C$5000,$B178,Datos!$D$2:$D$5000,C$2))</f>
        <v/>
      </c>
      <c r="D178" s="9">
        <f>IF(COUNTIFS(Datos!$A$2:$A$5000,D$1,Datos!$B$2:$B$5000,$A178,Datos!$C$2:$C$5000,$B178,Datos!$D$2:$D$5000,D$2)=0,"",SUMIFS(Datos!$E$2:$E$5000,Datos!$A$2:$A$5000,D$1,Datos!$B$2:$B$5000,$A178,Datos!$C$2:$C$5000,$B178,Datos!$D$2:$D$5000,D$2))</f>
        <v/>
      </c>
      <c r="E178" s="9">
        <f>IF(COUNTIFS(Datos!$A$2:$A$5000,E$1,Datos!$B$2:$B$5000,$A178,Datos!$C$2:$C$5000,$B178,Datos!$D$2:$D$5000,E$2)=0,"",SUMIFS(Datos!$E$2:$E$5000,Datos!$A$2:$A$5000,E$1,Datos!$B$2:$B$5000,$A178,Datos!$C$2:$C$5000,$B178,Datos!$D$2:$D$5000,E$2))</f>
        <v/>
      </c>
      <c r="F178" s="9">
        <f>IF(COUNTIFS(Datos!$A$2:$A$5000,F$1,Datos!$B$2:$B$5000,$A178,Datos!$C$2:$C$5000,$B178,Datos!$D$2:$D$5000,F$2)=0,"",SUMIFS(Datos!$E$2:$E$5000,Datos!$A$2:$A$5000,F$1,Datos!$B$2:$B$5000,$A178,Datos!$C$2:$C$5000,$B178,Datos!$D$2:$D$5000,F$2))</f>
        <v/>
      </c>
      <c r="G178" s="9">
        <f>IF(COUNTIFS(Datos!$A$2:$A$5000,G$1,Datos!$B$2:$B$5000,$A178,Datos!$C$2:$C$5000,$B178,Datos!$D$2:$D$5000,G$2)=0,"",SUMIFS(Datos!$E$2:$E$5000,Datos!$A$2:$A$5000,G$1,Datos!$B$2:$B$5000,$A178,Datos!$C$2:$C$5000,$B178,Datos!$D$2:$D$5000,G$2))</f>
        <v/>
      </c>
      <c r="H178" s="9">
        <f>IF(COUNTIFS(Datos!$A$2:$A$5000,H$1,Datos!$B$2:$B$5000,$A178,Datos!$C$2:$C$5000,$B178,Datos!$D$2:$D$5000,H$2)=0,"",SUMIFS(Datos!$E$2:$E$5000,Datos!$A$2:$A$5000,H$1,Datos!$B$2:$B$5000,$A178,Datos!$C$2:$C$5000,$B178,Datos!$D$2:$D$5000,H$2))</f>
        <v/>
      </c>
      <c r="I178" s="9">
        <f>IF(COUNTIFS(Datos!$A$2:$A$5000,I$1,Datos!$B$2:$B$5000,$A178,Datos!$C$2:$C$5000,$B178,Datos!$D$2:$D$5000,I$2)=0,"",SUMIFS(Datos!$E$2:$E$5000,Datos!$A$2:$A$5000,I$1,Datos!$B$2:$B$5000,$A178,Datos!$C$2:$C$5000,$B178,Datos!$D$2:$D$5000,I$2))</f>
        <v/>
      </c>
      <c r="J178" s="9">
        <f>IF(COUNTIFS(Datos!$A$2:$A$5000,J$1,Datos!$B$2:$B$5000,$A178,Datos!$C$2:$C$5000,$B178,Datos!$D$2:$D$5000,J$2)=0,"",SUMIFS(Datos!$E$2:$E$5000,Datos!$A$2:$A$5000,J$1,Datos!$B$2:$B$5000,$A178,Datos!$C$2:$C$5000,$B178,Datos!$D$2:$D$5000,J$2))</f>
        <v/>
      </c>
    </row>
    <row r="179">
      <c r="A179" s="8" t="inlineStr">
        <is>
          <t>El Salvador</t>
        </is>
      </c>
      <c r="B179" s="8" t="n">
        <v>2020</v>
      </c>
      <c r="C179" s="9">
        <f>IF(COUNTIFS(Datos!$A$2:$A$5000,C$1,Datos!$B$2:$B$5000,$A179,Datos!$C$2:$C$5000,$B179,Datos!$D$2:$D$5000,C$2)=0,"",SUMIFS(Datos!$E$2:$E$5000,Datos!$A$2:$A$5000,C$1,Datos!$B$2:$B$5000,$A179,Datos!$C$2:$C$5000,$B179,Datos!$D$2:$D$5000,C$2))</f>
        <v/>
      </c>
      <c r="D179" s="9">
        <f>IF(COUNTIFS(Datos!$A$2:$A$5000,D$1,Datos!$B$2:$B$5000,$A179,Datos!$C$2:$C$5000,$B179,Datos!$D$2:$D$5000,D$2)=0,"",SUMIFS(Datos!$E$2:$E$5000,Datos!$A$2:$A$5000,D$1,Datos!$B$2:$B$5000,$A179,Datos!$C$2:$C$5000,$B179,Datos!$D$2:$D$5000,D$2))</f>
        <v/>
      </c>
      <c r="E179" s="9">
        <f>IF(COUNTIFS(Datos!$A$2:$A$5000,E$1,Datos!$B$2:$B$5000,$A179,Datos!$C$2:$C$5000,$B179,Datos!$D$2:$D$5000,E$2)=0,"",SUMIFS(Datos!$E$2:$E$5000,Datos!$A$2:$A$5000,E$1,Datos!$B$2:$B$5000,$A179,Datos!$C$2:$C$5000,$B179,Datos!$D$2:$D$5000,E$2))</f>
        <v/>
      </c>
      <c r="F179" s="9">
        <f>IF(COUNTIFS(Datos!$A$2:$A$5000,F$1,Datos!$B$2:$B$5000,$A179,Datos!$C$2:$C$5000,$B179,Datos!$D$2:$D$5000,F$2)=0,"",SUMIFS(Datos!$E$2:$E$5000,Datos!$A$2:$A$5000,F$1,Datos!$B$2:$B$5000,$A179,Datos!$C$2:$C$5000,$B179,Datos!$D$2:$D$5000,F$2))</f>
        <v/>
      </c>
      <c r="G179" s="9">
        <f>IF(COUNTIFS(Datos!$A$2:$A$5000,G$1,Datos!$B$2:$B$5000,$A179,Datos!$C$2:$C$5000,$B179,Datos!$D$2:$D$5000,G$2)=0,"",SUMIFS(Datos!$E$2:$E$5000,Datos!$A$2:$A$5000,G$1,Datos!$B$2:$B$5000,$A179,Datos!$C$2:$C$5000,$B179,Datos!$D$2:$D$5000,G$2))</f>
        <v/>
      </c>
      <c r="H179" s="9">
        <f>IF(COUNTIFS(Datos!$A$2:$A$5000,H$1,Datos!$B$2:$B$5000,$A179,Datos!$C$2:$C$5000,$B179,Datos!$D$2:$D$5000,H$2)=0,"",SUMIFS(Datos!$E$2:$E$5000,Datos!$A$2:$A$5000,H$1,Datos!$B$2:$B$5000,$A179,Datos!$C$2:$C$5000,$B179,Datos!$D$2:$D$5000,H$2))</f>
        <v/>
      </c>
      <c r="I179" s="9">
        <f>IF(COUNTIFS(Datos!$A$2:$A$5000,I$1,Datos!$B$2:$B$5000,$A179,Datos!$C$2:$C$5000,$B179,Datos!$D$2:$D$5000,I$2)=0,"",SUMIFS(Datos!$E$2:$E$5000,Datos!$A$2:$A$5000,I$1,Datos!$B$2:$B$5000,$A179,Datos!$C$2:$C$5000,$B179,Datos!$D$2:$D$5000,I$2))</f>
        <v/>
      </c>
      <c r="J179" s="9">
        <f>IF(COUNTIFS(Datos!$A$2:$A$5000,J$1,Datos!$B$2:$B$5000,$A179,Datos!$C$2:$C$5000,$B179,Datos!$D$2:$D$5000,J$2)=0,"",SUMIFS(Datos!$E$2:$E$5000,Datos!$A$2:$A$5000,J$1,Datos!$B$2:$B$5000,$A179,Datos!$C$2:$C$5000,$B179,Datos!$D$2:$D$5000,J$2))</f>
        <v/>
      </c>
    </row>
    <row r="180">
      <c r="A180" s="8" t="inlineStr">
        <is>
          <t>El Salvador</t>
        </is>
      </c>
      <c r="B180" s="8" t="n">
        <v>2024</v>
      </c>
      <c r="C180" s="9">
        <f>IF(COUNTIFS(Datos!$A$2:$A$5000,C$1,Datos!$B$2:$B$5000,$A180,Datos!$C$2:$C$5000,$B180,Datos!$D$2:$D$5000,C$2)=0,"",SUMIFS(Datos!$E$2:$E$5000,Datos!$A$2:$A$5000,C$1,Datos!$B$2:$B$5000,$A180,Datos!$C$2:$C$5000,$B180,Datos!$D$2:$D$5000,C$2))</f>
        <v/>
      </c>
      <c r="D180" s="9">
        <f>IF(COUNTIFS(Datos!$A$2:$A$5000,D$1,Datos!$B$2:$B$5000,$A180,Datos!$C$2:$C$5000,$B180,Datos!$D$2:$D$5000,D$2)=0,"",SUMIFS(Datos!$E$2:$E$5000,Datos!$A$2:$A$5000,D$1,Datos!$B$2:$B$5000,$A180,Datos!$C$2:$C$5000,$B180,Datos!$D$2:$D$5000,D$2))</f>
        <v/>
      </c>
      <c r="E180" s="9">
        <f>IF(COUNTIFS(Datos!$A$2:$A$5000,E$1,Datos!$B$2:$B$5000,$A180,Datos!$C$2:$C$5000,$B180,Datos!$D$2:$D$5000,E$2)=0,"",SUMIFS(Datos!$E$2:$E$5000,Datos!$A$2:$A$5000,E$1,Datos!$B$2:$B$5000,$A180,Datos!$C$2:$C$5000,$B180,Datos!$D$2:$D$5000,E$2))</f>
        <v/>
      </c>
      <c r="F180" s="9">
        <f>IF(COUNTIFS(Datos!$A$2:$A$5000,F$1,Datos!$B$2:$B$5000,$A180,Datos!$C$2:$C$5000,$B180,Datos!$D$2:$D$5000,F$2)=0,"",SUMIFS(Datos!$E$2:$E$5000,Datos!$A$2:$A$5000,F$1,Datos!$B$2:$B$5000,$A180,Datos!$C$2:$C$5000,$B180,Datos!$D$2:$D$5000,F$2))</f>
        <v/>
      </c>
      <c r="G180" s="9">
        <f>IF(COUNTIFS(Datos!$A$2:$A$5000,G$1,Datos!$B$2:$B$5000,$A180,Datos!$C$2:$C$5000,$B180,Datos!$D$2:$D$5000,G$2)=0,"",SUMIFS(Datos!$E$2:$E$5000,Datos!$A$2:$A$5000,G$1,Datos!$B$2:$B$5000,$A180,Datos!$C$2:$C$5000,$B180,Datos!$D$2:$D$5000,G$2))</f>
        <v/>
      </c>
      <c r="H180" s="9">
        <f>IF(COUNTIFS(Datos!$A$2:$A$5000,H$1,Datos!$B$2:$B$5000,$A180,Datos!$C$2:$C$5000,$B180,Datos!$D$2:$D$5000,H$2)=0,"",SUMIFS(Datos!$E$2:$E$5000,Datos!$A$2:$A$5000,H$1,Datos!$B$2:$B$5000,$A180,Datos!$C$2:$C$5000,$B180,Datos!$D$2:$D$5000,H$2))</f>
        <v/>
      </c>
      <c r="I180" s="9">
        <f>IF(COUNTIFS(Datos!$A$2:$A$5000,I$1,Datos!$B$2:$B$5000,$A180,Datos!$C$2:$C$5000,$B180,Datos!$D$2:$D$5000,I$2)=0,"",SUMIFS(Datos!$E$2:$E$5000,Datos!$A$2:$A$5000,I$1,Datos!$B$2:$B$5000,$A180,Datos!$C$2:$C$5000,$B180,Datos!$D$2:$D$5000,I$2))</f>
        <v/>
      </c>
      <c r="J180" s="9">
        <f>IF(COUNTIFS(Datos!$A$2:$A$5000,J$1,Datos!$B$2:$B$5000,$A180,Datos!$C$2:$C$5000,$B180,Datos!$D$2:$D$5000,J$2)=0,"",SUMIFS(Datos!$E$2:$E$5000,Datos!$A$2:$A$5000,J$1,Datos!$B$2:$B$5000,$A180,Datos!$C$2:$C$5000,$B180,Datos!$D$2:$D$5000,J$2))</f>
        <v/>
      </c>
    </row>
    <row r="181">
      <c r="A181" s="8" t="inlineStr">
        <is>
          <t>Guatemala</t>
        </is>
      </c>
      <c r="B181" s="8" t="n">
        <v>1996</v>
      </c>
      <c r="C181" s="9">
        <f>IF(COUNTIFS(Datos!$A$2:$A$5000,C$1,Datos!$B$2:$B$5000,$A181,Datos!$C$2:$C$5000,$B181,Datos!$D$2:$D$5000,C$2)=0,"",SUMIFS(Datos!$E$2:$E$5000,Datos!$A$2:$A$5000,C$1,Datos!$B$2:$B$5000,$A181,Datos!$C$2:$C$5000,$B181,Datos!$D$2:$D$5000,C$2))</f>
        <v/>
      </c>
      <c r="D181" s="9">
        <f>IF(COUNTIFS(Datos!$A$2:$A$5000,D$1,Datos!$B$2:$B$5000,$A181,Datos!$C$2:$C$5000,$B181,Datos!$D$2:$D$5000,D$2)=0,"",SUMIFS(Datos!$E$2:$E$5000,Datos!$A$2:$A$5000,D$1,Datos!$B$2:$B$5000,$A181,Datos!$C$2:$C$5000,$B181,Datos!$D$2:$D$5000,D$2))</f>
        <v/>
      </c>
      <c r="E181" s="9">
        <f>IF(COUNTIFS(Datos!$A$2:$A$5000,E$1,Datos!$B$2:$B$5000,$A181,Datos!$C$2:$C$5000,$B181,Datos!$D$2:$D$5000,E$2)=0,"",SUMIFS(Datos!$E$2:$E$5000,Datos!$A$2:$A$5000,E$1,Datos!$B$2:$B$5000,$A181,Datos!$C$2:$C$5000,$B181,Datos!$D$2:$D$5000,E$2))</f>
        <v/>
      </c>
      <c r="F181" s="9">
        <f>IF(COUNTIFS(Datos!$A$2:$A$5000,F$1,Datos!$B$2:$B$5000,$A181,Datos!$C$2:$C$5000,$B181,Datos!$D$2:$D$5000,F$2)=0,"",SUMIFS(Datos!$E$2:$E$5000,Datos!$A$2:$A$5000,F$1,Datos!$B$2:$B$5000,$A181,Datos!$C$2:$C$5000,$B181,Datos!$D$2:$D$5000,F$2))</f>
        <v/>
      </c>
      <c r="G181" s="9">
        <f>IF(COUNTIFS(Datos!$A$2:$A$5000,G$1,Datos!$B$2:$B$5000,$A181,Datos!$C$2:$C$5000,$B181,Datos!$D$2:$D$5000,G$2)=0,"",SUMIFS(Datos!$E$2:$E$5000,Datos!$A$2:$A$5000,G$1,Datos!$B$2:$B$5000,$A181,Datos!$C$2:$C$5000,$B181,Datos!$D$2:$D$5000,G$2))</f>
        <v/>
      </c>
      <c r="H181" s="9">
        <f>IF(COUNTIFS(Datos!$A$2:$A$5000,H$1,Datos!$B$2:$B$5000,$A181,Datos!$C$2:$C$5000,$B181,Datos!$D$2:$D$5000,H$2)=0,"",SUMIFS(Datos!$E$2:$E$5000,Datos!$A$2:$A$5000,H$1,Datos!$B$2:$B$5000,$A181,Datos!$C$2:$C$5000,$B181,Datos!$D$2:$D$5000,H$2))</f>
        <v/>
      </c>
      <c r="I181" s="9">
        <f>IF(COUNTIFS(Datos!$A$2:$A$5000,I$1,Datos!$B$2:$B$5000,$A181,Datos!$C$2:$C$5000,$B181,Datos!$D$2:$D$5000,I$2)=0,"",SUMIFS(Datos!$E$2:$E$5000,Datos!$A$2:$A$5000,I$1,Datos!$B$2:$B$5000,$A181,Datos!$C$2:$C$5000,$B181,Datos!$D$2:$D$5000,I$2))</f>
        <v/>
      </c>
      <c r="J181" s="9">
        <f>IF(COUNTIFS(Datos!$A$2:$A$5000,J$1,Datos!$B$2:$B$5000,$A181,Datos!$C$2:$C$5000,$B181,Datos!$D$2:$D$5000,J$2)=0,"",SUMIFS(Datos!$E$2:$E$5000,Datos!$A$2:$A$5000,J$1,Datos!$B$2:$B$5000,$A181,Datos!$C$2:$C$5000,$B181,Datos!$D$2:$D$5000,J$2))</f>
        <v/>
      </c>
    </row>
    <row r="182">
      <c r="A182" s="8" t="inlineStr">
        <is>
          <t>Guatemala</t>
        </is>
      </c>
      <c r="B182" s="8" t="n">
        <v>1997</v>
      </c>
      <c r="C182" s="9">
        <f>IF(COUNTIFS(Datos!$A$2:$A$5000,C$1,Datos!$B$2:$B$5000,$A182,Datos!$C$2:$C$5000,$B182,Datos!$D$2:$D$5000,C$2)=0,"",SUMIFS(Datos!$E$2:$E$5000,Datos!$A$2:$A$5000,C$1,Datos!$B$2:$B$5000,$A182,Datos!$C$2:$C$5000,$B182,Datos!$D$2:$D$5000,C$2))</f>
        <v/>
      </c>
      <c r="D182" s="9">
        <f>IF(COUNTIFS(Datos!$A$2:$A$5000,D$1,Datos!$B$2:$B$5000,$A182,Datos!$C$2:$C$5000,$B182,Datos!$D$2:$D$5000,D$2)=0,"",SUMIFS(Datos!$E$2:$E$5000,Datos!$A$2:$A$5000,D$1,Datos!$B$2:$B$5000,$A182,Datos!$C$2:$C$5000,$B182,Datos!$D$2:$D$5000,D$2))</f>
        <v/>
      </c>
      <c r="E182" s="9">
        <f>IF(COUNTIFS(Datos!$A$2:$A$5000,E$1,Datos!$B$2:$B$5000,$A182,Datos!$C$2:$C$5000,$B182,Datos!$D$2:$D$5000,E$2)=0,"",SUMIFS(Datos!$E$2:$E$5000,Datos!$A$2:$A$5000,E$1,Datos!$B$2:$B$5000,$A182,Datos!$C$2:$C$5000,$B182,Datos!$D$2:$D$5000,E$2))</f>
        <v/>
      </c>
      <c r="F182" s="9">
        <f>IF(COUNTIFS(Datos!$A$2:$A$5000,F$1,Datos!$B$2:$B$5000,$A182,Datos!$C$2:$C$5000,$B182,Datos!$D$2:$D$5000,F$2)=0,"",SUMIFS(Datos!$E$2:$E$5000,Datos!$A$2:$A$5000,F$1,Datos!$B$2:$B$5000,$A182,Datos!$C$2:$C$5000,$B182,Datos!$D$2:$D$5000,F$2))</f>
        <v/>
      </c>
      <c r="G182" s="9">
        <f>IF(COUNTIFS(Datos!$A$2:$A$5000,G$1,Datos!$B$2:$B$5000,$A182,Datos!$C$2:$C$5000,$B182,Datos!$D$2:$D$5000,G$2)=0,"",SUMIFS(Datos!$E$2:$E$5000,Datos!$A$2:$A$5000,G$1,Datos!$B$2:$B$5000,$A182,Datos!$C$2:$C$5000,$B182,Datos!$D$2:$D$5000,G$2))</f>
        <v/>
      </c>
      <c r="H182" s="9">
        <f>IF(COUNTIFS(Datos!$A$2:$A$5000,H$1,Datos!$B$2:$B$5000,$A182,Datos!$C$2:$C$5000,$B182,Datos!$D$2:$D$5000,H$2)=0,"",SUMIFS(Datos!$E$2:$E$5000,Datos!$A$2:$A$5000,H$1,Datos!$B$2:$B$5000,$A182,Datos!$C$2:$C$5000,$B182,Datos!$D$2:$D$5000,H$2))</f>
        <v/>
      </c>
      <c r="I182" s="9">
        <f>IF(COUNTIFS(Datos!$A$2:$A$5000,I$1,Datos!$B$2:$B$5000,$A182,Datos!$C$2:$C$5000,$B182,Datos!$D$2:$D$5000,I$2)=0,"",SUMIFS(Datos!$E$2:$E$5000,Datos!$A$2:$A$5000,I$1,Datos!$B$2:$B$5000,$A182,Datos!$C$2:$C$5000,$B182,Datos!$D$2:$D$5000,I$2))</f>
        <v/>
      </c>
      <c r="J182" s="9">
        <f>IF(COUNTIFS(Datos!$A$2:$A$5000,J$1,Datos!$B$2:$B$5000,$A182,Datos!$C$2:$C$5000,$B182,Datos!$D$2:$D$5000,J$2)=0,"",SUMIFS(Datos!$E$2:$E$5000,Datos!$A$2:$A$5000,J$1,Datos!$B$2:$B$5000,$A182,Datos!$C$2:$C$5000,$B182,Datos!$D$2:$D$5000,J$2))</f>
        <v/>
      </c>
    </row>
    <row r="183">
      <c r="A183" s="8" t="inlineStr">
        <is>
          <t>Guatemala</t>
        </is>
      </c>
      <c r="B183" s="8" t="n">
        <v>1998</v>
      </c>
      <c r="C183" s="9">
        <f>IF(COUNTIFS(Datos!$A$2:$A$5000,C$1,Datos!$B$2:$B$5000,$A183,Datos!$C$2:$C$5000,$B183,Datos!$D$2:$D$5000,C$2)=0,"",SUMIFS(Datos!$E$2:$E$5000,Datos!$A$2:$A$5000,C$1,Datos!$B$2:$B$5000,$A183,Datos!$C$2:$C$5000,$B183,Datos!$D$2:$D$5000,C$2))</f>
        <v/>
      </c>
      <c r="D183" s="9">
        <f>IF(COUNTIFS(Datos!$A$2:$A$5000,D$1,Datos!$B$2:$B$5000,$A183,Datos!$C$2:$C$5000,$B183,Datos!$D$2:$D$5000,D$2)=0,"",SUMIFS(Datos!$E$2:$E$5000,Datos!$A$2:$A$5000,D$1,Datos!$B$2:$B$5000,$A183,Datos!$C$2:$C$5000,$B183,Datos!$D$2:$D$5000,D$2))</f>
        <v/>
      </c>
      <c r="E183" s="9">
        <f>IF(COUNTIFS(Datos!$A$2:$A$5000,E$1,Datos!$B$2:$B$5000,$A183,Datos!$C$2:$C$5000,$B183,Datos!$D$2:$D$5000,E$2)=0,"",SUMIFS(Datos!$E$2:$E$5000,Datos!$A$2:$A$5000,E$1,Datos!$B$2:$B$5000,$A183,Datos!$C$2:$C$5000,$B183,Datos!$D$2:$D$5000,E$2))</f>
        <v/>
      </c>
      <c r="F183" s="9">
        <f>IF(COUNTIFS(Datos!$A$2:$A$5000,F$1,Datos!$B$2:$B$5000,$A183,Datos!$C$2:$C$5000,$B183,Datos!$D$2:$D$5000,F$2)=0,"",SUMIFS(Datos!$E$2:$E$5000,Datos!$A$2:$A$5000,F$1,Datos!$B$2:$B$5000,$A183,Datos!$C$2:$C$5000,$B183,Datos!$D$2:$D$5000,F$2))</f>
        <v/>
      </c>
      <c r="G183" s="9">
        <f>IF(COUNTIFS(Datos!$A$2:$A$5000,G$1,Datos!$B$2:$B$5000,$A183,Datos!$C$2:$C$5000,$B183,Datos!$D$2:$D$5000,G$2)=0,"",SUMIFS(Datos!$E$2:$E$5000,Datos!$A$2:$A$5000,G$1,Datos!$B$2:$B$5000,$A183,Datos!$C$2:$C$5000,$B183,Datos!$D$2:$D$5000,G$2))</f>
        <v/>
      </c>
      <c r="H183" s="9">
        <f>IF(COUNTIFS(Datos!$A$2:$A$5000,H$1,Datos!$B$2:$B$5000,$A183,Datos!$C$2:$C$5000,$B183,Datos!$D$2:$D$5000,H$2)=0,"",SUMIFS(Datos!$E$2:$E$5000,Datos!$A$2:$A$5000,H$1,Datos!$B$2:$B$5000,$A183,Datos!$C$2:$C$5000,$B183,Datos!$D$2:$D$5000,H$2))</f>
        <v/>
      </c>
      <c r="I183" s="9">
        <f>IF(COUNTIFS(Datos!$A$2:$A$5000,I$1,Datos!$B$2:$B$5000,$A183,Datos!$C$2:$C$5000,$B183,Datos!$D$2:$D$5000,I$2)=0,"",SUMIFS(Datos!$E$2:$E$5000,Datos!$A$2:$A$5000,I$1,Datos!$B$2:$B$5000,$A183,Datos!$C$2:$C$5000,$B183,Datos!$D$2:$D$5000,I$2))</f>
        <v/>
      </c>
      <c r="J183" s="9">
        <f>IF(COUNTIFS(Datos!$A$2:$A$5000,J$1,Datos!$B$2:$B$5000,$A183,Datos!$C$2:$C$5000,$B183,Datos!$D$2:$D$5000,J$2)=0,"",SUMIFS(Datos!$E$2:$E$5000,Datos!$A$2:$A$5000,J$1,Datos!$B$2:$B$5000,$A183,Datos!$C$2:$C$5000,$B183,Datos!$D$2:$D$5000,J$2))</f>
        <v/>
      </c>
    </row>
    <row r="184">
      <c r="A184" s="8" t="inlineStr">
        <is>
          <t>Guatemala</t>
        </is>
      </c>
      <c r="B184" s="8" t="n">
        <v>2000</v>
      </c>
      <c r="C184" s="9">
        <f>IF(COUNTIFS(Datos!$A$2:$A$5000,C$1,Datos!$B$2:$B$5000,$A184,Datos!$C$2:$C$5000,$B184,Datos!$D$2:$D$5000,C$2)=0,"",SUMIFS(Datos!$E$2:$E$5000,Datos!$A$2:$A$5000,C$1,Datos!$B$2:$B$5000,$A184,Datos!$C$2:$C$5000,$B184,Datos!$D$2:$D$5000,C$2))</f>
        <v/>
      </c>
      <c r="D184" s="9">
        <f>IF(COUNTIFS(Datos!$A$2:$A$5000,D$1,Datos!$B$2:$B$5000,$A184,Datos!$C$2:$C$5000,$B184,Datos!$D$2:$D$5000,D$2)=0,"",SUMIFS(Datos!$E$2:$E$5000,Datos!$A$2:$A$5000,D$1,Datos!$B$2:$B$5000,$A184,Datos!$C$2:$C$5000,$B184,Datos!$D$2:$D$5000,D$2))</f>
        <v/>
      </c>
      <c r="E184" s="9">
        <f>IF(COUNTIFS(Datos!$A$2:$A$5000,E$1,Datos!$B$2:$B$5000,$A184,Datos!$C$2:$C$5000,$B184,Datos!$D$2:$D$5000,E$2)=0,"",SUMIFS(Datos!$E$2:$E$5000,Datos!$A$2:$A$5000,E$1,Datos!$B$2:$B$5000,$A184,Datos!$C$2:$C$5000,$B184,Datos!$D$2:$D$5000,E$2))</f>
        <v/>
      </c>
      <c r="F184" s="9">
        <f>IF(COUNTIFS(Datos!$A$2:$A$5000,F$1,Datos!$B$2:$B$5000,$A184,Datos!$C$2:$C$5000,$B184,Datos!$D$2:$D$5000,F$2)=0,"",SUMIFS(Datos!$E$2:$E$5000,Datos!$A$2:$A$5000,F$1,Datos!$B$2:$B$5000,$A184,Datos!$C$2:$C$5000,$B184,Datos!$D$2:$D$5000,F$2))</f>
        <v/>
      </c>
      <c r="G184" s="9">
        <f>IF(COUNTIFS(Datos!$A$2:$A$5000,G$1,Datos!$B$2:$B$5000,$A184,Datos!$C$2:$C$5000,$B184,Datos!$D$2:$D$5000,G$2)=0,"",SUMIFS(Datos!$E$2:$E$5000,Datos!$A$2:$A$5000,G$1,Datos!$B$2:$B$5000,$A184,Datos!$C$2:$C$5000,$B184,Datos!$D$2:$D$5000,G$2))</f>
        <v/>
      </c>
      <c r="H184" s="9">
        <f>IF(COUNTIFS(Datos!$A$2:$A$5000,H$1,Datos!$B$2:$B$5000,$A184,Datos!$C$2:$C$5000,$B184,Datos!$D$2:$D$5000,H$2)=0,"",SUMIFS(Datos!$E$2:$E$5000,Datos!$A$2:$A$5000,H$1,Datos!$B$2:$B$5000,$A184,Datos!$C$2:$C$5000,$B184,Datos!$D$2:$D$5000,H$2))</f>
        <v/>
      </c>
      <c r="I184" s="9">
        <f>IF(COUNTIFS(Datos!$A$2:$A$5000,I$1,Datos!$B$2:$B$5000,$A184,Datos!$C$2:$C$5000,$B184,Datos!$D$2:$D$5000,I$2)=0,"",SUMIFS(Datos!$E$2:$E$5000,Datos!$A$2:$A$5000,I$1,Datos!$B$2:$B$5000,$A184,Datos!$C$2:$C$5000,$B184,Datos!$D$2:$D$5000,I$2))</f>
        <v/>
      </c>
      <c r="J184" s="9">
        <f>IF(COUNTIFS(Datos!$A$2:$A$5000,J$1,Datos!$B$2:$B$5000,$A184,Datos!$C$2:$C$5000,$B184,Datos!$D$2:$D$5000,J$2)=0,"",SUMIFS(Datos!$E$2:$E$5000,Datos!$A$2:$A$5000,J$1,Datos!$B$2:$B$5000,$A184,Datos!$C$2:$C$5000,$B184,Datos!$D$2:$D$5000,J$2))</f>
        <v/>
      </c>
    </row>
    <row r="185">
      <c r="A185" s="8" t="inlineStr">
        <is>
          <t>Guatemala</t>
        </is>
      </c>
      <c r="B185" s="8" t="n">
        <v>2001</v>
      </c>
      <c r="C185" s="9">
        <f>IF(COUNTIFS(Datos!$A$2:$A$5000,C$1,Datos!$B$2:$B$5000,$A185,Datos!$C$2:$C$5000,$B185,Datos!$D$2:$D$5000,C$2)=0,"",SUMIFS(Datos!$E$2:$E$5000,Datos!$A$2:$A$5000,C$1,Datos!$B$2:$B$5000,$A185,Datos!$C$2:$C$5000,$B185,Datos!$D$2:$D$5000,C$2))</f>
        <v/>
      </c>
      <c r="D185" s="9">
        <f>IF(COUNTIFS(Datos!$A$2:$A$5000,D$1,Datos!$B$2:$B$5000,$A185,Datos!$C$2:$C$5000,$B185,Datos!$D$2:$D$5000,D$2)=0,"",SUMIFS(Datos!$E$2:$E$5000,Datos!$A$2:$A$5000,D$1,Datos!$B$2:$B$5000,$A185,Datos!$C$2:$C$5000,$B185,Datos!$D$2:$D$5000,D$2))</f>
        <v/>
      </c>
      <c r="E185" s="9">
        <f>IF(COUNTIFS(Datos!$A$2:$A$5000,E$1,Datos!$B$2:$B$5000,$A185,Datos!$C$2:$C$5000,$B185,Datos!$D$2:$D$5000,E$2)=0,"",SUMIFS(Datos!$E$2:$E$5000,Datos!$A$2:$A$5000,E$1,Datos!$B$2:$B$5000,$A185,Datos!$C$2:$C$5000,$B185,Datos!$D$2:$D$5000,E$2))</f>
        <v/>
      </c>
      <c r="F185" s="9">
        <f>IF(COUNTIFS(Datos!$A$2:$A$5000,F$1,Datos!$B$2:$B$5000,$A185,Datos!$C$2:$C$5000,$B185,Datos!$D$2:$D$5000,F$2)=0,"",SUMIFS(Datos!$E$2:$E$5000,Datos!$A$2:$A$5000,F$1,Datos!$B$2:$B$5000,$A185,Datos!$C$2:$C$5000,$B185,Datos!$D$2:$D$5000,F$2))</f>
        <v/>
      </c>
      <c r="G185" s="9">
        <f>IF(COUNTIFS(Datos!$A$2:$A$5000,G$1,Datos!$B$2:$B$5000,$A185,Datos!$C$2:$C$5000,$B185,Datos!$D$2:$D$5000,G$2)=0,"",SUMIFS(Datos!$E$2:$E$5000,Datos!$A$2:$A$5000,G$1,Datos!$B$2:$B$5000,$A185,Datos!$C$2:$C$5000,$B185,Datos!$D$2:$D$5000,G$2))</f>
        <v/>
      </c>
      <c r="H185" s="9">
        <f>IF(COUNTIFS(Datos!$A$2:$A$5000,H$1,Datos!$B$2:$B$5000,$A185,Datos!$C$2:$C$5000,$B185,Datos!$D$2:$D$5000,H$2)=0,"",SUMIFS(Datos!$E$2:$E$5000,Datos!$A$2:$A$5000,H$1,Datos!$B$2:$B$5000,$A185,Datos!$C$2:$C$5000,$B185,Datos!$D$2:$D$5000,H$2))</f>
        <v/>
      </c>
      <c r="I185" s="9">
        <f>IF(COUNTIFS(Datos!$A$2:$A$5000,I$1,Datos!$B$2:$B$5000,$A185,Datos!$C$2:$C$5000,$B185,Datos!$D$2:$D$5000,I$2)=0,"",SUMIFS(Datos!$E$2:$E$5000,Datos!$A$2:$A$5000,I$1,Datos!$B$2:$B$5000,$A185,Datos!$C$2:$C$5000,$B185,Datos!$D$2:$D$5000,I$2))</f>
        <v/>
      </c>
      <c r="J185" s="9">
        <f>IF(COUNTIFS(Datos!$A$2:$A$5000,J$1,Datos!$B$2:$B$5000,$A185,Datos!$C$2:$C$5000,$B185,Datos!$D$2:$D$5000,J$2)=0,"",SUMIFS(Datos!$E$2:$E$5000,Datos!$A$2:$A$5000,J$1,Datos!$B$2:$B$5000,$A185,Datos!$C$2:$C$5000,$B185,Datos!$D$2:$D$5000,J$2))</f>
        <v/>
      </c>
    </row>
    <row r="186">
      <c r="A186" s="8" t="inlineStr">
        <is>
          <t>Guatemala</t>
        </is>
      </c>
      <c r="B186" s="8" t="n">
        <v>2002</v>
      </c>
      <c r="C186" s="9">
        <f>IF(COUNTIFS(Datos!$A$2:$A$5000,C$1,Datos!$B$2:$B$5000,$A186,Datos!$C$2:$C$5000,$B186,Datos!$D$2:$D$5000,C$2)=0,"",SUMIFS(Datos!$E$2:$E$5000,Datos!$A$2:$A$5000,C$1,Datos!$B$2:$B$5000,$A186,Datos!$C$2:$C$5000,$B186,Datos!$D$2:$D$5000,C$2))</f>
        <v/>
      </c>
      <c r="D186" s="9">
        <f>IF(COUNTIFS(Datos!$A$2:$A$5000,D$1,Datos!$B$2:$B$5000,$A186,Datos!$C$2:$C$5000,$B186,Datos!$D$2:$D$5000,D$2)=0,"",SUMIFS(Datos!$E$2:$E$5000,Datos!$A$2:$A$5000,D$1,Datos!$B$2:$B$5000,$A186,Datos!$C$2:$C$5000,$B186,Datos!$D$2:$D$5000,D$2))</f>
        <v/>
      </c>
      <c r="E186" s="9">
        <f>IF(COUNTIFS(Datos!$A$2:$A$5000,E$1,Datos!$B$2:$B$5000,$A186,Datos!$C$2:$C$5000,$B186,Datos!$D$2:$D$5000,E$2)=0,"",SUMIFS(Datos!$E$2:$E$5000,Datos!$A$2:$A$5000,E$1,Datos!$B$2:$B$5000,$A186,Datos!$C$2:$C$5000,$B186,Datos!$D$2:$D$5000,E$2))</f>
        <v/>
      </c>
      <c r="F186" s="9">
        <f>IF(COUNTIFS(Datos!$A$2:$A$5000,F$1,Datos!$B$2:$B$5000,$A186,Datos!$C$2:$C$5000,$B186,Datos!$D$2:$D$5000,F$2)=0,"",SUMIFS(Datos!$E$2:$E$5000,Datos!$A$2:$A$5000,F$1,Datos!$B$2:$B$5000,$A186,Datos!$C$2:$C$5000,$B186,Datos!$D$2:$D$5000,F$2))</f>
        <v/>
      </c>
      <c r="G186" s="9">
        <f>IF(COUNTIFS(Datos!$A$2:$A$5000,G$1,Datos!$B$2:$B$5000,$A186,Datos!$C$2:$C$5000,$B186,Datos!$D$2:$D$5000,G$2)=0,"",SUMIFS(Datos!$E$2:$E$5000,Datos!$A$2:$A$5000,G$1,Datos!$B$2:$B$5000,$A186,Datos!$C$2:$C$5000,$B186,Datos!$D$2:$D$5000,G$2))</f>
        <v/>
      </c>
      <c r="H186" s="9">
        <f>IF(COUNTIFS(Datos!$A$2:$A$5000,H$1,Datos!$B$2:$B$5000,$A186,Datos!$C$2:$C$5000,$B186,Datos!$D$2:$D$5000,H$2)=0,"",SUMIFS(Datos!$E$2:$E$5000,Datos!$A$2:$A$5000,H$1,Datos!$B$2:$B$5000,$A186,Datos!$C$2:$C$5000,$B186,Datos!$D$2:$D$5000,H$2))</f>
        <v/>
      </c>
      <c r="I186" s="9">
        <f>IF(COUNTIFS(Datos!$A$2:$A$5000,I$1,Datos!$B$2:$B$5000,$A186,Datos!$C$2:$C$5000,$B186,Datos!$D$2:$D$5000,I$2)=0,"",SUMIFS(Datos!$E$2:$E$5000,Datos!$A$2:$A$5000,I$1,Datos!$B$2:$B$5000,$A186,Datos!$C$2:$C$5000,$B186,Datos!$D$2:$D$5000,I$2))</f>
        <v/>
      </c>
      <c r="J186" s="9">
        <f>IF(COUNTIFS(Datos!$A$2:$A$5000,J$1,Datos!$B$2:$B$5000,$A186,Datos!$C$2:$C$5000,$B186,Datos!$D$2:$D$5000,J$2)=0,"",SUMIFS(Datos!$E$2:$E$5000,Datos!$A$2:$A$5000,J$1,Datos!$B$2:$B$5000,$A186,Datos!$C$2:$C$5000,$B186,Datos!$D$2:$D$5000,J$2))</f>
        <v/>
      </c>
    </row>
    <row r="187">
      <c r="A187" s="8" t="inlineStr">
        <is>
          <t>Guatemala</t>
        </is>
      </c>
      <c r="B187" s="8" t="n">
        <v>2003</v>
      </c>
      <c r="C187" s="9">
        <f>IF(COUNTIFS(Datos!$A$2:$A$5000,C$1,Datos!$B$2:$B$5000,$A187,Datos!$C$2:$C$5000,$B187,Datos!$D$2:$D$5000,C$2)=0,"",SUMIFS(Datos!$E$2:$E$5000,Datos!$A$2:$A$5000,C$1,Datos!$B$2:$B$5000,$A187,Datos!$C$2:$C$5000,$B187,Datos!$D$2:$D$5000,C$2))</f>
        <v/>
      </c>
      <c r="D187" s="9">
        <f>IF(COUNTIFS(Datos!$A$2:$A$5000,D$1,Datos!$B$2:$B$5000,$A187,Datos!$C$2:$C$5000,$B187,Datos!$D$2:$D$5000,D$2)=0,"",SUMIFS(Datos!$E$2:$E$5000,Datos!$A$2:$A$5000,D$1,Datos!$B$2:$B$5000,$A187,Datos!$C$2:$C$5000,$B187,Datos!$D$2:$D$5000,D$2))</f>
        <v/>
      </c>
      <c r="E187" s="9">
        <f>IF(COUNTIFS(Datos!$A$2:$A$5000,E$1,Datos!$B$2:$B$5000,$A187,Datos!$C$2:$C$5000,$B187,Datos!$D$2:$D$5000,E$2)=0,"",SUMIFS(Datos!$E$2:$E$5000,Datos!$A$2:$A$5000,E$1,Datos!$B$2:$B$5000,$A187,Datos!$C$2:$C$5000,$B187,Datos!$D$2:$D$5000,E$2))</f>
        <v/>
      </c>
      <c r="F187" s="9">
        <f>IF(COUNTIFS(Datos!$A$2:$A$5000,F$1,Datos!$B$2:$B$5000,$A187,Datos!$C$2:$C$5000,$B187,Datos!$D$2:$D$5000,F$2)=0,"",SUMIFS(Datos!$E$2:$E$5000,Datos!$A$2:$A$5000,F$1,Datos!$B$2:$B$5000,$A187,Datos!$C$2:$C$5000,$B187,Datos!$D$2:$D$5000,F$2))</f>
        <v/>
      </c>
      <c r="G187" s="9">
        <f>IF(COUNTIFS(Datos!$A$2:$A$5000,G$1,Datos!$B$2:$B$5000,$A187,Datos!$C$2:$C$5000,$B187,Datos!$D$2:$D$5000,G$2)=0,"",SUMIFS(Datos!$E$2:$E$5000,Datos!$A$2:$A$5000,G$1,Datos!$B$2:$B$5000,$A187,Datos!$C$2:$C$5000,$B187,Datos!$D$2:$D$5000,G$2))</f>
        <v/>
      </c>
      <c r="H187" s="9">
        <f>IF(COUNTIFS(Datos!$A$2:$A$5000,H$1,Datos!$B$2:$B$5000,$A187,Datos!$C$2:$C$5000,$B187,Datos!$D$2:$D$5000,H$2)=0,"",SUMIFS(Datos!$E$2:$E$5000,Datos!$A$2:$A$5000,H$1,Datos!$B$2:$B$5000,$A187,Datos!$C$2:$C$5000,$B187,Datos!$D$2:$D$5000,H$2))</f>
        <v/>
      </c>
      <c r="I187" s="9">
        <f>IF(COUNTIFS(Datos!$A$2:$A$5000,I$1,Datos!$B$2:$B$5000,$A187,Datos!$C$2:$C$5000,$B187,Datos!$D$2:$D$5000,I$2)=0,"",SUMIFS(Datos!$E$2:$E$5000,Datos!$A$2:$A$5000,I$1,Datos!$B$2:$B$5000,$A187,Datos!$C$2:$C$5000,$B187,Datos!$D$2:$D$5000,I$2))</f>
        <v/>
      </c>
      <c r="J187" s="9">
        <f>IF(COUNTIFS(Datos!$A$2:$A$5000,J$1,Datos!$B$2:$B$5000,$A187,Datos!$C$2:$C$5000,$B187,Datos!$D$2:$D$5000,J$2)=0,"",SUMIFS(Datos!$E$2:$E$5000,Datos!$A$2:$A$5000,J$1,Datos!$B$2:$B$5000,$A187,Datos!$C$2:$C$5000,$B187,Datos!$D$2:$D$5000,J$2))</f>
        <v/>
      </c>
    </row>
    <row r="188">
      <c r="A188" s="8" t="inlineStr">
        <is>
          <t>Guatemala</t>
        </is>
      </c>
      <c r="B188" s="8" t="n">
        <v>2004</v>
      </c>
      <c r="C188" s="9">
        <f>IF(COUNTIFS(Datos!$A$2:$A$5000,C$1,Datos!$B$2:$B$5000,$A188,Datos!$C$2:$C$5000,$B188,Datos!$D$2:$D$5000,C$2)=0,"",SUMIFS(Datos!$E$2:$E$5000,Datos!$A$2:$A$5000,C$1,Datos!$B$2:$B$5000,$A188,Datos!$C$2:$C$5000,$B188,Datos!$D$2:$D$5000,C$2))</f>
        <v/>
      </c>
      <c r="D188" s="9">
        <f>IF(COUNTIFS(Datos!$A$2:$A$5000,D$1,Datos!$B$2:$B$5000,$A188,Datos!$C$2:$C$5000,$B188,Datos!$D$2:$D$5000,D$2)=0,"",SUMIFS(Datos!$E$2:$E$5000,Datos!$A$2:$A$5000,D$1,Datos!$B$2:$B$5000,$A188,Datos!$C$2:$C$5000,$B188,Datos!$D$2:$D$5000,D$2))</f>
        <v/>
      </c>
      <c r="E188" s="9">
        <f>IF(COUNTIFS(Datos!$A$2:$A$5000,E$1,Datos!$B$2:$B$5000,$A188,Datos!$C$2:$C$5000,$B188,Datos!$D$2:$D$5000,E$2)=0,"",SUMIFS(Datos!$E$2:$E$5000,Datos!$A$2:$A$5000,E$1,Datos!$B$2:$B$5000,$A188,Datos!$C$2:$C$5000,$B188,Datos!$D$2:$D$5000,E$2))</f>
        <v/>
      </c>
      <c r="F188" s="9">
        <f>IF(COUNTIFS(Datos!$A$2:$A$5000,F$1,Datos!$B$2:$B$5000,$A188,Datos!$C$2:$C$5000,$B188,Datos!$D$2:$D$5000,F$2)=0,"",SUMIFS(Datos!$E$2:$E$5000,Datos!$A$2:$A$5000,F$1,Datos!$B$2:$B$5000,$A188,Datos!$C$2:$C$5000,$B188,Datos!$D$2:$D$5000,F$2))</f>
        <v/>
      </c>
      <c r="G188" s="9">
        <f>IF(COUNTIFS(Datos!$A$2:$A$5000,G$1,Datos!$B$2:$B$5000,$A188,Datos!$C$2:$C$5000,$B188,Datos!$D$2:$D$5000,G$2)=0,"",SUMIFS(Datos!$E$2:$E$5000,Datos!$A$2:$A$5000,G$1,Datos!$B$2:$B$5000,$A188,Datos!$C$2:$C$5000,$B188,Datos!$D$2:$D$5000,G$2))</f>
        <v/>
      </c>
      <c r="H188" s="9">
        <f>IF(COUNTIFS(Datos!$A$2:$A$5000,H$1,Datos!$B$2:$B$5000,$A188,Datos!$C$2:$C$5000,$B188,Datos!$D$2:$D$5000,H$2)=0,"",SUMIFS(Datos!$E$2:$E$5000,Datos!$A$2:$A$5000,H$1,Datos!$B$2:$B$5000,$A188,Datos!$C$2:$C$5000,$B188,Datos!$D$2:$D$5000,H$2))</f>
        <v/>
      </c>
      <c r="I188" s="9">
        <f>IF(COUNTIFS(Datos!$A$2:$A$5000,I$1,Datos!$B$2:$B$5000,$A188,Datos!$C$2:$C$5000,$B188,Datos!$D$2:$D$5000,I$2)=0,"",SUMIFS(Datos!$E$2:$E$5000,Datos!$A$2:$A$5000,I$1,Datos!$B$2:$B$5000,$A188,Datos!$C$2:$C$5000,$B188,Datos!$D$2:$D$5000,I$2))</f>
        <v/>
      </c>
      <c r="J188" s="9">
        <f>IF(COUNTIFS(Datos!$A$2:$A$5000,J$1,Datos!$B$2:$B$5000,$A188,Datos!$C$2:$C$5000,$B188,Datos!$D$2:$D$5000,J$2)=0,"",SUMIFS(Datos!$E$2:$E$5000,Datos!$A$2:$A$5000,J$1,Datos!$B$2:$B$5000,$A188,Datos!$C$2:$C$5000,$B188,Datos!$D$2:$D$5000,J$2))</f>
        <v/>
      </c>
    </row>
    <row r="189">
      <c r="A189" s="8" t="inlineStr">
        <is>
          <t>Guatemala</t>
        </is>
      </c>
      <c r="B189" s="8" t="n">
        <v>2005</v>
      </c>
      <c r="C189" s="9">
        <f>IF(COUNTIFS(Datos!$A$2:$A$5000,C$1,Datos!$B$2:$B$5000,$A189,Datos!$C$2:$C$5000,$B189,Datos!$D$2:$D$5000,C$2)=0,"",SUMIFS(Datos!$E$2:$E$5000,Datos!$A$2:$A$5000,C$1,Datos!$B$2:$B$5000,$A189,Datos!$C$2:$C$5000,$B189,Datos!$D$2:$D$5000,C$2))</f>
        <v/>
      </c>
      <c r="D189" s="9">
        <f>IF(COUNTIFS(Datos!$A$2:$A$5000,D$1,Datos!$B$2:$B$5000,$A189,Datos!$C$2:$C$5000,$B189,Datos!$D$2:$D$5000,D$2)=0,"",SUMIFS(Datos!$E$2:$E$5000,Datos!$A$2:$A$5000,D$1,Datos!$B$2:$B$5000,$A189,Datos!$C$2:$C$5000,$B189,Datos!$D$2:$D$5000,D$2))</f>
        <v/>
      </c>
      <c r="E189" s="9">
        <f>IF(COUNTIFS(Datos!$A$2:$A$5000,E$1,Datos!$B$2:$B$5000,$A189,Datos!$C$2:$C$5000,$B189,Datos!$D$2:$D$5000,E$2)=0,"",SUMIFS(Datos!$E$2:$E$5000,Datos!$A$2:$A$5000,E$1,Datos!$B$2:$B$5000,$A189,Datos!$C$2:$C$5000,$B189,Datos!$D$2:$D$5000,E$2))</f>
        <v/>
      </c>
      <c r="F189" s="9">
        <f>IF(COUNTIFS(Datos!$A$2:$A$5000,F$1,Datos!$B$2:$B$5000,$A189,Datos!$C$2:$C$5000,$B189,Datos!$D$2:$D$5000,F$2)=0,"",SUMIFS(Datos!$E$2:$E$5000,Datos!$A$2:$A$5000,F$1,Datos!$B$2:$B$5000,$A189,Datos!$C$2:$C$5000,$B189,Datos!$D$2:$D$5000,F$2))</f>
        <v/>
      </c>
      <c r="G189" s="9">
        <f>IF(COUNTIFS(Datos!$A$2:$A$5000,G$1,Datos!$B$2:$B$5000,$A189,Datos!$C$2:$C$5000,$B189,Datos!$D$2:$D$5000,G$2)=0,"",SUMIFS(Datos!$E$2:$E$5000,Datos!$A$2:$A$5000,G$1,Datos!$B$2:$B$5000,$A189,Datos!$C$2:$C$5000,$B189,Datos!$D$2:$D$5000,G$2))</f>
        <v/>
      </c>
      <c r="H189" s="9">
        <f>IF(COUNTIFS(Datos!$A$2:$A$5000,H$1,Datos!$B$2:$B$5000,$A189,Datos!$C$2:$C$5000,$B189,Datos!$D$2:$D$5000,H$2)=0,"",SUMIFS(Datos!$E$2:$E$5000,Datos!$A$2:$A$5000,H$1,Datos!$B$2:$B$5000,$A189,Datos!$C$2:$C$5000,$B189,Datos!$D$2:$D$5000,H$2))</f>
        <v/>
      </c>
      <c r="I189" s="9">
        <f>IF(COUNTIFS(Datos!$A$2:$A$5000,I$1,Datos!$B$2:$B$5000,$A189,Datos!$C$2:$C$5000,$B189,Datos!$D$2:$D$5000,I$2)=0,"",SUMIFS(Datos!$E$2:$E$5000,Datos!$A$2:$A$5000,I$1,Datos!$B$2:$B$5000,$A189,Datos!$C$2:$C$5000,$B189,Datos!$D$2:$D$5000,I$2))</f>
        <v/>
      </c>
      <c r="J189" s="9">
        <f>IF(COUNTIFS(Datos!$A$2:$A$5000,J$1,Datos!$B$2:$B$5000,$A189,Datos!$C$2:$C$5000,$B189,Datos!$D$2:$D$5000,J$2)=0,"",SUMIFS(Datos!$E$2:$E$5000,Datos!$A$2:$A$5000,J$1,Datos!$B$2:$B$5000,$A189,Datos!$C$2:$C$5000,$B189,Datos!$D$2:$D$5000,J$2))</f>
        <v/>
      </c>
    </row>
    <row r="190">
      <c r="A190" s="8" t="inlineStr">
        <is>
          <t>Guatemala</t>
        </is>
      </c>
      <c r="B190" s="8" t="n">
        <v>2006</v>
      </c>
      <c r="C190" s="9">
        <f>IF(COUNTIFS(Datos!$A$2:$A$5000,C$1,Datos!$B$2:$B$5000,$A190,Datos!$C$2:$C$5000,$B190,Datos!$D$2:$D$5000,C$2)=0,"",SUMIFS(Datos!$E$2:$E$5000,Datos!$A$2:$A$5000,C$1,Datos!$B$2:$B$5000,$A190,Datos!$C$2:$C$5000,$B190,Datos!$D$2:$D$5000,C$2))</f>
        <v/>
      </c>
      <c r="D190" s="9">
        <f>IF(COUNTIFS(Datos!$A$2:$A$5000,D$1,Datos!$B$2:$B$5000,$A190,Datos!$C$2:$C$5000,$B190,Datos!$D$2:$D$5000,D$2)=0,"",SUMIFS(Datos!$E$2:$E$5000,Datos!$A$2:$A$5000,D$1,Datos!$B$2:$B$5000,$A190,Datos!$C$2:$C$5000,$B190,Datos!$D$2:$D$5000,D$2))</f>
        <v/>
      </c>
      <c r="E190" s="9">
        <f>IF(COUNTIFS(Datos!$A$2:$A$5000,E$1,Datos!$B$2:$B$5000,$A190,Datos!$C$2:$C$5000,$B190,Datos!$D$2:$D$5000,E$2)=0,"",SUMIFS(Datos!$E$2:$E$5000,Datos!$A$2:$A$5000,E$1,Datos!$B$2:$B$5000,$A190,Datos!$C$2:$C$5000,$B190,Datos!$D$2:$D$5000,E$2))</f>
        <v/>
      </c>
      <c r="F190" s="9">
        <f>IF(COUNTIFS(Datos!$A$2:$A$5000,F$1,Datos!$B$2:$B$5000,$A190,Datos!$C$2:$C$5000,$B190,Datos!$D$2:$D$5000,F$2)=0,"",SUMIFS(Datos!$E$2:$E$5000,Datos!$A$2:$A$5000,F$1,Datos!$B$2:$B$5000,$A190,Datos!$C$2:$C$5000,$B190,Datos!$D$2:$D$5000,F$2))</f>
        <v/>
      </c>
      <c r="G190" s="9">
        <f>IF(COUNTIFS(Datos!$A$2:$A$5000,G$1,Datos!$B$2:$B$5000,$A190,Datos!$C$2:$C$5000,$B190,Datos!$D$2:$D$5000,G$2)=0,"",SUMIFS(Datos!$E$2:$E$5000,Datos!$A$2:$A$5000,G$1,Datos!$B$2:$B$5000,$A190,Datos!$C$2:$C$5000,$B190,Datos!$D$2:$D$5000,G$2))</f>
        <v/>
      </c>
      <c r="H190" s="9">
        <f>IF(COUNTIFS(Datos!$A$2:$A$5000,H$1,Datos!$B$2:$B$5000,$A190,Datos!$C$2:$C$5000,$B190,Datos!$D$2:$D$5000,H$2)=0,"",SUMIFS(Datos!$E$2:$E$5000,Datos!$A$2:$A$5000,H$1,Datos!$B$2:$B$5000,$A190,Datos!$C$2:$C$5000,$B190,Datos!$D$2:$D$5000,H$2))</f>
        <v/>
      </c>
      <c r="I190" s="9">
        <f>IF(COUNTIFS(Datos!$A$2:$A$5000,I$1,Datos!$B$2:$B$5000,$A190,Datos!$C$2:$C$5000,$B190,Datos!$D$2:$D$5000,I$2)=0,"",SUMIFS(Datos!$E$2:$E$5000,Datos!$A$2:$A$5000,I$1,Datos!$B$2:$B$5000,$A190,Datos!$C$2:$C$5000,$B190,Datos!$D$2:$D$5000,I$2))</f>
        <v/>
      </c>
      <c r="J190" s="9">
        <f>IF(COUNTIFS(Datos!$A$2:$A$5000,J$1,Datos!$B$2:$B$5000,$A190,Datos!$C$2:$C$5000,$B190,Datos!$D$2:$D$5000,J$2)=0,"",SUMIFS(Datos!$E$2:$E$5000,Datos!$A$2:$A$5000,J$1,Datos!$B$2:$B$5000,$A190,Datos!$C$2:$C$5000,$B190,Datos!$D$2:$D$5000,J$2))</f>
        <v/>
      </c>
    </row>
    <row r="191">
      <c r="A191" s="8" t="inlineStr">
        <is>
          <t>Guatemala</t>
        </is>
      </c>
      <c r="B191" s="8" t="n">
        <v>2007</v>
      </c>
      <c r="C191" s="9">
        <f>IF(COUNTIFS(Datos!$A$2:$A$5000,C$1,Datos!$B$2:$B$5000,$A191,Datos!$C$2:$C$5000,$B191,Datos!$D$2:$D$5000,C$2)=0,"",SUMIFS(Datos!$E$2:$E$5000,Datos!$A$2:$A$5000,C$1,Datos!$B$2:$B$5000,$A191,Datos!$C$2:$C$5000,$B191,Datos!$D$2:$D$5000,C$2))</f>
        <v/>
      </c>
      <c r="D191" s="9">
        <f>IF(COUNTIFS(Datos!$A$2:$A$5000,D$1,Datos!$B$2:$B$5000,$A191,Datos!$C$2:$C$5000,$B191,Datos!$D$2:$D$5000,D$2)=0,"",SUMIFS(Datos!$E$2:$E$5000,Datos!$A$2:$A$5000,D$1,Datos!$B$2:$B$5000,$A191,Datos!$C$2:$C$5000,$B191,Datos!$D$2:$D$5000,D$2))</f>
        <v/>
      </c>
      <c r="E191" s="9">
        <f>IF(COUNTIFS(Datos!$A$2:$A$5000,E$1,Datos!$B$2:$B$5000,$A191,Datos!$C$2:$C$5000,$B191,Datos!$D$2:$D$5000,E$2)=0,"",SUMIFS(Datos!$E$2:$E$5000,Datos!$A$2:$A$5000,E$1,Datos!$B$2:$B$5000,$A191,Datos!$C$2:$C$5000,$B191,Datos!$D$2:$D$5000,E$2))</f>
        <v/>
      </c>
      <c r="F191" s="9">
        <f>IF(COUNTIFS(Datos!$A$2:$A$5000,F$1,Datos!$B$2:$B$5000,$A191,Datos!$C$2:$C$5000,$B191,Datos!$D$2:$D$5000,F$2)=0,"",SUMIFS(Datos!$E$2:$E$5000,Datos!$A$2:$A$5000,F$1,Datos!$B$2:$B$5000,$A191,Datos!$C$2:$C$5000,$B191,Datos!$D$2:$D$5000,F$2))</f>
        <v/>
      </c>
      <c r="G191" s="9">
        <f>IF(COUNTIFS(Datos!$A$2:$A$5000,G$1,Datos!$B$2:$B$5000,$A191,Datos!$C$2:$C$5000,$B191,Datos!$D$2:$D$5000,G$2)=0,"",SUMIFS(Datos!$E$2:$E$5000,Datos!$A$2:$A$5000,G$1,Datos!$B$2:$B$5000,$A191,Datos!$C$2:$C$5000,$B191,Datos!$D$2:$D$5000,G$2))</f>
        <v/>
      </c>
      <c r="H191" s="9">
        <f>IF(COUNTIFS(Datos!$A$2:$A$5000,H$1,Datos!$B$2:$B$5000,$A191,Datos!$C$2:$C$5000,$B191,Datos!$D$2:$D$5000,H$2)=0,"",SUMIFS(Datos!$E$2:$E$5000,Datos!$A$2:$A$5000,H$1,Datos!$B$2:$B$5000,$A191,Datos!$C$2:$C$5000,$B191,Datos!$D$2:$D$5000,H$2))</f>
        <v/>
      </c>
      <c r="I191" s="9">
        <f>IF(COUNTIFS(Datos!$A$2:$A$5000,I$1,Datos!$B$2:$B$5000,$A191,Datos!$C$2:$C$5000,$B191,Datos!$D$2:$D$5000,I$2)=0,"",SUMIFS(Datos!$E$2:$E$5000,Datos!$A$2:$A$5000,I$1,Datos!$B$2:$B$5000,$A191,Datos!$C$2:$C$5000,$B191,Datos!$D$2:$D$5000,I$2))</f>
        <v/>
      </c>
      <c r="J191" s="9">
        <f>IF(COUNTIFS(Datos!$A$2:$A$5000,J$1,Datos!$B$2:$B$5000,$A191,Datos!$C$2:$C$5000,$B191,Datos!$D$2:$D$5000,J$2)=0,"",SUMIFS(Datos!$E$2:$E$5000,Datos!$A$2:$A$5000,J$1,Datos!$B$2:$B$5000,$A191,Datos!$C$2:$C$5000,$B191,Datos!$D$2:$D$5000,J$2))</f>
        <v/>
      </c>
    </row>
    <row r="192">
      <c r="A192" s="8" t="inlineStr">
        <is>
          <t>Guatemala</t>
        </is>
      </c>
      <c r="B192" s="8" t="n">
        <v>2008</v>
      </c>
      <c r="C192" s="9">
        <f>IF(COUNTIFS(Datos!$A$2:$A$5000,C$1,Datos!$B$2:$B$5000,$A192,Datos!$C$2:$C$5000,$B192,Datos!$D$2:$D$5000,C$2)=0,"",SUMIFS(Datos!$E$2:$E$5000,Datos!$A$2:$A$5000,C$1,Datos!$B$2:$B$5000,$A192,Datos!$C$2:$C$5000,$B192,Datos!$D$2:$D$5000,C$2))</f>
        <v/>
      </c>
      <c r="D192" s="9">
        <f>IF(COUNTIFS(Datos!$A$2:$A$5000,D$1,Datos!$B$2:$B$5000,$A192,Datos!$C$2:$C$5000,$B192,Datos!$D$2:$D$5000,D$2)=0,"",SUMIFS(Datos!$E$2:$E$5000,Datos!$A$2:$A$5000,D$1,Datos!$B$2:$B$5000,$A192,Datos!$C$2:$C$5000,$B192,Datos!$D$2:$D$5000,D$2))</f>
        <v/>
      </c>
      <c r="E192" s="9">
        <f>IF(COUNTIFS(Datos!$A$2:$A$5000,E$1,Datos!$B$2:$B$5000,$A192,Datos!$C$2:$C$5000,$B192,Datos!$D$2:$D$5000,E$2)=0,"",SUMIFS(Datos!$E$2:$E$5000,Datos!$A$2:$A$5000,E$1,Datos!$B$2:$B$5000,$A192,Datos!$C$2:$C$5000,$B192,Datos!$D$2:$D$5000,E$2))</f>
        <v/>
      </c>
      <c r="F192" s="9">
        <f>IF(COUNTIFS(Datos!$A$2:$A$5000,F$1,Datos!$B$2:$B$5000,$A192,Datos!$C$2:$C$5000,$B192,Datos!$D$2:$D$5000,F$2)=0,"",SUMIFS(Datos!$E$2:$E$5000,Datos!$A$2:$A$5000,F$1,Datos!$B$2:$B$5000,$A192,Datos!$C$2:$C$5000,$B192,Datos!$D$2:$D$5000,F$2))</f>
        <v/>
      </c>
      <c r="G192" s="9">
        <f>IF(COUNTIFS(Datos!$A$2:$A$5000,G$1,Datos!$B$2:$B$5000,$A192,Datos!$C$2:$C$5000,$B192,Datos!$D$2:$D$5000,G$2)=0,"",SUMIFS(Datos!$E$2:$E$5000,Datos!$A$2:$A$5000,G$1,Datos!$B$2:$B$5000,$A192,Datos!$C$2:$C$5000,$B192,Datos!$D$2:$D$5000,G$2))</f>
        <v/>
      </c>
      <c r="H192" s="9">
        <f>IF(COUNTIFS(Datos!$A$2:$A$5000,H$1,Datos!$B$2:$B$5000,$A192,Datos!$C$2:$C$5000,$B192,Datos!$D$2:$D$5000,H$2)=0,"",SUMIFS(Datos!$E$2:$E$5000,Datos!$A$2:$A$5000,H$1,Datos!$B$2:$B$5000,$A192,Datos!$C$2:$C$5000,$B192,Datos!$D$2:$D$5000,H$2))</f>
        <v/>
      </c>
      <c r="I192" s="9">
        <f>IF(COUNTIFS(Datos!$A$2:$A$5000,I$1,Datos!$B$2:$B$5000,$A192,Datos!$C$2:$C$5000,$B192,Datos!$D$2:$D$5000,I$2)=0,"",SUMIFS(Datos!$E$2:$E$5000,Datos!$A$2:$A$5000,I$1,Datos!$B$2:$B$5000,$A192,Datos!$C$2:$C$5000,$B192,Datos!$D$2:$D$5000,I$2))</f>
        <v/>
      </c>
      <c r="J192" s="9">
        <f>IF(COUNTIFS(Datos!$A$2:$A$5000,J$1,Datos!$B$2:$B$5000,$A192,Datos!$C$2:$C$5000,$B192,Datos!$D$2:$D$5000,J$2)=0,"",SUMIFS(Datos!$E$2:$E$5000,Datos!$A$2:$A$5000,J$1,Datos!$B$2:$B$5000,$A192,Datos!$C$2:$C$5000,$B192,Datos!$D$2:$D$5000,J$2))</f>
        <v/>
      </c>
    </row>
    <row r="193">
      <c r="A193" s="8" t="inlineStr">
        <is>
          <t>Guatemala</t>
        </is>
      </c>
      <c r="B193" s="8" t="n">
        <v>2009</v>
      </c>
      <c r="C193" s="9">
        <f>IF(COUNTIFS(Datos!$A$2:$A$5000,C$1,Datos!$B$2:$B$5000,$A193,Datos!$C$2:$C$5000,$B193,Datos!$D$2:$D$5000,C$2)=0,"",SUMIFS(Datos!$E$2:$E$5000,Datos!$A$2:$A$5000,C$1,Datos!$B$2:$B$5000,$A193,Datos!$C$2:$C$5000,$B193,Datos!$D$2:$D$5000,C$2))</f>
        <v/>
      </c>
      <c r="D193" s="9">
        <f>IF(COUNTIFS(Datos!$A$2:$A$5000,D$1,Datos!$B$2:$B$5000,$A193,Datos!$C$2:$C$5000,$B193,Datos!$D$2:$D$5000,D$2)=0,"",SUMIFS(Datos!$E$2:$E$5000,Datos!$A$2:$A$5000,D$1,Datos!$B$2:$B$5000,$A193,Datos!$C$2:$C$5000,$B193,Datos!$D$2:$D$5000,D$2))</f>
        <v/>
      </c>
      <c r="E193" s="9">
        <f>IF(COUNTIFS(Datos!$A$2:$A$5000,E$1,Datos!$B$2:$B$5000,$A193,Datos!$C$2:$C$5000,$B193,Datos!$D$2:$D$5000,E$2)=0,"",SUMIFS(Datos!$E$2:$E$5000,Datos!$A$2:$A$5000,E$1,Datos!$B$2:$B$5000,$A193,Datos!$C$2:$C$5000,$B193,Datos!$D$2:$D$5000,E$2))</f>
        <v/>
      </c>
      <c r="F193" s="9">
        <f>IF(COUNTIFS(Datos!$A$2:$A$5000,F$1,Datos!$B$2:$B$5000,$A193,Datos!$C$2:$C$5000,$B193,Datos!$D$2:$D$5000,F$2)=0,"",SUMIFS(Datos!$E$2:$E$5000,Datos!$A$2:$A$5000,F$1,Datos!$B$2:$B$5000,$A193,Datos!$C$2:$C$5000,$B193,Datos!$D$2:$D$5000,F$2))</f>
        <v/>
      </c>
      <c r="G193" s="9">
        <f>IF(COUNTIFS(Datos!$A$2:$A$5000,G$1,Datos!$B$2:$B$5000,$A193,Datos!$C$2:$C$5000,$B193,Datos!$D$2:$D$5000,G$2)=0,"",SUMIFS(Datos!$E$2:$E$5000,Datos!$A$2:$A$5000,G$1,Datos!$B$2:$B$5000,$A193,Datos!$C$2:$C$5000,$B193,Datos!$D$2:$D$5000,G$2))</f>
        <v/>
      </c>
      <c r="H193" s="9">
        <f>IF(COUNTIFS(Datos!$A$2:$A$5000,H$1,Datos!$B$2:$B$5000,$A193,Datos!$C$2:$C$5000,$B193,Datos!$D$2:$D$5000,H$2)=0,"",SUMIFS(Datos!$E$2:$E$5000,Datos!$A$2:$A$5000,H$1,Datos!$B$2:$B$5000,$A193,Datos!$C$2:$C$5000,$B193,Datos!$D$2:$D$5000,H$2))</f>
        <v/>
      </c>
      <c r="I193" s="9">
        <f>IF(COUNTIFS(Datos!$A$2:$A$5000,I$1,Datos!$B$2:$B$5000,$A193,Datos!$C$2:$C$5000,$B193,Datos!$D$2:$D$5000,I$2)=0,"",SUMIFS(Datos!$E$2:$E$5000,Datos!$A$2:$A$5000,I$1,Datos!$B$2:$B$5000,$A193,Datos!$C$2:$C$5000,$B193,Datos!$D$2:$D$5000,I$2))</f>
        <v/>
      </c>
      <c r="J193" s="9">
        <f>IF(COUNTIFS(Datos!$A$2:$A$5000,J$1,Datos!$B$2:$B$5000,$A193,Datos!$C$2:$C$5000,$B193,Datos!$D$2:$D$5000,J$2)=0,"",SUMIFS(Datos!$E$2:$E$5000,Datos!$A$2:$A$5000,J$1,Datos!$B$2:$B$5000,$A193,Datos!$C$2:$C$5000,$B193,Datos!$D$2:$D$5000,J$2))</f>
        <v/>
      </c>
    </row>
    <row r="194">
      <c r="A194" s="8" t="inlineStr">
        <is>
          <t>Guatemala</t>
        </is>
      </c>
      <c r="B194" s="8" t="n">
        <v>2010</v>
      </c>
      <c r="C194" s="9">
        <f>IF(COUNTIFS(Datos!$A$2:$A$5000,C$1,Datos!$B$2:$B$5000,$A194,Datos!$C$2:$C$5000,$B194,Datos!$D$2:$D$5000,C$2)=0,"",SUMIFS(Datos!$E$2:$E$5000,Datos!$A$2:$A$5000,C$1,Datos!$B$2:$B$5000,$A194,Datos!$C$2:$C$5000,$B194,Datos!$D$2:$D$5000,C$2))</f>
        <v/>
      </c>
      <c r="D194" s="9">
        <f>IF(COUNTIFS(Datos!$A$2:$A$5000,D$1,Datos!$B$2:$B$5000,$A194,Datos!$C$2:$C$5000,$B194,Datos!$D$2:$D$5000,D$2)=0,"",SUMIFS(Datos!$E$2:$E$5000,Datos!$A$2:$A$5000,D$1,Datos!$B$2:$B$5000,$A194,Datos!$C$2:$C$5000,$B194,Datos!$D$2:$D$5000,D$2))</f>
        <v/>
      </c>
      <c r="E194" s="9">
        <f>IF(COUNTIFS(Datos!$A$2:$A$5000,E$1,Datos!$B$2:$B$5000,$A194,Datos!$C$2:$C$5000,$B194,Datos!$D$2:$D$5000,E$2)=0,"",SUMIFS(Datos!$E$2:$E$5000,Datos!$A$2:$A$5000,E$1,Datos!$B$2:$B$5000,$A194,Datos!$C$2:$C$5000,$B194,Datos!$D$2:$D$5000,E$2))</f>
        <v/>
      </c>
      <c r="F194" s="9">
        <f>IF(COUNTIFS(Datos!$A$2:$A$5000,F$1,Datos!$B$2:$B$5000,$A194,Datos!$C$2:$C$5000,$B194,Datos!$D$2:$D$5000,F$2)=0,"",SUMIFS(Datos!$E$2:$E$5000,Datos!$A$2:$A$5000,F$1,Datos!$B$2:$B$5000,$A194,Datos!$C$2:$C$5000,$B194,Datos!$D$2:$D$5000,F$2))</f>
        <v/>
      </c>
      <c r="G194" s="9">
        <f>IF(COUNTIFS(Datos!$A$2:$A$5000,G$1,Datos!$B$2:$B$5000,$A194,Datos!$C$2:$C$5000,$B194,Datos!$D$2:$D$5000,G$2)=0,"",SUMIFS(Datos!$E$2:$E$5000,Datos!$A$2:$A$5000,G$1,Datos!$B$2:$B$5000,$A194,Datos!$C$2:$C$5000,$B194,Datos!$D$2:$D$5000,G$2))</f>
        <v/>
      </c>
      <c r="H194" s="9">
        <f>IF(COUNTIFS(Datos!$A$2:$A$5000,H$1,Datos!$B$2:$B$5000,$A194,Datos!$C$2:$C$5000,$B194,Datos!$D$2:$D$5000,H$2)=0,"",SUMIFS(Datos!$E$2:$E$5000,Datos!$A$2:$A$5000,H$1,Datos!$B$2:$B$5000,$A194,Datos!$C$2:$C$5000,$B194,Datos!$D$2:$D$5000,H$2))</f>
        <v/>
      </c>
      <c r="I194" s="9">
        <f>IF(COUNTIFS(Datos!$A$2:$A$5000,I$1,Datos!$B$2:$B$5000,$A194,Datos!$C$2:$C$5000,$B194,Datos!$D$2:$D$5000,I$2)=0,"",SUMIFS(Datos!$E$2:$E$5000,Datos!$A$2:$A$5000,I$1,Datos!$B$2:$B$5000,$A194,Datos!$C$2:$C$5000,$B194,Datos!$D$2:$D$5000,I$2))</f>
        <v/>
      </c>
      <c r="J194" s="9">
        <f>IF(COUNTIFS(Datos!$A$2:$A$5000,J$1,Datos!$B$2:$B$5000,$A194,Datos!$C$2:$C$5000,$B194,Datos!$D$2:$D$5000,J$2)=0,"",SUMIFS(Datos!$E$2:$E$5000,Datos!$A$2:$A$5000,J$1,Datos!$B$2:$B$5000,$A194,Datos!$C$2:$C$5000,$B194,Datos!$D$2:$D$5000,J$2))</f>
        <v/>
      </c>
    </row>
    <row r="195">
      <c r="A195" s="8" t="inlineStr">
        <is>
          <t>Guatemala</t>
        </is>
      </c>
      <c r="B195" s="8" t="n">
        <v>2011</v>
      </c>
      <c r="C195" s="9">
        <f>IF(COUNTIFS(Datos!$A$2:$A$5000,C$1,Datos!$B$2:$B$5000,$A195,Datos!$C$2:$C$5000,$B195,Datos!$D$2:$D$5000,C$2)=0,"",SUMIFS(Datos!$E$2:$E$5000,Datos!$A$2:$A$5000,C$1,Datos!$B$2:$B$5000,$A195,Datos!$C$2:$C$5000,$B195,Datos!$D$2:$D$5000,C$2))</f>
        <v/>
      </c>
      <c r="D195" s="9">
        <f>IF(COUNTIFS(Datos!$A$2:$A$5000,D$1,Datos!$B$2:$B$5000,$A195,Datos!$C$2:$C$5000,$B195,Datos!$D$2:$D$5000,D$2)=0,"",SUMIFS(Datos!$E$2:$E$5000,Datos!$A$2:$A$5000,D$1,Datos!$B$2:$B$5000,$A195,Datos!$C$2:$C$5000,$B195,Datos!$D$2:$D$5000,D$2))</f>
        <v/>
      </c>
      <c r="E195" s="9">
        <f>IF(COUNTIFS(Datos!$A$2:$A$5000,E$1,Datos!$B$2:$B$5000,$A195,Datos!$C$2:$C$5000,$B195,Datos!$D$2:$D$5000,E$2)=0,"",SUMIFS(Datos!$E$2:$E$5000,Datos!$A$2:$A$5000,E$1,Datos!$B$2:$B$5000,$A195,Datos!$C$2:$C$5000,$B195,Datos!$D$2:$D$5000,E$2))</f>
        <v/>
      </c>
      <c r="F195" s="9">
        <f>IF(COUNTIFS(Datos!$A$2:$A$5000,F$1,Datos!$B$2:$B$5000,$A195,Datos!$C$2:$C$5000,$B195,Datos!$D$2:$D$5000,F$2)=0,"",SUMIFS(Datos!$E$2:$E$5000,Datos!$A$2:$A$5000,F$1,Datos!$B$2:$B$5000,$A195,Datos!$C$2:$C$5000,$B195,Datos!$D$2:$D$5000,F$2))</f>
        <v/>
      </c>
      <c r="G195" s="9">
        <f>IF(COUNTIFS(Datos!$A$2:$A$5000,G$1,Datos!$B$2:$B$5000,$A195,Datos!$C$2:$C$5000,$B195,Datos!$D$2:$D$5000,G$2)=0,"",SUMIFS(Datos!$E$2:$E$5000,Datos!$A$2:$A$5000,G$1,Datos!$B$2:$B$5000,$A195,Datos!$C$2:$C$5000,$B195,Datos!$D$2:$D$5000,G$2))</f>
        <v/>
      </c>
      <c r="H195" s="9">
        <f>IF(COUNTIFS(Datos!$A$2:$A$5000,H$1,Datos!$B$2:$B$5000,$A195,Datos!$C$2:$C$5000,$B195,Datos!$D$2:$D$5000,H$2)=0,"",SUMIFS(Datos!$E$2:$E$5000,Datos!$A$2:$A$5000,H$1,Datos!$B$2:$B$5000,$A195,Datos!$C$2:$C$5000,$B195,Datos!$D$2:$D$5000,H$2))</f>
        <v/>
      </c>
      <c r="I195" s="9">
        <f>IF(COUNTIFS(Datos!$A$2:$A$5000,I$1,Datos!$B$2:$B$5000,$A195,Datos!$C$2:$C$5000,$B195,Datos!$D$2:$D$5000,I$2)=0,"",SUMIFS(Datos!$E$2:$E$5000,Datos!$A$2:$A$5000,I$1,Datos!$B$2:$B$5000,$A195,Datos!$C$2:$C$5000,$B195,Datos!$D$2:$D$5000,I$2))</f>
        <v/>
      </c>
      <c r="J195" s="9">
        <f>IF(COUNTIFS(Datos!$A$2:$A$5000,J$1,Datos!$B$2:$B$5000,$A195,Datos!$C$2:$C$5000,$B195,Datos!$D$2:$D$5000,J$2)=0,"",SUMIFS(Datos!$E$2:$E$5000,Datos!$A$2:$A$5000,J$1,Datos!$B$2:$B$5000,$A195,Datos!$C$2:$C$5000,$B195,Datos!$D$2:$D$5000,J$2))</f>
        <v/>
      </c>
    </row>
    <row r="196">
      <c r="A196" s="8" t="inlineStr">
        <is>
          <t>Guatemala</t>
        </is>
      </c>
      <c r="B196" s="8" t="n">
        <v>2016</v>
      </c>
      <c r="C196" s="9">
        <f>IF(COUNTIFS(Datos!$A$2:$A$5000,C$1,Datos!$B$2:$B$5000,$A196,Datos!$C$2:$C$5000,$B196,Datos!$D$2:$D$5000,C$2)=0,"",SUMIFS(Datos!$E$2:$E$5000,Datos!$A$2:$A$5000,C$1,Datos!$B$2:$B$5000,$A196,Datos!$C$2:$C$5000,$B196,Datos!$D$2:$D$5000,C$2))</f>
        <v/>
      </c>
      <c r="D196" s="9">
        <f>IF(COUNTIFS(Datos!$A$2:$A$5000,D$1,Datos!$B$2:$B$5000,$A196,Datos!$C$2:$C$5000,$B196,Datos!$D$2:$D$5000,D$2)=0,"",SUMIFS(Datos!$E$2:$E$5000,Datos!$A$2:$A$5000,D$1,Datos!$B$2:$B$5000,$A196,Datos!$C$2:$C$5000,$B196,Datos!$D$2:$D$5000,D$2))</f>
        <v/>
      </c>
      <c r="E196" s="9">
        <f>IF(COUNTIFS(Datos!$A$2:$A$5000,E$1,Datos!$B$2:$B$5000,$A196,Datos!$C$2:$C$5000,$B196,Datos!$D$2:$D$5000,E$2)=0,"",SUMIFS(Datos!$E$2:$E$5000,Datos!$A$2:$A$5000,E$1,Datos!$B$2:$B$5000,$A196,Datos!$C$2:$C$5000,$B196,Datos!$D$2:$D$5000,E$2))</f>
        <v/>
      </c>
      <c r="F196" s="9">
        <f>IF(COUNTIFS(Datos!$A$2:$A$5000,F$1,Datos!$B$2:$B$5000,$A196,Datos!$C$2:$C$5000,$B196,Datos!$D$2:$D$5000,F$2)=0,"",SUMIFS(Datos!$E$2:$E$5000,Datos!$A$2:$A$5000,F$1,Datos!$B$2:$B$5000,$A196,Datos!$C$2:$C$5000,$B196,Datos!$D$2:$D$5000,F$2))</f>
        <v/>
      </c>
      <c r="G196" s="9">
        <f>IF(COUNTIFS(Datos!$A$2:$A$5000,G$1,Datos!$B$2:$B$5000,$A196,Datos!$C$2:$C$5000,$B196,Datos!$D$2:$D$5000,G$2)=0,"",SUMIFS(Datos!$E$2:$E$5000,Datos!$A$2:$A$5000,G$1,Datos!$B$2:$B$5000,$A196,Datos!$C$2:$C$5000,$B196,Datos!$D$2:$D$5000,G$2))</f>
        <v/>
      </c>
      <c r="H196" s="9">
        <f>IF(COUNTIFS(Datos!$A$2:$A$5000,H$1,Datos!$B$2:$B$5000,$A196,Datos!$C$2:$C$5000,$B196,Datos!$D$2:$D$5000,H$2)=0,"",SUMIFS(Datos!$E$2:$E$5000,Datos!$A$2:$A$5000,H$1,Datos!$B$2:$B$5000,$A196,Datos!$C$2:$C$5000,$B196,Datos!$D$2:$D$5000,H$2))</f>
        <v/>
      </c>
      <c r="I196" s="9">
        <f>IF(COUNTIFS(Datos!$A$2:$A$5000,I$1,Datos!$B$2:$B$5000,$A196,Datos!$C$2:$C$5000,$B196,Datos!$D$2:$D$5000,I$2)=0,"",SUMIFS(Datos!$E$2:$E$5000,Datos!$A$2:$A$5000,I$1,Datos!$B$2:$B$5000,$A196,Datos!$C$2:$C$5000,$B196,Datos!$D$2:$D$5000,I$2))</f>
        <v/>
      </c>
      <c r="J196" s="9">
        <f>IF(COUNTIFS(Datos!$A$2:$A$5000,J$1,Datos!$B$2:$B$5000,$A196,Datos!$C$2:$C$5000,$B196,Datos!$D$2:$D$5000,J$2)=0,"",SUMIFS(Datos!$E$2:$E$5000,Datos!$A$2:$A$5000,J$1,Datos!$B$2:$B$5000,$A196,Datos!$C$2:$C$5000,$B196,Datos!$D$2:$D$5000,J$2))</f>
        <v/>
      </c>
    </row>
    <row r="197">
      <c r="A197" s="8" t="inlineStr">
        <is>
          <t>Guatemala</t>
        </is>
      </c>
      <c r="B197" s="8" t="n">
        <v>2017</v>
      </c>
      <c r="C197" s="9">
        <f>IF(COUNTIFS(Datos!$A$2:$A$5000,C$1,Datos!$B$2:$B$5000,$A197,Datos!$C$2:$C$5000,$B197,Datos!$D$2:$D$5000,C$2)=0,"",SUMIFS(Datos!$E$2:$E$5000,Datos!$A$2:$A$5000,C$1,Datos!$B$2:$B$5000,$A197,Datos!$C$2:$C$5000,$B197,Datos!$D$2:$D$5000,C$2))</f>
        <v/>
      </c>
      <c r="D197" s="9">
        <f>IF(COUNTIFS(Datos!$A$2:$A$5000,D$1,Datos!$B$2:$B$5000,$A197,Datos!$C$2:$C$5000,$B197,Datos!$D$2:$D$5000,D$2)=0,"",SUMIFS(Datos!$E$2:$E$5000,Datos!$A$2:$A$5000,D$1,Datos!$B$2:$B$5000,$A197,Datos!$C$2:$C$5000,$B197,Datos!$D$2:$D$5000,D$2))</f>
        <v/>
      </c>
      <c r="E197" s="9">
        <f>IF(COUNTIFS(Datos!$A$2:$A$5000,E$1,Datos!$B$2:$B$5000,$A197,Datos!$C$2:$C$5000,$B197,Datos!$D$2:$D$5000,E$2)=0,"",SUMIFS(Datos!$E$2:$E$5000,Datos!$A$2:$A$5000,E$1,Datos!$B$2:$B$5000,$A197,Datos!$C$2:$C$5000,$B197,Datos!$D$2:$D$5000,E$2))</f>
        <v/>
      </c>
      <c r="F197" s="9">
        <f>IF(COUNTIFS(Datos!$A$2:$A$5000,F$1,Datos!$B$2:$B$5000,$A197,Datos!$C$2:$C$5000,$B197,Datos!$D$2:$D$5000,F$2)=0,"",SUMIFS(Datos!$E$2:$E$5000,Datos!$A$2:$A$5000,F$1,Datos!$B$2:$B$5000,$A197,Datos!$C$2:$C$5000,$B197,Datos!$D$2:$D$5000,F$2))</f>
        <v/>
      </c>
      <c r="G197" s="9">
        <f>IF(COUNTIFS(Datos!$A$2:$A$5000,G$1,Datos!$B$2:$B$5000,$A197,Datos!$C$2:$C$5000,$B197,Datos!$D$2:$D$5000,G$2)=0,"",SUMIFS(Datos!$E$2:$E$5000,Datos!$A$2:$A$5000,G$1,Datos!$B$2:$B$5000,$A197,Datos!$C$2:$C$5000,$B197,Datos!$D$2:$D$5000,G$2))</f>
        <v/>
      </c>
      <c r="H197" s="9">
        <f>IF(COUNTIFS(Datos!$A$2:$A$5000,H$1,Datos!$B$2:$B$5000,$A197,Datos!$C$2:$C$5000,$B197,Datos!$D$2:$D$5000,H$2)=0,"",SUMIFS(Datos!$E$2:$E$5000,Datos!$A$2:$A$5000,H$1,Datos!$B$2:$B$5000,$A197,Datos!$C$2:$C$5000,$B197,Datos!$D$2:$D$5000,H$2))</f>
        <v/>
      </c>
      <c r="I197" s="9">
        <f>IF(COUNTIFS(Datos!$A$2:$A$5000,I$1,Datos!$B$2:$B$5000,$A197,Datos!$C$2:$C$5000,$B197,Datos!$D$2:$D$5000,I$2)=0,"",SUMIFS(Datos!$E$2:$E$5000,Datos!$A$2:$A$5000,I$1,Datos!$B$2:$B$5000,$A197,Datos!$C$2:$C$5000,$B197,Datos!$D$2:$D$5000,I$2))</f>
        <v/>
      </c>
      <c r="J197" s="9">
        <f>IF(COUNTIFS(Datos!$A$2:$A$5000,J$1,Datos!$B$2:$B$5000,$A197,Datos!$C$2:$C$5000,$B197,Datos!$D$2:$D$5000,J$2)=0,"",SUMIFS(Datos!$E$2:$E$5000,Datos!$A$2:$A$5000,J$1,Datos!$B$2:$B$5000,$A197,Datos!$C$2:$C$5000,$B197,Datos!$D$2:$D$5000,J$2))</f>
        <v/>
      </c>
    </row>
    <row r="198">
      <c r="A198" s="8" t="inlineStr">
        <is>
          <t>Guatemala</t>
        </is>
      </c>
      <c r="B198" s="8" t="n">
        <v>2018</v>
      </c>
      <c r="C198" s="9">
        <f>IF(COUNTIFS(Datos!$A$2:$A$5000,C$1,Datos!$B$2:$B$5000,$A198,Datos!$C$2:$C$5000,$B198,Datos!$D$2:$D$5000,C$2)=0,"",SUMIFS(Datos!$E$2:$E$5000,Datos!$A$2:$A$5000,C$1,Datos!$B$2:$B$5000,$A198,Datos!$C$2:$C$5000,$B198,Datos!$D$2:$D$5000,C$2))</f>
        <v/>
      </c>
      <c r="D198" s="9">
        <f>IF(COUNTIFS(Datos!$A$2:$A$5000,D$1,Datos!$B$2:$B$5000,$A198,Datos!$C$2:$C$5000,$B198,Datos!$D$2:$D$5000,D$2)=0,"",SUMIFS(Datos!$E$2:$E$5000,Datos!$A$2:$A$5000,D$1,Datos!$B$2:$B$5000,$A198,Datos!$C$2:$C$5000,$B198,Datos!$D$2:$D$5000,D$2))</f>
        <v/>
      </c>
      <c r="E198" s="9">
        <f>IF(COUNTIFS(Datos!$A$2:$A$5000,E$1,Datos!$B$2:$B$5000,$A198,Datos!$C$2:$C$5000,$B198,Datos!$D$2:$D$5000,E$2)=0,"",SUMIFS(Datos!$E$2:$E$5000,Datos!$A$2:$A$5000,E$1,Datos!$B$2:$B$5000,$A198,Datos!$C$2:$C$5000,$B198,Datos!$D$2:$D$5000,E$2))</f>
        <v/>
      </c>
      <c r="F198" s="9">
        <f>IF(COUNTIFS(Datos!$A$2:$A$5000,F$1,Datos!$B$2:$B$5000,$A198,Datos!$C$2:$C$5000,$B198,Datos!$D$2:$D$5000,F$2)=0,"",SUMIFS(Datos!$E$2:$E$5000,Datos!$A$2:$A$5000,F$1,Datos!$B$2:$B$5000,$A198,Datos!$C$2:$C$5000,$B198,Datos!$D$2:$D$5000,F$2))</f>
        <v/>
      </c>
      <c r="G198" s="9">
        <f>IF(COUNTIFS(Datos!$A$2:$A$5000,G$1,Datos!$B$2:$B$5000,$A198,Datos!$C$2:$C$5000,$B198,Datos!$D$2:$D$5000,G$2)=0,"",SUMIFS(Datos!$E$2:$E$5000,Datos!$A$2:$A$5000,G$1,Datos!$B$2:$B$5000,$A198,Datos!$C$2:$C$5000,$B198,Datos!$D$2:$D$5000,G$2))</f>
        <v/>
      </c>
      <c r="H198" s="9">
        <f>IF(COUNTIFS(Datos!$A$2:$A$5000,H$1,Datos!$B$2:$B$5000,$A198,Datos!$C$2:$C$5000,$B198,Datos!$D$2:$D$5000,H$2)=0,"",SUMIFS(Datos!$E$2:$E$5000,Datos!$A$2:$A$5000,H$1,Datos!$B$2:$B$5000,$A198,Datos!$C$2:$C$5000,$B198,Datos!$D$2:$D$5000,H$2))</f>
        <v/>
      </c>
      <c r="I198" s="9">
        <f>IF(COUNTIFS(Datos!$A$2:$A$5000,I$1,Datos!$B$2:$B$5000,$A198,Datos!$C$2:$C$5000,$B198,Datos!$D$2:$D$5000,I$2)=0,"",SUMIFS(Datos!$E$2:$E$5000,Datos!$A$2:$A$5000,I$1,Datos!$B$2:$B$5000,$A198,Datos!$C$2:$C$5000,$B198,Datos!$D$2:$D$5000,I$2))</f>
        <v/>
      </c>
      <c r="J198" s="9">
        <f>IF(COUNTIFS(Datos!$A$2:$A$5000,J$1,Datos!$B$2:$B$5000,$A198,Datos!$C$2:$C$5000,$B198,Datos!$D$2:$D$5000,J$2)=0,"",SUMIFS(Datos!$E$2:$E$5000,Datos!$A$2:$A$5000,J$1,Datos!$B$2:$B$5000,$A198,Datos!$C$2:$C$5000,$B198,Datos!$D$2:$D$5000,J$2))</f>
        <v/>
      </c>
    </row>
    <row r="199">
      <c r="A199" s="8" t="inlineStr">
        <is>
          <t>Guatemala</t>
        </is>
      </c>
      <c r="B199" s="8" t="n">
        <v>2020</v>
      </c>
      <c r="C199" s="9">
        <f>IF(COUNTIFS(Datos!$A$2:$A$5000,C$1,Datos!$B$2:$B$5000,$A199,Datos!$C$2:$C$5000,$B199,Datos!$D$2:$D$5000,C$2)=0,"",SUMIFS(Datos!$E$2:$E$5000,Datos!$A$2:$A$5000,C$1,Datos!$B$2:$B$5000,$A199,Datos!$C$2:$C$5000,$B199,Datos!$D$2:$D$5000,C$2))</f>
        <v/>
      </c>
      <c r="D199" s="9">
        <f>IF(COUNTIFS(Datos!$A$2:$A$5000,D$1,Datos!$B$2:$B$5000,$A199,Datos!$C$2:$C$5000,$B199,Datos!$D$2:$D$5000,D$2)=0,"",SUMIFS(Datos!$E$2:$E$5000,Datos!$A$2:$A$5000,D$1,Datos!$B$2:$B$5000,$A199,Datos!$C$2:$C$5000,$B199,Datos!$D$2:$D$5000,D$2))</f>
        <v/>
      </c>
      <c r="E199" s="9">
        <f>IF(COUNTIFS(Datos!$A$2:$A$5000,E$1,Datos!$B$2:$B$5000,$A199,Datos!$C$2:$C$5000,$B199,Datos!$D$2:$D$5000,E$2)=0,"",SUMIFS(Datos!$E$2:$E$5000,Datos!$A$2:$A$5000,E$1,Datos!$B$2:$B$5000,$A199,Datos!$C$2:$C$5000,$B199,Datos!$D$2:$D$5000,E$2))</f>
        <v/>
      </c>
      <c r="F199" s="9">
        <f>IF(COUNTIFS(Datos!$A$2:$A$5000,F$1,Datos!$B$2:$B$5000,$A199,Datos!$C$2:$C$5000,$B199,Datos!$D$2:$D$5000,F$2)=0,"",SUMIFS(Datos!$E$2:$E$5000,Datos!$A$2:$A$5000,F$1,Datos!$B$2:$B$5000,$A199,Datos!$C$2:$C$5000,$B199,Datos!$D$2:$D$5000,F$2))</f>
        <v/>
      </c>
      <c r="G199" s="9">
        <f>IF(COUNTIFS(Datos!$A$2:$A$5000,G$1,Datos!$B$2:$B$5000,$A199,Datos!$C$2:$C$5000,$B199,Datos!$D$2:$D$5000,G$2)=0,"",SUMIFS(Datos!$E$2:$E$5000,Datos!$A$2:$A$5000,G$1,Datos!$B$2:$B$5000,$A199,Datos!$C$2:$C$5000,$B199,Datos!$D$2:$D$5000,G$2))</f>
        <v/>
      </c>
      <c r="H199" s="9">
        <f>IF(COUNTIFS(Datos!$A$2:$A$5000,H$1,Datos!$B$2:$B$5000,$A199,Datos!$C$2:$C$5000,$B199,Datos!$D$2:$D$5000,H$2)=0,"",SUMIFS(Datos!$E$2:$E$5000,Datos!$A$2:$A$5000,H$1,Datos!$B$2:$B$5000,$A199,Datos!$C$2:$C$5000,$B199,Datos!$D$2:$D$5000,H$2))</f>
        <v/>
      </c>
      <c r="I199" s="9">
        <f>IF(COUNTIFS(Datos!$A$2:$A$5000,I$1,Datos!$B$2:$B$5000,$A199,Datos!$C$2:$C$5000,$B199,Datos!$D$2:$D$5000,I$2)=0,"",SUMIFS(Datos!$E$2:$E$5000,Datos!$A$2:$A$5000,I$1,Datos!$B$2:$B$5000,$A199,Datos!$C$2:$C$5000,$B199,Datos!$D$2:$D$5000,I$2))</f>
        <v/>
      </c>
      <c r="J199" s="9">
        <f>IF(COUNTIFS(Datos!$A$2:$A$5000,J$1,Datos!$B$2:$B$5000,$A199,Datos!$C$2:$C$5000,$B199,Datos!$D$2:$D$5000,J$2)=0,"",SUMIFS(Datos!$E$2:$E$5000,Datos!$A$2:$A$5000,J$1,Datos!$B$2:$B$5000,$A199,Datos!$C$2:$C$5000,$B199,Datos!$D$2:$D$5000,J$2))</f>
        <v/>
      </c>
    </row>
    <row r="200">
      <c r="A200" s="8" t="inlineStr">
        <is>
          <t>Guatemala</t>
        </is>
      </c>
      <c r="B200" s="8" t="n">
        <v>2024</v>
      </c>
      <c r="C200" s="9">
        <f>IF(COUNTIFS(Datos!$A$2:$A$5000,C$1,Datos!$B$2:$B$5000,$A200,Datos!$C$2:$C$5000,$B200,Datos!$D$2:$D$5000,C$2)=0,"",SUMIFS(Datos!$E$2:$E$5000,Datos!$A$2:$A$5000,C$1,Datos!$B$2:$B$5000,$A200,Datos!$C$2:$C$5000,$B200,Datos!$D$2:$D$5000,C$2))</f>
        <v/>
      </c>
      <c r="D200" s="9">
        <f>IF(COUNTIFS(Datos!$A$2:$A$5000,D$1,Datos!$B$2:$B$5000,$A200,Datos!$C$2:$C$5000,$B200,Datos!$D$2:$D$5000,D$2)=0,"",SUMIFS(Datos!$E$2:$E$5000,Datos!$A$2:$A$5000,D$1,Datos!$B$2:$B$5000,$A200,Datos!$C$2:$C$5000,$B200,Datos!$D$2:$D$5000,D$2))</f>
        <v/>
      </c>
      <c r="E200" s="9">
        <f>IF(COUNTIFS(Datos!$A$2:$A$5000,E$1,Datos!$B$2:$B$5000,$A200,Datos!$C$2:$C$5000,$B200,Datos!$D$2:$D$5000,E$2)=0,"",SUMIFS(Datos!$E$2:$E$5000,Datos!$A$2:$A$5000,E$1,Datos!$B$2:$B$5000,$A200,Datos!$C$2:$C$5000,$B200,Datos!$D$2:$D$5000,E$2))</f>
        <v/>
      </c>
      <c r="F200" s="9">
        <f>IF(COUNTIFS(Datos!$A$2:$A$5000,F$1,Datos!$B$2:$B$5000,$A200,Datos!$C$2:$C$5000,$B200,Datos!$D$2:$D$5000,F$2)=0,"",SUMIFS(Datos!$E$2:$E$5000,Datos!$A$2:$A$5000,F$1,Datos!$B$2:$B$5000,$A200,Datos!$C$2:$C$5000,$B200,Datos!$D$2:$D$5000,F$2))</f>
        <v/>
      </c>
      <c r="G200" s="9">
        <f>IF(COUNTIFS(Datos!$A$2:$A$5000,G$1,Datos!$B$2:$B$5000,$A200,Datos!$C$2:$C$5000,$B200,Datos!$D$2:$D$5000,G$2)=0,"",SUMIFS(Datos!$E$2:$E$5000,Datos!$A$2:$A$5000,G$1,Datos!$B$2:$B$5000,$A200,Datos!$C$2:$C$5000,$B200,Datos!$D$2:$D$5000,G$2))</f>
        <v/>
      </c>
      <c r="H200" s="9">
        <f>IF(COUNTIFS(Datos!$A$2:$A$5000,H$1,Datos!$B$2:$B$5000,$A200,Datos!$C$2:$C$5000,$B200,Datos!$D$2:$D$5000,H$2)=0,"",SUMIFS(Datos!$E$2:$E$5000,Datos!$A$2:$A$5000,H$1,Datos!$B$2:$B$5000,$A200,Datos!$C$2:$C$5000,$B200,Datos!$D$2:$D$5000,H$2))</f>
        <v/>
      </c>
      <c r="I200" s="9">
        <f>IF(COUNTIFS(Datos!$A$2:$A$5000,I$1,Datos!$B$2:$B$5000,$A200,Datos!$C$2:$C$5000,$B200,Datos!$D$2:$D$5000,I$2)=0,"",SUMIFS(Datos!$E$2:$E$5000,Datos!$A$2:$A$5000,I$1,Datos!$B$2:$B$5000,$A200,Datos!$C$2:$C$5000,$B200,Datos!$D$2:$D$5000,I$2))</f>
        <v/>
      </c>
      <c r="J200" s="9">
        <f>IF(COUNTIFS(Datos!$A$2:$A$5000,J$1,Datos!$B$2:$B$5000,$A200,Datos!$C$2:$C$5000,$B200,Datos!$D$2:$D$5000,J$2)=0,"",SUMIFS(Datos!$E$2:$E$5000,Datos!$A$2:$A$5000,J$1,Datos!$B$2:$B$5000,$A200,Datos!$C$2:$C$5000,$B200,Datos!$D$2:$D$5000,J$2))</f>
        <v/>
      </c>
    </row>
    <row r="201">
      <c r="A201" s="8" t="inlineStr">
        <is>
          <t>Honduras</t>
        </is>
      </c>
      <c r="B201" s="8" t="n">
        <v>1996</v>
      </c>
      <c r="C201" s="9">
        <f>IF(COUNTIFS(Datos!$A$2:$A$5000,C$1,Datos!$B$2:$B$5000,$A201,Datos!$C$2:$C$5000,$B201,Datos!$D$2:$D$5000,C$2)=0,"",SUMIFS(Datos!$E$2:$E$5000,Datos!$A$2:$A$5000,C$1,Datos!$B$2:$B$5000,$A201,Datos!$C$2:$C$5000,$B201,Datos!$D$2:$D$5000,C$2))</f>
        <v/>
      </c>
      <c r="D201" s="9">
        <f>IF(COUNTIFS(Datos!$A$2:$A$5000,D$1,Datos!$B$2:$B$5000,$A201,Datos!$C$2:$C$5000,$B201,Datos!$D$2:$D$5000,D$2)=0,"",SUMIFS(Datos!$E$2:$E$5000,Datos!$A$2:$A$5000,D$1,Datos!$B$2:$B$5000,$A201,Datos!$C$2:$C$5000,$B201,Datos!$D$2:$D$5000,D$2))</f>
        <v/>
      </c>
      <c r="E201" s="9">
        <f>IF(COUNTIFS(Datos!$A$2:$A$5000,E$1,Datos!$B$2:$B$5000,$A201,Datos!$C$2:$C$5000,$B201,Datos!$D$2:$D$5000,E$2)=0,"",SUMIFS(Datos!$E$2:$E$5000,Datos!$A$2:$A$5000,E$1,Datos!$B$2:$B$5000,$A201,Datos!$C$2:$C$5000,$B201,Datos!$D$2:$D$5000,E$2))</f>
        <v/>
      </c>
      <c r="F201" s="9">
        <f>IF(COUNTIFS(Datos!$A$2:$A$5000,F$1,Datos!$B$2:$B$5000,$A201,Datos!$C$2:$C$5000,$B201,Datos!$D$2:$D$5000,F$2)=0,"",SUMIFS(Datos!$E$2:$E$5000,Datos!$A$2:$A$5000,F$1,Datos!$B$2:$B$5000,$A201,Datos!$C$2:$C$5000,$B201,Datos!$D$2:$D$5000,F$2))</f>
        <v/>
      </c>
      <c r="G201" s="9">
        <f>IF(COUNTIFS(Datos!$A$2:$A$5000,G$1,Datos!$B$2:$B$5000,$A201,Datos!$C$2:$C$5000,$B201,Datos!$D$2:$D$5000,G$2)=0,"",SUMIFS(Datos!$E$2:$E$5000,Datos!$A$2:$A$5000,G$1,Datos!$B$2:$B$5000,$A201,Datos!$C$2:$C$5000,$B201,Datos!$D$2:$D$5000,G$2))</f>
        <v/>
      </c>
      <c r="H201" s="9">
        <f>IF(COUNTIFS(Datos!$A$2:$A$5000,H$1,Datos!$B$2:$B$5000,$A201,Datos!$C$2:$C$5000,$B201,Datos!$D$2:$D$5000,H$2)=0,"",SUMIFS(Datos!$E$2:$E$5000,Datos!$A$2:$A$5000,H$1,Datos!$B$2:$B$5000,$A201,Datos!$C$2:$C$5000,$B201,Datos!$D$2:$D$5000,H$2))</f>
        <v/>
      </c>
      <c r="I201" s="9">
        <f>IF(COUNTIFS(Datos!$A$2:$A$5000,I$1,Datos!$B$2:$B$5000,$A201,Datos!$C$2:$C$5000,$B201,Datos!$D$2:$D$5000,I$2)=0,"",SUMIFS(Datos!$E$2:$E$5000,Datos!$A$2:$A$5000,I$1,Datos!$B$2:$B$5000,$A201,Datos!$C$2:$C$5000,$B201,Datos!$D$2:$D$5000,I$2))</f>
        <v/>
      </c>
      <c r="J201" s="9">
        <f>IF(COUNTIFS(Datos!$A$2:$A$5000,J$1,Datos!$B$2:$B$5000,$A201,Datos!$C$2:$C$5000,$B201,Datos!$D$2:$D$5000,J$2)=0,"",SUMIFS(Datos!$E$2:$E$5000,Datos!$A$2:$A$5000,J$1,Datos!$B$2:$B$5000,$A201,Datos!$C$2:$C$5000,$B201,Datos!$D$2:$D$5000,J$2))</f>
        <v/>
      </c>
    </row>
    <row r="202">
      <c r="A202" s="8" t="inlineStr">
        <is>
          <t>Honduras</t>
        </is>
      </c>
      <c r="B202" s="8" t="n">
        <v>1997</v>
      </c>
      <c r="C202" s="9">
        <f>IF(COUNTIFS(Datos!$A$2:$A$5000,C$1,Datos!$B$2:$B$5000,$A202,Datos!$C$2:$C$5000,$B202,Datos!$D$2:$D$5000,C$2)=0,"",SUMIFS(Datos!$E$2:$E$5000,Datos!$A$2:$A$5000,C$1,Datos!$B$2:$B$5000,$A202,Datos!$C$2:$C$5000,$B202,Datos!$D$2:$D$5000,C$2))</f>
        <v/>
      </c>
      <c r="D202" s="9">
        <f>IF(COUNTIFS(Datos!$A$2:$A$5000,D$1,Datos!$B$2:$B$5000,$A202,Datos!$C$2:$C$5000,$B202,Datos!$D$2:$D$5000,D$2)=0,"",SUMIFS(Datos!$E$2:$E$5000,Datos!$A$2:$A$5000,D$1,Datos!$B$2:$B$5000,$A202,Datos!$C$2:$C$5000,$B202,Datos!$D$2:$D$5000,D$2))</f>
        <v/>
      </c>
      <c r="E202" s="9">
        <f>IF(COUNTIFS(Datos!$A$2:$A$5000,E$1,Datos!$B$2:$B$5000,$A202,Datos!$C$2:$C$5000,$B202,Datos!$D$2:$D$5000,E$2)=0,"",SUMIFS(Datos!$E$2:$E$5000,Datos!$A$2:$A$5000,E$1,Datos!$B$2:$B$5000,$A202,Datos!$C$2:$C$5000,$B202,Datos!$D$2:$D$5000,E$2))</f>
        <v/>
      </c>
      <c r="F202" s="9">
        <f>IF(COUNTIFS(Datos!$A$2:$A$5000,F$1,Datos!$B$2:$B$5000,$A202,Datos!$C$2:$C$5000,$B202,Datos!$D$2:$D$5000,F$2)=0,"",SUMIFS(Datos!$E$2:$E$5000,Datos!$A$2:$A$5000,F$1,Datos!$B$2:$B$5000,$A202,Datos!$C$2:$C$5000,$B202,Datos!$D$2:$D$5000,F$2))</f>
        <v/>
      </c>
      <c r="G202" s="9">
        <f>IF(COUNTIFS(Datos!$A$2:$A$5000,G$1,Datos!$B$2:$B$5000,$A202,Datos!$C$2:$C$5000,$B202,Datos!$D$2:$D$5000,G$2)=0,"",SUMIFS(Datos!$E$2:$E$5000,Datos!$A$2:$A$5000,G$1,Datos!$B$2:$B$5000,$A202,Datos!$C$2:$C$5000,$B202,Datos!$D$2:$D$5000,G$2))</f>
        <v/>
      </c>
      <c r="H202" s="9">
        <f>IF(COUNTIFS(Datos!$A$2:$A$5000,H$1,Datos!$B$2:$B$5000,$A202,Datos!$C$2:$C$5000,$B202,Datos!$D$2:$D$5000,H$2)=0,"",SUMIFS(Datos!$E$2:$E$5000,Datos!$A$2:$A$5000,H$1,Datos!$B$2:$B$5000,$A202,Datos!$C$2:$C$5000,$B202,Datos!$D$2:$D$5000,H$2))</f>
        <v/>
      </c>
      <c r="I202" s="9">
        <f>IF(COUNTIFS(Datos!$A$2:$A$5000,I$1,Datos!$B$2:$B$5000,$A202,Datos!$C$2:$C$5000,$B202,Datos!$D$2:$D$5000,I$2)=0,"",SUMIFS(Datos!$E$2:$E$5000,Datos!$A$2:$A$5000,I$1,Datos!$B$2:$B$5000,$A202,Datos!$C$2:$C$5000,$B202,Datos!$D$2:$D$5000,I$2))</f>
        <v/>
      </c>
      <c r="J202" s="9">
        <f>IF(COUNTIFS(Datos!$A$2:$A$5000,J$1,Datos!$B$2:$B$5000,$A202,Datos!$C$2:$C$5000,$B202,Datos!$D$2:$D$5000,J$2)=0,"",SUMIFS(Datos!$E$2:$E$5000,Datos!$A$2:$A$5000,J$1,Datos!$B$2:$B$5000,$A202,Datos!$C$2:$C$5000,$B202,Datos!$D$2:$D$5000,J$2))</f>
        <v/>
      </c>
    </row>
    <row r="203">
      <c r="A203" s="8" t="inlineStr">
        <is>
          <t>Honduras</t>
        </is>
      </c>
      <c r="B203" s="8" t="n">
        <v>1998</v>
      </c>
      <c r="C203" s="9">
        <f>IF(COUNTIFS(Datos!$A$2:$A$5000,C$1,Datos!$B$2:$B$5000,$A203,Datos!$C$2:$C$5000,$B203,Datos!$D$2:$D$5000,C$2)=0,"",SUMIFS(Datos!$E$2:$E$5000,Datos!$A$2:$A$5000,C$1,Datos!$B$2:$B$5000,$A203,Datos!$C$2:$C$5000,$B203,Datos!$D$2:$D$5000,C$2))</f>
        <v/>
      </c>
      <c r="D203" s="9">
        <f>IF(COUNTIFS(Datos!$A$2:$A$5000,D$1,Datos!$B$2:$B$5000,$A203,Datos!$C$2:$C$5000,$B203,Datos!$D$2:$D$5000,D$2)=0,"",SUMIFS(Datos!$E$2:$E$5000,Datos!$A$2:$A$5000,D$1,Datos!$B$2:$B$5000,$A203,Datos!$C$2:$C$5000,$B203,Datos!$D$2:$D$5000,D$2))</f>
        <v/>
      </c>
      <c r="E203" s="9">
        <f>IF(COUNTIFS(Datos!$A$2:$A$5000,E$1,Datos!$B$2:$B$5000,$A203,Datos!$C$2:$C$5000,$B203,Datos!$D$2:$D$5000,E$2)=0,"",SUMIFS(Datos!$E$2:$E$5000,Datos!$A$2:$A$5000,E$1,Datos!$B$2:$B$5000,$A203,Datos!$C$2:$C$5000,$B203,Datos!$D$2:$D$5000,E$2))</f>
        <v/>
      </c>
      <c r="F203" s="9">
        <f>IF(COUNTIFS(Datos!$A$2:$A$5000,F$1,Datos!$B$2:$B$5000,$A203,Datos!$C$2:$C$5000,$B203,Datos!$D$2:$D$5000,F$2)=0,"",SUMIFS(Datos!$E$2:$E$5000,Datos!$A$2:$A$5000,F$1,Datos!$B$2:$B$5000,$A203,Datos!$C$2:$C$5000,$B203,Datos!$D$2:$D$5000,F$2))</f>
        <v/>
      </c>
      <c r="G203" s="9">
        <f>IF(COUNTIFS(Datos!$A$2:$A$5000,G$1,Datos!$B$2:$B$5000,$A203,Datos!$C$2:$C$5000,$B203,Datos!$D$2:$D$5000,G$2)=0,"",SUMIFS(Datos!$E$2:$E$5000,Datos!$A$2:$A$5000,G$1,Datos!$B$2:$B$5000,$A203,Datos!$C$2:$C$5000,$B203,Datos!$D$2:$D$5000,G$2))</f>
        <v/>
      </c>
      <c r="H203" s="9">
        <f>IF(COUNTIFS(Datos!$A$2:$A$5000,H$1,Datos!$B$2:$B$5000,$A203,Datos!$C$2:$C$5000,$B203,Datos!$D$2:$D$5000,H$2)=0,"",SUMIFS(Datos!$E$2:$E$5000,Datos!$A$2:$A$5000,H$1,Datos!$B$2:$B$5000,$A203,Datos!$C$2:$C$5000,$B203,Datos!$D$2:$D$5000,H$2))</f>
        <v/>
      </c>
      <c r="I203" s="9">
        <f>IF(COUNTIFS(Datos!$A$2:$A$5000,I$1,Datos!$B$2:$B$5000,$A203,Datos!$C$2:$C$5000,$B203,Datos!$D$2:$D$5000,I$2)=0,"",SUMIFS(Datos!$E$2:$E$5000,Datos!$A$2:$A$5000,I$1,Datos!$B$2:$B$5000,$A203,Datos!$C$2:$C$5000,$B203,Datos!$D$2:$D$5000,I$2))</f>
        <v/>
      </c>
      <c r="J203" s="9">
        <f>IF(COUNTIFS(Datos!$A$2:$A$5000,J$1,Datos!$B$2:$B$5000,$A203,Datos!$C$2:$C$5000,$B203,Datos!$D$2:$D$5000,J$2)=0,"",SUMIFS(Datos!$E$2:$E$5000,Datos!$A$2:$A$5000,J$1,Datos!$B$2:$B$5000,$A203,Datos!$C$2:$C$5000,$B203,Datos!$D$2:$D$5000,J$2))</f>
        <v/>
      </c>
    </row>
    <row r="204">
      <c r="A204" s="8" t="inlineStr">
        <is>
          <t>Honduras</t>
        </is>
      </c>
      <c r="B204" s="8" t="n">
        <v>2000</v>
      </c>
      <c r="C204" s="9">
        <f>IF(COUNTIFS(Datos!$A$2:$A$5000,C$1,Datos!$B$2:$B$5000,$A204,Datos!$C$2:$C$5000,$B204,Datos!$D$2:$D$5000,C$2)=0,"",SUMIFS(Datos!$E$2:$E$5000,Datos!$A$2:$A$5000,C$1,Datos!$B$2:$B$5000,$A204,Datos!$C$2:$C$5000,$B204,Datos!$D$2:$D$5000,C$2))</f>
        <v/>
      </c>
      <c r="D204" s="9">
        <f>IF(COUNTIFS(Datos!$A$2:$A$5000,D$1,Datos!$B$2:$B$5000,$A204,Datos!$C$2:$C$5000,$B204,Datos!$D$2:$D$5000,D$2)=0,"",SUMIFS(Datos!$E$2:$E$5000,Datos!$A$2:$A$5000,D$1,Datos!$B$2:$B$5000,$A204,Datos!$C$2:$C$5000,$B204,Datos!$D$2:$D$5000,D$2))</f>
        <v/>
      </c>
      <c r="E204" s="9">
        <f>IF(COUNTIFS(Datos!$A$2:$A$5000,E$1,Datos!$B$2:$B$5000,$A204,Datos!$C$2:$C$5000,$B204,Datos!$D$2:$D$5000,E$2)=0,"",SUMIFS(Datos!$E$2:$E$5000,Datos!$A$2:$A$5000,E$1,Datos!$B$2:$B$5000,$A204,Datos!$C$2:$C$5000,$B204,Datos!$D$2:$D$5000,E$2))</f>
        <v/>
      </c>
      <c r="F204" s="9">
        <f>IF(COUNTIFS(Datos!$A$2:$A$5000,F$1,Datos!$B$2:$B$5000,$A204,Datos!$C$2:$C$5000,$B204,Datos!$D$2:$D$5000,F$2)=0,"",SUMIFS(Datos!$E$2:$E$5000,Datos!$A$2:$A$5000,F$1,Datos!$B$2:$B$5000,$A204,Datos!$C$2:$C$5000,$B204,Datos!$D$2:$D$5000,F$2))</f>
        <v/>
      </c>
      <c r="G204" s="9">
        <f>IF(COUNTIFS(Datos!$A$2:$A$5000,G$1,Datos!$B$2:$B$5000,$A204,Datos!$C$2:$C$5000,$B204,Datos!$D$2:$D$5000,G$2)=0,"",SUMIFS(Datos!$E$2:$E$5000,Datos!$A$2:$A$5000,G$1,Datos!$B$2:$B$5000,$A204,Datos!$C$2:$C$5000,$B204,Datos!$D$2:$D$5000,G$2))</f>
        <v/>
      </c>
      <c r="H204" s="9">
        <f>IF(COUNTIFS(Datos!$A$2:$A$5000,H$1,Datos!$B$2:$B$5000,$A204,Datos!$C$2:$C$5000,$B204,Datos!$D$2:$D$5000,H$2)=0,"",SUMIFS(Datos!$E$2:$E$5000,Datos!$A$2:$A$5000,H$1,Datos!$B$2:$B$5000,$A204,Datos!$C$2:$C$5000,$B204,Datos!$D$2:$D$5000,H$2))</f>
        <v/>
      </c>
      <c r="I204" s="9">
        <f>IF(COUNTIFS(Datos!$A$2:$A$5000,I$1,Datos!$B$2:$B$5000,$A204,Datos!$C$2:$C$5000,$B204,Datos!$D$2:$D$5000,I$2)=0,"",SUMIFS(Datos!$E$2:$E$5000,Datos!$A$2:$A$5000,I$1,Datos!$B$2:$B$5000,$A204,Datos!$C$2:$C$5000,$B204,Datos!$D$2:$D$5000,I$2))</f>
        <v/>
      </c>
      <c r="J204" s="9">
        <f>IF(COUNTIFS(Datos!$A$2:$A$5000,J$1,Datos!$B$2:$B$5000,$A204,Datos!$C$2:$C$5000,$B204,Datos!$D$2:$D$5000,J$2)=0,"",SUMIFS(Datos!$E$2:$E$5000,Datos!$A$2:$A$5000,J$1,Datos!$B$2:$B$5000,$A204,Datos!$C$2:$C$5000,$B204,Datos!$D$2:$D$5000,J$2))</f>
        <v/>
      </c>
    </row>
    <row r="205">
      <c r="A205" s="8" t="inlineStr">
        <is>
          <t>Honduras</t>
        </is>
      </c>
      <c r="B205" s="8" t="n">
        <v>2001</v>
      </c>
      <c r="C205" s="9">
        <f>IF(COUNTIFS(Datos!$A$2:$A$5000,C$1,Datos!$B$2:$B$5000,$A205,Datos!$C$2:$C$5000,$B205,Datos!$D$2:$D$5000,C$2)=0,"",SUMIFS(Datos!$E$2:$E$5000,Datos!$A$2:$A$5000,C$1,Datos!$B$2:$B$5000,$A205,Datos!$C$2:$C$5000,$B205,Datos!$D$2:$D$5000,C$2))</f>
        <v/>
      </c>
      <c r="D205" s="9">
        <f>IF(COUNTIFS(Datos!$A$2:$A$5000,D$1,Datos!$B$2:$B$5000,$A205,Datos!$C$2:$C$5000,$B205,Datos!$D$2:$D$5000,D$2)=0,"",SUMIFS(Datos!$E$2:$E$5000,Datos!$A$2:$A$5000,D$1,Datos!$B$2:$B$5000,$A205,Datos!$C$2:$C$5000,$B205,Datos!$D$2:$D$5000,D$2))</f>
        <v/>
      </c>
      <c r="E205" s="9">
        <f>IF(COUNTIFS(Datos!$A$2:$A$5000,E$1,Datos!$B$2:$B$5000,$A205,Datos!$C$2:$C$5000,$B205,Datos!$D$2:$D$5000,E$2)=0,"",SUMIFS(Datos!$E$2:$E$5000,Datos!$A$2:$A$5000,E$1,Datos!$B$2:$B$5000,$A205,Datos!$C$2:$C$5000,$B205,Datos!$D$2:$D$5000,E$2))</f>
        <v/>
      </c>
      <c r="F205" s="9">
        <f>IF(COUNTIFS(Datos!$A$2:$A$5000,F$1,Datos!$B$2:$B$5000,$A205,Datos!$C$2:$C$5000,$B205,Datos!$D$2:$D$5000,F$2)=0,"",SUMIFS(Datos!$E$2:$E$5000,Datos!$A$2:$A$5000,F$1,Datos!$B$2:$B$5000,$A205,Datos!$C$2:$C$5000,$B205,Datos!$D$2:$D$5000,F$2))</f>
        <v/>
      </c>
      <c r="G205" s="9">
        <f>IF(COUNTIFS(Datos!$A$2:$A$5000,G$1,Datos!$B$2:$B$5000,$A205,Datos!$C$2:$C$5000,$B205,Datos!$D$2:$D$5000,G$2)=0,"",SUMIFS(Datos!$E$2:$E$5000,Datos!$A$2:$A$5000,G$1,Datos!$B$2:$B$5000,$A205,Datos!$C$2:$C$5000,$B205,Datos!$D$2:$D$5000,G$2))</f>
        <v/>
      </c>
      <c r="H205" s="9">
        <f>IF(COUNTIFS(Datos!$A$2:$A$5000,H$1,Datos!$B$2:$B$5000,$A205,Datos!$C$2:$C$5000,$B205,Datos!$D$2:$D$5000,H$2)=0,"",SUMIFS(Datos!$E$2:$E$5000,Datos!$A$2:$A$5000,H$1,Datos!$B$2:$B$5000,$A205,Datos!$C$2:$C$5000,$B205,Datos!$D$2:$D$5000,H$2))</f>
        <v/>
      </c>
      <c r="I205" s="9">
        <f>IF(COUNTIFS(Datos!$A$2:$A$5000,I$1,Datos!$B$2:$B$5000,$A205,Datos!$C$2:$C$5000,$B205,Datos!$D$2:$D$5000,I$2)=0,"",SUMIFS(Datos!$E$2:$E$5000,Datos!$A$2:$A$5000,I$1,Datos!$B$2:$B$5000,$A205,Datos!$C$2:$C$5000,$B205,Datos!$D$2:$D$5000,I$2))</f>
        <v/>
      </c>
      <c r="J205" s="9">
        <f>IF(COUNTIFS(Datos!$A$2:$A$5000,J$1,Datos!$B$2:$B$5000,$A205,Datos!$C$2:$C$5000,$B205,Datos!$D$2:$D$5000,J$2)=0,"",SUMIFS(Datos!$E$2:$E$5000,Datos!$A$2:$A$5000,J$1,Datos!$B$2:$B$5000,$A205,Datos!$C$2:$C$5000,$B205,Datos!$D$2:$D$5000,J$2))</f>
        <v/>
      </c>
    </row>
    <row r="206">
      <c r="A206" s="8" t="inlineStr">
        <is>
          <t>Honduras</t>
        </is>
      </c>
      <c r="B206" s="8" t="n">
        <v>2002</v>
      </c>
      <c r="C206" s="9">
        <f>IF(COUNTIFS(Datos!$A$2:$A$5000,C$1,Datos!$B$2:$B$5000,$A206,Datos!$C$2:$C$5000,$B206,Datos!$D$2:$D$5000,C$2)=0,"",SUMIFS(Datos!$E$2:$E$5000,Datos!$A$2:$A$5000,C$1,Datos!$B$2:$B$5000,$A206,Datos!$C$2:$C$5000,$B206,Datos!$D$2:$D$5000,C$2))</f>
        <v/>
      </c>
      <c r="D206" s="9">
        <f>IF(COUNTIFS(Datos!$A$2:$A$5000,D$1,Datos!$B$2:$B$5000,$A206,Datos!$C$2:$C$5000,$B206,Datos!$D$2:$D$5000,D$2)=0,"",SUMIFS(Datos!$E$2:$E$5000,Datos!$A$2:$A$5000,D$1,Datos!$B$2:$B$5000,$A206,Datos!$C$2:$C$5000,$B206,Datos!$D$2:$D$5000,D$2))</f>
        <v/>
      </c>
      <c r="E206" s="9">
        <f>IF(COUNTIFS(Datos!$A$2:$A$5000,E$1,Datos!$B$2:$B$5000,$A206,Datos!$C$2:$C$5000,$B206,Datos!$D$2:$D$5000,E$2)=0,"",SUMIFS(Datos!$E$2:$E$5000,Datos!$A$2:$A$5000,E$1,Datos!$B$2:$B$5000,$A206,Datos!$C$2:$C$5000,$B206,Datos!$D$2:$D$5000,E$2))</f>
        <v/>
      </c>
      <c r="F206" s="9">
        <f>IF(COUNTIFS(Datos!$A$2:$A$5000,F$1,Datos!$B$2:$B$5000,$A206,Datos!$C$2:$C$5000,$B206,Datos!$D$2:$D$5000,F$2)=0,"",SUMIFS(Datos!$E$2:$E$5000,Datos!$A$2:$A$5000,F$1,Datos!$B$2:$B$5000,$A206,Datos!$C$2:$C$5000,$B206,Datos!$D$2:$D$5000,F$2))</f>
        <v/>
      </c>
      <c r="G206" s="9">
        <f>IF(COUNTIFS(Datos!$A$2:$A$5000,G$1,Datos!$B$2:$B$5000,$A206,Datos!$C$2:$C$5000,$B206,Datos!$D$2:$D$5000,G$2)=0,"",SUMIFS(Datos!$E$2:$E$5000,Datos!$A$2:$A$5000,G$1,Datos!$B$2:$B$5000,$A206,Datos!$C$2:$C$5000,$B206,Datos!$D$2:$D$5000,G$2))</f>
        <v/>
      </c>
      <c r="H206" s="9">
        <f>IF(COUNTIFS(Datos!$A$2:$A$5000,H$1,Datos!$B$2:$B$5000,$A206,Datos!$C$2:$C$5000,$B206,Datos!$D$2:$D$5000,H$2)=0,"",SUMIFS(Datos!$E$2:$E$5000,Datos!$A$2:$A$5000,H$1,Datos!$B$2:$B$5000,$A206,Datos!$C$2:$C$5000,$B206,Datos!$D$2:$D$5000,H$2))</f>
        <v/>
      </c>
      <c r="I206" s="9">
        <f>IF(COUNTIFS(Datos!$A$2:$A$5000,I$1,Datos!$B$2:$B$5000,$A206,Datos!$C$2:$C$5000,$B206,Datos!$D$2:$D$5000,I$2)=0,"",SUMIFS(Datos!$E$2:$E$5000,Datos!$A$2:$A$5000,I$1,Datos!$B$2:$B$5000,$A206,Datos!$C$2:$C$5000,$B206,Datos!$D$2:$D$5000,I$2))</f>
        <v/>
      </c>
      <c r="J206" s="9">
        <f>IF(COUNTIFS(Datos!$A$2:$A$5000,J$1,Datos!$B$2:$B$5000,$A206,Datos!$C$2:$C$5000,$B206,Datos!$D$2:$D$5000,J$2)=0,"",SUMIFS(Datos!$E$2:$E$5000,Datos!$A$2:$A$5000,J$1,Datos!$B$2:$B$5000,$A206,Datos!$C$2:$C$5000,$B206,Datos!$D$2:$D$5000,J$2))</f>
        <v/>
      </c>
    </row>
    <row r="207">
      <c r="A207" s="8" t="inlineStr">
        <is>
          <t>Honduras</t>
        </is>
      </c>
      <c r="B207" s="8" t="n">
        <v>2003</v>
      </c>
      <c r="C207" s="9">
        <f>IF(COUNTIFS(Datos!$A$2:$A$5000,C$1,Datos!$B$2:$B$5000,$A207,Datos!$C$2:$C$5000,$B207,Datos!$D$2:$D$5000,C$2)=0,"",SUMIFS(Datos!$E$2:$E$5000,Datos!$A$2:$A$5000,C$1,Datos!$B$2:$B$5000,$A207,Datos!$C$2:$C$5000,$B207,Datos!$D$2:$D$5000,C$2))</f>
        <v/>
      </c>
      <c r="D207" s="9">
        <f>IF(COUNTIFS(Datos!$A$2:$A$5000,D$1,Datos!$B$2:$B$5000,$A207,Datos!$C$2:$C$5000,$B207,Datos!$D$2:$D$5000,D$2)=0,"",SUMIFS(Datos!$E$2:$E$5000,Datos!$A$2:$A$5000,D$1,Datos!$B$2:$B$5000,$A207,Datos!$C$2:$C$5000,$B207,Datos!$D$2:$D$5000,D$2))</f>
        <v/>
      </c>
      <c r="E207" s="9">
        <f>IF(COUNTIFS(Datos!$A$2:$A$5000,E$1,Datos!$B$2:$B$5000,$A207,Datos!$C$2:$C$5000,$B207,Datos!$D$2:$D$5000,E$2)=0,"",SUMIFS(Datos!$E$2:$E$5000,Datos!$A$2:$A$5000,E$1,Datos!$B$2:$B$5000,$A207,Datos!$C$2:$C$5000,$B207,Datos!$D$2:$D$5000,E$2))</f>
        <v/>
      </c>
      <c r="F207" s="9">
        <f>IF(COUNTIFS(Datos!$A$2:$A$5000,F$1,Datos!$B$2:$B$5000,$A207,Datos!$C$2:$C$5000,$B207,Datos!$D$2:$D$5000,F$2)=0,"",SUMIFS(Datos!$E$2:$E$5000,Datos!$A$2:$A$5000,F$1,Datos!$B$2:$B$5000,$A207,Datos!$C$2:$C$5000,$B207,Datos!$D$2:$D$5000,F$2))</f>
        <v/>
      </c>
      <c r="G207" s="9">
        <f>IF(COUNTIFS(Datos!$A$2:$A$5000,G$1,Datos!$B$2:$B$5000,$A207,Datos!$C$2:$C$5000,$B207,Datos!$D$2:$D$5000,G$2)=0,"",SUMIFS(Datos!$E$2:$E$5000,Datos!$A$2:$A$5000,G$1,Datos!$B$2:$B$5000,$A207,Datos!$C$2:$C$5000,$B207,Datos!$D$2:$D$5000,G$2))</f>
        <v/>
      </c>
      <c r="H207" s="9">
        <f>IF(COUNTIFS(Datos!$A$2:$A$5000,H$1,Datos!$B$2:$B$5000,$A207,Datos!$C$2:$C$5000,$B207,Datos!$D$2:$D$5000,H$2)=0,"",SUMIFS(Datos!$E$2:$E$5000,Datos!$A$2:$A$5000,H$1,Datos!$B$2:$B$5000,$A207,Datos!$C$2:$C$5000,$B207,Datos!$D$2:$D$5000,H$2))</f>
        <v/>
      </c>
      <c r="I207" s="9">
        <f>IF(COUNTIFS(Datos!$A$2:$A$5000,I$1,Datos!$B$2:$B$5000,$A207,Datos!$C$2:$C$5000,$B207,Datos!$D$2:$D$5000,I$2)=0,"",SUMIFS(Datos!$E$2:$E$5000,Datos!$A$2:$A$5000,I$1,Datos!$B$2:$B$5000,$A207,Datos!$C$2:$C$5000,$B207,Datos!$D$2:$D$5000,I$2))</f>
        <v/>
      </c>
      <c r="J207" s="9">
        <f>IF(COUNTIFS(Datos!$A$2:$A$5000,J$1,Datos!$B$2:$B$5000,$A207,Datos!$C$2:$C$5000,$B207,Datos!$D$2:$D$5000,J$2)=0,"",SUMIFS(Datos!$E$2:$E$5000,Datos!$A$2:$A$5000,J$1,Datos!$B$2:$B$5000,$A207,Datos!$C$2:$C$5000,$B207,Datos!$D$2:$D$5000,J$2))</f>
        <v/>
      </c>
    </row>
    <row r="208">
      <c r="A208" s="8" t="inlineStr">
        <is>
          <t>Honduras</t>
        </is>
      </c>
      <c r="B208" s="8" t="n">
        <v>2004</v>
      </c>
      <c r="C208" s="9">
        <f>IF(COUNTIFS(Datos!$A$2:$A$5000,C$1,Datos!$B$2:$B$5000,$A208,Datos!$C$2:$C$5000,$B208,Datos!$D$2:$D$5000,C$2)=0,"",SUMIFS(Datos!$E$2:$E$5000,Datos!$A$2:$A$5000,C$1,Datos!$B$2:$B$5000,$A208,Datos!$C$2:$C$5000,$B208,Datos!$D$2:$D$5000,C$2))</f>
        <v/>
      </c>
      <c r="D208" s="9">
        <f>IF(COUNTIFS(Datos!$A$2:$A$5000,D$1,Datos!$B$2:$B$5000,$A208,Datos!$C$2:$C$5000,$B208,Datos!$D$2:$D$5000,D$2)=0,"",SUMIFS(Datos!$E$2:$E$5000,Datos!$A$2:$A$5000,D$1,Datos!$B$2:$B$5000,$A208,Datos!$C$2:$C$5000,$B208,Datos!$D$2:$D$5000,D$2))</f>
        <v/>
      </c>
      <c r="E208" s="9">
        <f>IF(COUNTIFS(Datos!$A$2:$A$5000,E$1,Datos!$B$2:$B$5000,$A208,Datos!$C$2:$C$5000,$B208,Datos!$D$2:$D$5000,E$2)=0,"",SUMIFS(Datos!$E$2:$E$5000,Datos!$A$2:$A$5000,E$1,Datos!$B$2:$B$5000,$A208,Datos!$C$2:$C$5000,$B208,Datos!$D$2:$D$5000,E$2))</f>
        <v/>
      </c>
      <c r="F208" s="9">
        <f>IF(COUNTIFS(Datos!$A$2:$A$5000,F$1,Datos!$B$2:$B$5000,$A208,Datos!$C$2:$C$5000,$B208,Datos!$D$2:$D$5000,F$2)=0,"",SUMIFS(Datos!$E$2:$E$5000,Datos!$A$2:$A$5000,F$1,Datos!$B$2:$B$5000,$A208,Datos!$C$2:$C$5000,$B208,Datos!$D$2:$D$5000,F$2))</f>
        <v/>
      </c>
      <c r="G208" s="9">
        <f>IF(COUNTIFS(Datos!$A$2:$A$5000,G$1,Datos!$B$2:$B$5000,$A208,Datos!$C$2:$C$5000,$B208,Datos!$D$2:$D$5000,G$2)=0,"",SUMIFS(Datos!$E$2:$E$5000,Datos!$A$2:$A$5000,G$1,Datos!$B$2:$B$5000,$A208,Datos!$C$2:$C$5000,$B208,Datos!$D$2:$D$5000,G$2))</f>
        <v/>
      </c>
      <c r="H208" s="9">
        <f>IF(COUNTIFS(Datos!$A$2:$A$5000,H$1,Datos!$B$2:$B$5000,$A208,Datos!$C$2:$C$5000,$B208,Datos!$D$2:$D$5000,H$2)=0,"",SUMIFS(Datos!$E$2:$E$5000,Datos!$A$2:$A$5000,H$1,Datos!$B$2:$B$5000,$A208,Datos!$C$2:$C$5000,$B208,Datos!$D$2:$D$5000,H$2))</f>
        <v/>
      </c>
      <c r="I208" s="9">
        <f>IF(COUNTIFS(Datos!$A$2:$A$5000,I$1,Datos!$B$2:$B$5000,$A208,Datos!$C$2:$C$5000,$B208,Datos!$D$2:$D$5000,I$2)=0,"",SUMIFS(Datos!$E$2:$E$5000,Datos!$A$2:$A$5000,I$1,Datos!$B$2:$B$5000,$A208,Datos!$C$2:$C$5000,$B208,Datos!$D$2:$D$5000,I$2))</f>
        <v/>
      </c>
      <c r="J208" s="9">
        <f>IF(COUNTIFS(Datos!$A$2:$A$5000,J$1,Datos!$B$2:$B$5000,$A208,Datos!$C$2:$C$5000,$B208,Datos!$D$2:$D$5000,J$2)=0,"",SUMIFS(Datos!$E$2:$E$5000,Datos!$A$2:$A$5000,J$1,Datos!$B$2:$B$5000,$A208,Datos!$C$2:$C$5000,$B208,Datos!$D$2:$D$5000,J$2))</f>
        <v/>
      </c>
    </row>
    <row r="209">
      <c r="A209" s="8" t="inlineStr">
        <is>
          <t>Honduras</t>
        </is>
      </c>
      <c r="B209" s="8" t="n">
        <v>2005</v>
      </c>
      <c r="C209" s="9">
        <f>IF(COUNTIFS(Datos!$A$2:$A$5000,C$1,Datos!$B$2:$B$5000,$A209,Datos!$C$2:$C$5000,$B209,Datos!$D$2:$D$5000,C$2)=0,"",SUMIFS(Datos!$E$2:$E$5000,Datos!$A$2:$A$5000,C$1,Datos!$B$2:$B$5000,$A209,Datos!$C$2:$C$5000,$B209,Datos!$D$2:$D$5000,C$2))</f>
        <v/>
      </c>
      <c r="D209" s="9">
        <f>IF(COUNTIFS(Datos!$A$2:$A$5000,D$1,Datos!$B$2:$B$5000,$A209,Datos!$C$2:$C$5000,$B209,Datos!$D$2:$D$5000,D$2)=0,"",SUMIFS(Datos!$E$2:$E$5000,Datos!$A$2:$A$5000,D$1,Datos!$B$2:$B$5000,$A209,Datos!$C$2:$C$5000,$B209,Datos!$D$2:$D$5000,D$2))</f>
        <v/>
      </c>
      <c r="E209" s="9">
        <f>IF(COUNTIFS(Datos!$A$2:$A$5000,E$1,Datos!$B$2:$B$5000,$A209,Datos!$C$2:$C$5000,$B209,Datos!$D$2:$D$5000,E$2)=0,"",SUMIFS(Datos!$E$2:$E$5000,Datos!$A$2:$A$5000,E$1,Datos!$B$2:$B$5000,$A209,Datos!$C$2:$C$5000,$B209,Datos!$D$2:$D$5000,E$2))</f>
        <v/>
      </c>
      <c r="F209" s="9">
        <f>IF(COUNTIFS(Datos!$A$2:$A$5000,F$1,Datos!$B$2:$B$5000,$A209,Datos!$C$2:$C$5000,$B209,Datos!$D$2:$D$5000,F$2)=0,"",SUMIFS(Datos!$E$2:$E$5000,Datos!$A$2:$A$5000,F$1,Datos!$B$2:$B$5000,$A209,Datos!$C$2:$C$5000,$B209,Datos!$D$2:$D$5000,F$2))</f>
        <v/>
      </c>
      <c r="G209" s="9">
        <f>IF(COUNTIFS(Datos!$A$2:$A$5000,G$1,Datos!$B$2:$B$5000,$A209,Datos!$C$2:$C$5000,$B209,Datos!$D$2:$D$5000,G$2)=0,"",SUMIFS(Datos!$E$2:$E$5000,Datos!$A$2:$A$5000,G$1,Datos!$B$2:$B$5000,$A209,Datos!$C$2:$C$5000,$B209,Datos!$D$2:$D$5000,G$2))</f>
        <v/>
      </c>
      <c r="H209" s="9">
        <f>IF(COUNTIFS(Datos!$A$2:$A$5000,H$1,Datos!$B$2:$B$5000,$A209,Datos!$C$2:$C$5000,$B209,Datos!$D$2:$D$5000,H$2)=0,"",SUMIFS(Datos!$E$2:$E$5000,Datos!$A$2:$A$5000,H$1,Datos!$B$2:$B$5000,$A209,Datos!$C$2:$C$5000,$B209,Datos!$D$2:$D$5000,H$2))</f>
        <v/>
      </c>
      <c r="I209" s="9">
        <f>IF(COUNTIFS(Datos!$A$2:$A$5000,I$1,Datos!$B$2:$B$5000,$A209,Datos!$C$2:$C$5000,$B209,Datos!$D$2:$D$5000,I$2)=0,"",SUMIFS(Datos!$E$2:$E$5000,Datos!$A$2:$A$5000,I$1,Datos!$B$2:$B$5000,$A209,Datos!$C$2:$C$5000,$B209,Datos!$D$2:$D$5000,I$2))</f>
        <v/>
      </c>
      <c r="J209" s="9">
        <f>IF(COUNTIFS(Datos!$A$2:$A$5000,J$1,Datos!$B$2:$B$5000,$A209,Datos!$C$2:$C$5000,$B209,Datos!$D$2:$D$5000,J$2)=0,"",SUMIFS(Datos!$E$2:$E$5000,Datos!$A$2:$A$5000,J$1,Datos!$B$2:$B$5000,$A209,Datos!$C$2:$C$5000,$B209,Datos!$D$2:$D$5000,J$2))</f>
        <v/>
      </c>
    </row>
    <row r="210">
      <c r="A210" s="8" t="inlineStr">
        <is>
          <t>Honduras</t>
        </is>
      </c>
      <c r="B210" s="8" t="n">
        <v>2006</v>
      </c>
      <c r="C210" s="9">
        <f>IF(COUNTIFS(Datos!$A$2:$A$5000,C$1,Datos!$B$2:$B$5000,$A210,Datos!$C$2:$C$5000,$B210,Datos!$D$2:$D$5000,C$2)=0,"",SUMIFS(Datos!$E$2:$E$5000,Datos!$A$2:$A$5000,C$1,Datos!$B$2:$B$5000,$A210,Datos!$C$2:$C$5000,$B210,Datos!$D$2:$D$5000,C$2))</f>
        <v/>
      </c>
      <c r="D210" s="9">
        <f>IF(COUNTIFS(Datos!$A$2:$A$5000,D$1,Datos!$B$2:$B$5000,$A210,Datos!$C$2:$C$5000,$B210,Datos!$D$2:$D$5000,D$2)=0,"",SUMIFS(Datos!$E$2:$E$5000,Datos!$A$2:$A$5000,D$1,Datos!$B$2:$B$5000,$A210,Datos!$C$2:$C$5000,$B210,Datos!$D$2:$D$5000,D$2))</f>
        <v/>
      </c>
      <c r="E210" s="9">
        <f>IF(COUNTIFS(Datos!$A$2:$A$5000,E$1,Datos!$B$2:$B$5000,$A210,Datos!$C$2:$C$5000,$B210,Datos!$D$2:$D$5000,E$2)=0,"",SUMIFS(Datos!$E$2:$E$5000,Datos!$A$2:$A$5000,E$1,Datos!$B$2:$B$5000,$A210,Datos!$C$2:$C$5000,$B210,Datos!$D$2:$D$5000,E$2))</f>
        <v/>
      </c>
      <c r="F210" s="9">
        <f>IF(COUNTIFS(Datos!$A$2:$A$5000,F$1,Datos!$B$2:$B$5000,$A210,Datos!$C$2:$C$5000,$B210,Datos!$D$2:$D$5000,F$2)=0,"",SUMIFS(Datos!$E$2:$E$5000,Datos!$A$2:$A$5000,F$1,Datos!$B$2:$B$5000,$A210,Datos!$C$2:$C$5000,$B210,Datos!$D$2:$D$5000,F$2))</f>
        <v/>
      </c>
      <c r="G210" s="9">
        <f>IF(COUNTIFS(Datos!$A$2:$A$5000,G$1,Datos!$B$2:$B$5000,$A210,Datos!$C$2:$C$5000,$B210,Datos!$D$2:$D$5000,G$2)=0,"",SUMIFS(Datos!$E$2:$E$5000,Datos!$A$2:$A$5000,G$1,Datos!$B$2:$B$5000,$A210,Datos!$C$2:$C$5000,$B210,Datos!$D$2:$D$5000,G$2))</f>
        <v/>
      </c>
      <c r="H210" s="9">
        <f>IF(COUNTIFS(Datos!$A$2:$A$5000,H$1,Datos!$B$2:$B$5000,$A210,Datos!$C$2:$C$5000,$B210,Datos!$D$2:$D$5000,H$2)=0,"",SUMIFS(Datos!$E$2:$E$5000,Datos!$A$2:$A$5000,H$1,Datos!$B$2:$B$5000,$A210,Datos!$C$2:$C$5000,$B210,Datos!$D$2:$D$5000,H$2))</f>
        <v/>
      </c>
      <c r="I210" s="9">
        <f>IF(COUNTIFS(Datos!$A$2:$A$5000,I$1,Datos!$B$2:$B$5000,$A210,Datos!$C$2:$C$5000,$B210,Datos!$D$2:$D$5000,I$2)=0,"",SUMIFS(Datos!$E$2:$E$5000,Datos!$A$2:$A$5000,I$1,Datos!$B$2:$B$5000,$A210,Datos!$C$2:$C$5000,$B210,Datos!$D$2:$D$5000,I$2))</f>
        <v/>
      </c>
      <c r="J210" s="9">
        <f>IF(COUNTIFS(Datos!$A$2:$A$5000,J$1,Datos!$B$2:$B$5000,$A210,Datos!$C$2:$C$5000,$B210,Datos!$D$2:$D$5000,J$2)=0,"",SUMIFS(Datos!$E$2:$E$5000,Datos!$A$2:$A$5000,J$1,Datos!$B$2:$B$5000,$A210,Datos!$C$2:$C$5000,$B210,Datos!$D$2:$D$5000,J$2))</f>
        <v/>
      </c>
    </row>
    <row r="211">
      <c r="A211" s="8" t="inlineStr">
        <is>
          <t>Honduras</t>
        </is>
      </c>
      <c r="B211" s="8" t="n">
        <v>2007</v>
      </c>
      <c r="C211" s="9">
        <f>IF(COUNTIFS(Datos!$A$2:$A$5000,C$1,Datos!$B$2:$B$5000,$A211,Datos!$C$2:$C$5000,$B211,Datos!$D$2:$D$5000,C$2)=0,"",SUMIFS(Datos!$E$2:$E$5000,Datos!$A$2:$A$5000,C$1,Datos!$B$2:$B$5000,$A211,Datos!$C$2:$C$5000,$B211,Datos!$D$2:$D$5000,C$2))</f>
        <v/>
      </c>
      <c r="D211" s="9">
        <f>IF(COUNTIFS(Datos!$A$2:$A$5000,D$1,Datos!$B$2:$B$5000,$A211,Datos!$C$2:$C$5000,$B211,Datos!$D$2:$D$5000,D$2)=0,"",SUMIFS(Datos!$E$2:$E$5000,Datos!$A$2:$A$5000,D$1,Datos!$B$2:$B$5000,$A211,Datos!$C$2:$C$5000,$B211,Datos!$D$2:$D$5000,D$2))</f>
        <v/>
      </c>
      <c r="E211" s="9">
        <f>IF(COUNTIFS(Datos!$A$2:$A$5000,E$1,Datos!$B$2:$B$5000,$A211,Datos!$C$2:$C$5000,$B211,Datos!$D$2:$D$5000,E$2)=0,"",SUMIFS(Datos!$E$2:$E$5000,Datos!$A$2:$A$5000,E$1,Datos!$B$2:$B$5000,$A211,Datos!$C$2:$C$5000,$B211,Datos!$D$2:$D$5000,E$2))</f>
        <v/>
      </c>
      <c r="F211" s="9">
        <f>IF(COUNTIFS(Datos!$A$2:$A$5000,F$1,Datos!$B$2:$B$5000,$A211,Datos!$C$2:$C$5000,$B211,Datos!$D$2:$D$5000,F$2)=0,"",SUMIFS(Datos!$E$2:$E$5000,Datos!$A$2:$A$5000,F$1,Datos!$B$2:$B$5000,$A211,Datos!$C$2:$C$5000,$B211,Datos!$D$2:$D$5000,F$2))</f>
        <v/>
      </c>
      <c r="G211" s="9">
        <f>IF(COUNTIFS(Datos!$A$2:$A$5000,G$1,Datos!$B$2:$B$5000,$A211,Datos!$C$2:$C$5000,$B211,Datos!$D$2:$D$5000,G$2)=0,"",SUMIFS(Datos!$E$2:$E$5000,Datos!$A$2:$A$5000,G$1,Datos!$B$2:$B$5000,$A211,Datos!$C$2:$C$5000,$B211,Datos!$D$2:$D$5000,G$2))</f>
        <v/>
      </c>
      <c r="H211" s="9">
        <f>IF(COUNTIFS(Datos!$A$2:$A$5000,H$1,Datos!$B$2:$B$5000,$A211,Datos!$C$2:$C$5000,$B211,Datos!$D$2:$D$5000,H$2)=0,"",SUMIFS(Datos!$E$2:$E$5000,Datos!$A$2:$A$5000,H$1,Datos!$B$2:$B$5000,$A211,Datos!$C$2:$C$5000,$B211,Datos!$D$2:$D$5000,H$2))</f>
        <v/>
      </c>
      <c r="I211" s="9">
        <f>IF(COUNTIFS(Datos!$A$2:$A$5000,I$1,Datos!$B$2:$B$5000,$A211,Datos!$C$2:$C$5000,$B211,Datos!$D$2:$D$5000,I$2)=0,"",SUMIFS(Datos!$E$2:$E$5000,Datos!$A$2:$A$5000,I$1,Datos!$B$2:$B$5000,$A211,Datos!$C$2:$C$5000,$B211,Datos!$D$2:$D$5000,I$2))</f>
        <v/>
      </c>
      <c r="J211" s="9">
        <f>IF(COUNTIFS(Datos!$A$2:$A$5000,J$1,Datos!$B$2:$B$5000,$A211,Datos!$C$2:$C$5000,$B211,Datos!$D$2:$D$5000,J$2)=0,"",SUMIFS(Datos!$E$2:$E$5000,Datos!$A$2:$A$5000,J$1,Datos!$B$2:$B$5000,$A211,Datos!$C$2:$C$5000,$B211,Datos!$D$2:$D$5000,J$2))</f>
        <v/>
      </c>
    </row>
    <row r="212">
      <c r="A212" s="8" t="inlineStr">
        <is>
          <t>Honduras</t>
        </is>
      </c>
      <c r="B212" s="8" t="n">
        <v>2008</v>
      </c>
      <c r="C212" s="9">
        <f>IF(COUNTIFS(Datos!$A$2:$A$5000,C$1,Datos!$B$2:$B$5000,$A212,Datos!$C$2:$C$5000,$B212,Datos!$D$2:$D$5000,C$2)=0,"",SUMIFS(Datos!$E$2:$E$5000,Datos!$A$2:$A$5000,C$1,Datos!$B$2:$B$5000,$A212,Datos!$C$2:$C$5000,$B212,Datos!$D$2:$D$5000,C$2))</f>
        <v/>
      </c>
      <c r="D212" s="9">
        <f>IF(COUNTIFS(Datos!$A$2:$A$5000,D$1,Datos!$B$2:$B$5000,$A212,Datos!$C$2:$C$5000,$B212,Datos!$D$2:$D$5000,D$2)=0,"",SUMIFS(Datos!$E$2:$E$5000,Datos!$A$2:$A$5000,D$1,Datos!$B$2:$B$5000,$A212,Datos!$C$2:$C$5000,$B212,Datos!$D$2:$D$5000,D$2))</f>
        <v/>
      </c>
      <c r="E212" s="9">
        <f>IF(COUNTIFS(Datos!$A$2:$A$5000,E$1,Datos!$B$2:$B$5000,$A212,Datos!$C$2:$C$5000,$B212,Datos!$D$2:$D$5000,E$2)=0,"",SUMIFS(Datos!$E$2:$E$5000,Datos!$A$2:$A$5000,E$1,Datos!$B$2:$B$5000,$A212,Datos!$C$2:$C$5000,$B212,Datos!$D$2:$D$5000,E$2))</f>
        <v/>
      </c>
      <c r="F212" s="9">
        <f>IF(COUNTIFS(Datos!$A$2:$A$5000,F$1,Datos!$B$2:$B$5000,$A212,Datos!$C$2:$C$5000,$B212,Datos!$D$2:$D$5000,F$2)=0,"",SUMIFS(Datos!$E$2:$E$5000,Datos!$A$2:$A$5000,F$1,Datos!$B$2:$B$5000,$A212,Datos!$C$2:$C$5000,$B212,Datos!$D$2:$D$5000,F$2))</f>
        <v/>
      </c>
      <c r="G212" s="9">
        <f>IF(COUNTIFS(Datos!$A$2:$A$5000,G$1,Datos!$B$2:$B$5000,$A212,Datos!$C$2:$C$5000,$B212,Datos!$D$2:$D$5000,G$2)=0,"",SUMIFS(Datos!$E$2:$E$5000,Datos!$A$2:$A$5000,G$1,Datos!$B$2:$B$5000,$A212,Datos!$C$2:$C$5000,$B212,Datos!$D$2:$D$5000,G$2))</f>
        <v/>
      </c>
      <c r="H212" s="9">
        <f>IF(COUNTIFS(Datos!$A$2:$A$5000,H$1,Datos!$B$2:$B$5000,$A212,Datos!$C$2:$C$5000,$B212,Datos!$D$2:$D$5000,H$2)=0,"",SUMIFS(Datos!$E$2:$E$5000,Datos!$A$2:$A$5000,H$1,Datos!$B$2:$B$5000,$A212,Datos!$C$2:$C$5000,$B212,Datos!$D$2:$D$5000,H$2))</f>
        <v/>
      </c>
      <c r="I212" s="9">
        <f>IF(COUNTIFS(Datos!$A$2:$A$5000,I$1,Datos!$B$2:$B$5000,$A212,Datos!$C$2:$C$5000,$B212,Datos!$D$2:$D$5000,I$2)=0,"",SUMIFS(Datos!$E$2:$E$5000,Datos!$A$2:$A$5000,I$1,Datos!$B$2:$B$5000,$A212,Datos!$C$2:$C$5000,$B212,Datos!$D$2:$D$5000,I$2))</f>
        <v/>
      </c>
      <c r="J212" s="9">
        <f>IF(COUNTIFS(Datos!$A$2:$A$5000,J$1,Datos!$B$2:$B$5000,$A212,Datos!$C$2:$C$5000,$B212,Datos!$D$2:$D$5000,J$2)=0,"",SUMIFS(Datos!$E$2:$E$5000,Datos!$A$2:$A$5000,J$1,Datos!$B$2:$B$5000,$A212,Datos!$C$2:$C$5000,$B212,Datos!$D$2:$D$5000,J$2))</f>
        <v/>
      </c>
    </row>
    <row r="213">
      <c r="A213" s="8" t="inlineStr">
        <is>
          <t>Honduras</t>
        </is>
      </c>
      <c r="B213" s="8" t="n">
        <v>2009</v>
      </c>
      <c r="C213" s="9">
        <f>IF(COUNTIFS(Datos!$A$2:$A$5000,C$1,Datos!$B$2:$B$5000,$A213,Datos!$C$2:$C$5000,$B213,Datos!$D$2:$D$5000,C$2)=0,"",SUMIFS(Datos!$E$2:$E$5000,Datos!$A$2:$A$5000,C$1,Datos!$B$2:$B$5000,$A213,Datos!$C$2:$C$5000,$B213,Datos!$D$2:$D$5000,C$2))</f>
        <v/>
      </c>
      <c r="D213" s="9">
        <f>IF(COUNTIFS(Datos!$A$2:$A$5000,D$1,Datos!$B$2:$B$5000,$A213,Datos!$C$2:$C$5000,$B213,Datos!$D$2:$D$5000,D$2)=0,"",SUMIFS(Datos!$E$2:$E$5000,Datos!$A$2:$A$5000,D$1,Datos!$B$2:$B$5000,$A213,Datos!$C$2:$C$5000,$B213,Datos!$D$2:$D$5000,D$2))</f>
        <v/>
      </c>
      <c r="E213" s="9">
        <f>IF(COUNTIFS(Datos!$A$2:$A$5000,E$1,Datos!$B$2:$B$5000,$A213,Datos!$C$2:$C$5000,$B213,Datos!$D$2:$D$5000,E$2)=0,"",SUMIFS(Datos!$E$2:$E$5000,Datos!$A$2:$A$5000,E$1,Datos!$B$2:$B$5000,$A213,Datos!$C$2:$C$5000,$B213,Datos!$D$2:$D$5000,E$2))</f>
        <v/>
      </c>
      <c r="F213" s="9">
        <f>IF(COUNTIFS(Datos!$A$2:$A$5000,F$1,Datos!$B$2:$B$5000,$A213,Datos!$C$2:$C$5000,$B213,Datos!$D$2:$D$5000,F$2)=0,"",SUMIFS(Datos!$E$2:$E$5000,Datos!$A$2:$A$5000,F$1,Datos!$B$2:$B$5000,$A213,Datos!$C$2:$C$5000,$B213,Datos!$D$2:$D$5000,F$2))</f>
        <v/>
      </c>
      <c r="G213" s="9">
        <f>IF(COUNTIFS(Datos!$A$2:$A$5000,G$1,Datos!$B$2:$B$5000,$A213,Datos!$C$2:$C$5000,$B213,Datos!$D$2:$D$5000,G$2)=0,"",SUMIFS(Datos!$E$2:$E$5000,Datos!$A$2:$A$5000,G$1,Datos!$B$2:$B$5000,$A213,Datos!$C$2:$C$5000,$B213,Datos!$D$2:$D$5000,G$2))</f>
        <v/>
      </c>
      <c r="H213" s="9">
        <f>IF(COUNTIFS(Datos!$A$2:$A$5000,H$1,Datos!$B$2:$B$5000,$A213,Datos!$C$2:$C$5000,$B213,Datos!$D$2:$D$5000,H$2)=0,"",SUMIFS(Datos!$E$2:$E$5000,Datos!$A$2:$A$5000,H$1,Datos!$B$2:$B$5000,$A213,Datos!$C$2:$C$5000,$B213,Datos!$D$2:$D$5000,H$2))</f>
        <v/>
      </c>
      <c r="I213" s="9">
        <f>IF(COUNTIFS(Datos!$A$2:$A$5000,I$1,Datos!$B$2:$B$5000,$A213,Datos!$C$2:$C$5000,$B213,Datos!$D$2:$D$5000,I$2)=0,"",SUMIFS(Datos!$E$2:$E$5000,Datos!$A$2:$A$5000,I$1,Datos!$B$2:$B$5000,$A213,Datos!$C$2:$C$5000,$B213,Datos!$D$2:$D$5000,I$2))</f>
        <v/>
      </c>
      <c r="J213" s="9">
        <f>IF(COUNTIFS(Datos!$A$2:$A$5000,J$1,Datos!$B$2:$B$5000,$A213,Datos!$C$2:$C$5000,$B213,Datos!$D$2:$D$5000,J$2)=0,"",SUMIFS(Datos!$E$2:$E$5000,Datos!$A$2:$A$5000,J$1,Datos!$B$2:$B$5000,$A213,Datos!$C$2:$C$5000,$B213,Datos!$D$2:$D$5000,J$2))</f>
        <v/>
      </c>
    </row>
    <row r="214">
      <c r="A214" s="8" t="inlineStr">
        <is>
          <t>Honduras</t>
        </is>
      </c>
      <c r="B214" s="8" t="n">
        <v>2010</v>
      </c>
      <c r="C214" s="9">
        <f>IF(COUNTIFS(Datos!$A$2:$A$5000,C$1,Datos!$B$2:$B$5000,$A214,Datos!$C$2:$C$5000,$B214,Datos!$D$2:$D$5000,C$2)=0,"",SUMIFS(Datos!$E$2:$E$5000,Datos!$A$2:$A$5000,C$1,Datos!$B$2:$B$5000,$A214,Datos!$C$2:$C$5000,$B214,Datos!$D$2:$D$5000,C$2))</f>
        <v/>
      </c>
      <c r="D214" s="9">
        <f>IF(COUNTIFS(Datos!$A$2:$A$5000,D$1,Datos!$B$2:$B$5000,$A214,Datos!$C$2:$C$5000,$B214,Datos!$D$2:$D$5000,D$2)=0,"",SUMIFS(Datos!$E$2:$E$5000,Datos!$A$2:$A$5000,D$1,Datos!$B$2:$B$5000,$A214,Datos!$C$2:$C$5000,$B214,Datos!$D$2:$D$5000,D$2))</f>
        <v/>
      </c>
      <c r="E214" s="9">
        <f>IF(COUNTIFS(Datos!$A$2:$A$5000,E$1,Datos!$B$2:$B$5000,$A214,Datos!$C$2:$C$5000,$B214,Datos!$D$2:$D$5000,E$2)=0,"",SUMIFS(Datos!$E$2:$E$5000,Datos!$A$2:$A$5000,E$1,Datos!$B$2:$B$5000,$A214,Datos!$C$2:$C$5000,$B214,Datos!$D$2:$D$5000,E$2))</f>
        <v/>
      </c>
      <c r="F214" s="9">
        <f>IF(COUNTIFS(Datos!$A$2:$A$5000,F$1,Datos!$B$2:$B$5000,$A214,Datos!$C$2:$C$5000,$B214,Datos!$D$2:$D$5000,F$2)=0,"",SUMIFS(Datos!$E$2:$E$5000,Datos!$A$2:$A$5000,F$1,Datos!$B$2:$B$5000,$A214,Datos!$C$2:$C$5000,$B214,Datos!$D$2:$D$5000,F$2))</f>
        <v/>
      </c>
      <c r="G214" s="9">
        <f>IF(COUNTIFS(Datos!$A$2:$A$5000,G$1,Datos!$B$2:$B$5000,$A214,Datos!$C$2:$C$5000,$B214,Datos!$D$2:$D$5000,G$2)=0,"",SUMIFS(Datos!$E$2:$E$5000,Datos!$A$2:$A$5000,G$1,Datos!$B$2:$B$5000,$A214,Datos!$C$2:$C$5000,$B214,Datos!$D$2:$D$5000,G$2))</f>
        <v/>
      </c>
      <c r="H214" s="9">
        <f>IF(COUNTIFS(Datos!$A$2:$A$5000,H$1,Datos!$B$2:$B$5000,$A214,Datos!$C$2:$C$5000,$B214,Datos!$D$2:$D$5000,H$2)=0,"",SUMIFS(Datos!$E$2:$E$5000,Datos!$A$2:$A$5000,H$1,Datos!$B$2:$B$5000,$A214,Datos!$C$2:$C$5000,$B214,Datos!$D$2:$D$5000,H$2))</f>
        <v/>
      </c>
      <c r="I214" s="9">
        <f>IF(COUNTIFS(Datos!$A$2:$A$5000,I$1,Datos!$B$2:$B$5000,$A214,Datos!$C$2:$C$5000,$B214,Datos!$D$2:$D$5000,I$2)=0,"",SUMIFS(Datos!$E$2:$E$5000,Datos!$A$2:$A$5000,I$1,Datos!$B$2:$B$5000,$A214,Datos!$C$2:$C$5000,$B214,Datos!$D$2:$D$5000,I$2))</f>
        <v/>
      </c>
      <c r="J214" s="9">
        <f>IF(COUNTIFS(Datos!$A$2:$A$5000,J$1,Datos!$B$2:$B$5000,$A214,Datos!$C$2:$C$5000,$B214,Datos!$D$2:$D$5000,J$2)=0,"",SUMIFS(Datos!$E$2:$E$5000,Datos!$A$2:$A$5000,J$1,Datos!$B$2:$B$5000,$A214,Datos!$C$2:$C$5000,$B214,Datos!$D$2:$D$5000,J$2))</f>
        <v/>
      </c>
    </row>
    <row r="215">
      <c r="A215" s="8" t="inlineStr">
        <is>
          <t>Honduras</t>
        </is>
      </c>
      <c r="B215" s="8" t="n">
        <v>2011</v>
      </c>
      <c r="C215" s="9">
        <f>IF(COUNTIFS(Datos!$A$2:$A$5000,C$1,Datos!$B$2:$B$5000,$A215,Datos!$C$2:$C$5000,$B215,Datos!$D$2:$D$5000,C$2)=0,"",SUMIFS(Datos!$E$2:$E$5000,Datos!$A$2:$A$5000,C$1,Datos!$B$2:$B$5000,$A215,Datos!$C$2:$C$5000,$B215,Datos!$D$2:$D$5000,C$2))</f>
        <v/>
      </c>
      <c r="D215" s="9">
        <f>IF(COUNTIFS(Datos!$A$2:$A$5000,D$1,Datos!$B$2:$B$5000,$A215,Datos!$C$2:$C$5000,$B215,Datos!$D$2:$D$5000,D$2)=0,"",SUMIFS(Datos!$E$2:$E$5000,Datos!$A$2:$A$5000,D$1,Datos!$B$2:$B$5000,$A215,Datos!$C$2:$C$5000,$B215,Datos!$D$2:$D$5000,D$2))</f>
        <v/>
      </c>
      <c r="E215" s="9">
        <f>IF(COUNTIFS(Datos!$A$2:$A$5000,E$1,Datos!$B$2:$B$5000,$A215,Datos!$C$2:$C$5000,$B215,Datos!$D$2:$D$5000,E$2)=0,"",SUMIFS(Datos!$E$2:$E$5000,Datos!$A$2:$A$5000,E$1,Datos!$B$2:$B$5000,$A215,Datos!$C$2:$C$5000,$B215,Datos!$D$2:$D$5000,E$2))</f>
        <v/>
      </c>
      <c r="F215" s="9">
        <f>IF(COUNTIFS(Datos!$A$2:$A$5000,F$1,Datos!$B$2:$B$5000,$A215,Datos!$C$2:$C$5000,$B215,Datos!$D$2:$D$5000,F$2)=0,"",SUMIFS(Datos!$E$2:$E$5000,Datos!$A$2:$A$5000,F$1,Datos!$B$2:$B$5000,$A215,Datos!$C$2:$C$5000,$B215,Datos!$D$2:$D$5000,F$2))</f>
        <v/>
      </c>
      <c r="G215" s="9">
        <f>IF(COUNTIFS(Datos!$A$2:$A$5000,G$1,Datos!$B$2:$B$5000,$A215,Datos!$C$2:$C$5000,$B215,Datos!$D$2:$D$5000,G$2)=0,"",SUMIFS(Datos!$E$2:$E$5000,Datos!$A$2:$A$5000,G$1,Datos!$B$2:$B$5000,$A215,Datos!$C$2:$C$5000,$B215,Datos!$D$2:$D$5000,G$2))</f>
        <v/>
      </c>
      <c r="H215" s="9">
        <f>IF(COUNTIFS(Datos!$A$2:$A$5000,H$1,Datos!$B$2:$B$5000,$A215,Datos!$C$2:$C$5000,$B215,Datos!$D$2:$D$5000,H$2)=0,"",SUMIFS(Datos!$E$2:$E$5000,Datos!$A$2:$A$5000,H$1,Datos!$B$2:$B$5000,$A215,Datos!$C$2:$C$5000,$B215,Datos!$D$2:$D$5000,H$2))</f>
        <v/>
      </c>
      <c r="I215" s="9">
        <f>IF(COUNTIFS(Datos!$A$2:$A$5000,I$1,Datos!$B$2:$B$5000,$A215,Datos!$C$2:$C$5000,$B215,Datos!$D$2:$D$5000,I$2)=0,"",SUMIFS(Datos!$E$2:$E$5000,Datos!$A$2:$A$5000,I$1,Datos!$B$2:$B$5000,$A215,Datos!$C$2:$C$5000,$B215,Datos!$D$2:$D$5000,I$2))</f>
        <v/>
      </c>
      <c r="J215" s="9">
        <f>IF(COUNTIFS(Datos!$A$2:$A$5000,J$1,Datos!$B$2:$B$5000,$A215,Datos!$C$2:$C$5000,$B215,Datos!$D$2:$D$5000,J$2)=0,"",SUMIFS(Datos!$E$2:$E$5000,Datos!$A$2:$A$5000,J$1,Datos!$B$2:$B$5000,$A215,Datos!$C$2:$C$5000,$B215,Datos!$D$2:$D$5000,J$2))</f>
        <v/>
      </c>
    </row>
    <row r="216">
      <c r="A216" s="8" t="inlineStr">
        <is>
          <t>Honduras</t>
        </is>
      </c>
      <c r="B216" s="8" t="n">
        <v>2016</v>
      </c>
      <c r="C216" s="9">
        <f>IF(COUNTIFS(Datos!$A$2:$A$5000,C$1,Datos!$B$2:$B$5000,$A216,Datos!$C$2:$C$5000,$B216,Datos!$D$2:$D$5000,C$2)=0,"",SUMIFS(Datos!$E$2:$E$5000,Datos!$A$2:$A$5000,C$1,Datos!$B$2:$B$5000,$A216,Datos!$C$2:$C$5000,$B216,Datos!$D$2:$D$5000,C$2))</f>
        <v/>
      </c>
      <c r="D216" s="9">
        <f>IF(COUNTIFS(Datos!$A$2:$A$5000,D$1,Datos!$B$2:$B$5000,$A216,Datos!$C$2:$C$5000,$B216,Datos!$D$2:$D$5000,D$2)=0,"",SUMIFS(Datos!$E$2:$E$5000,Datos!$A$2:$A$5000,D$1,Datos!$B$2:$B$5000,$A216,Datos!$C$2:$C$5000,$B216,Datos!$D$2:$D$5000,D$2))</f>
        <v/>
      </c>
      <c r="E216" s="9">
        <f>IF(COUNTIFS(Datos!$A$2:$A$5000,E$1,Datos!$B$2:$B$5000,$A216,Datos!$C$2:$C$5000,$B216,Datos!$D$2:$D$5000,E$2)=0,"",SUMIFS(Datos!$E$2:$E$5000,Datos!$A$2:$A$5000,E$1,Datos!$B$2:$B$5000,$A216,Datos!$C$2:$C$5000,$B216,Datos!$D$2:$D$5000,E$2))</f>
        <v/>
      </c>
      <c r="F216" s="9">
        <f>IF(COUNTIFS(Datos!$A$2:$A$5000,F$1,Datos!$B$2:$B$5000,$A216,Datos!$C$2:$C$5000,$B216,Datos!$D$2:$D$5000,F$2)=0,"",SUMIFS(Datos!$E$2:$E$5000,Datos!$A$2:$A$5000,F$1,Datos!$B$2:$B$5000,$A216,Datos!$C$2:$C$5000,$B216,Datos!$D$2:$D$5000,F$2))</f>
        <v/>
      </c>
      <c r="G216" s="9">
        <f>IF(COUNTIFS(Datos!$A$2:$A$5000,G$1,Datos!$B$2:$B$5000,$A216,Datos!$C$2:$C$5000,$B216,Datos!$D$2:$D$5000,G$2)=0,"",SUMIFS(Datos!$E$2:$E$5000,Datos!$A$2:$A$5000,G$1,Datos!$B$2:$B$5000,$A216,Datos!$C$2:$C$5000,$B216,Datos!$D$2:$D$5000,G$2))</f>
        <v/>
      </c>
      <c r="H216" s="9">
        <f>IF(COUNTIFS(Datos!$A$2:$A$5000,H$1,Datos!$B$2:$B$5000,$A216,Datos!$C$2:$C$5000,$B216,Datos!$D$2:$D$5000,H$2)=0,"",SUMIFS(Datos!$E$2:$E$5000,Datos!$A$2:$A$5000,H$1,Datos!$B$2:$B$5000,$A216,Datos!$C$2:$C$5000,$B216,Datos!$D$2:$D$5000,H$2))</f>
        <v/>
      </c>
      <c r="I216" s="9">
        <f>IF(COUNTIFS(Datos!$A$2:$A$5000,I$1,Datos!$B$2:$B$5000,$A216,Datos!$C$2:$C$5000,$B216,Datos!$D$2:$D$5000,I$2)=0,"",SUMIFS(Datos!$E$2:$E$5000,Datos!$A$2:$A$5000,I$1,Datos!$B$2:$B$5000,$A216,Datos!$C$2:$C$5000,$B216,Datos!$D$2:$D$5000,I$2))</f>
        <v/>
      </c>
      <c r="J216" s="9">
        <f>IF(COUNTIFS(Datos!$A$2:$A$5000,J$1,Datos!$B$2:$B$5000,$A216,Datos!$C$2:$C$5000,$B216,Datos!$D$2:$D$5000,J$2)=0,"",SUMIFS(Datos!$E$2:$E$5000,Datos!$A$2:$A$5000,J$1,Datos!$B$2:$B$5000,$A216,Datos!$C$2:$C$5000,$B216,Datos!$D$2:$D$5000,J$2))</f>
        <v/>
      </c>
    </row>
    <row r="217">
      <c r="A217" s="8" t="inlineStr">
        <is>
          <t>Honduras</t>
        </is>
      </c>
      <c r="B217" s="8" t="n">
        <v>2017</v>
      </c>
      <c r="C217" s="9">
        <f>IF(COUNTIFS(Datos!$A$2:$A$5000,C$1,Datos!$B$2:$B$5000,$A217,Datos!$C$2:$C$5000,$B217,Datos!$D$2:$D$5000,C$2)=0,"",SUMIFS(Datos!$E$2:$E$5000,Datos!$A$2:$A$5000,C$1,Datos!$B$2:$B$5000,$A217,Datos!$C$2:$C$5000,$B217,Datos!$D$2:$D$5000,C$2))</f>
        <v/>
      </c>
      <c r="D217" s="9">
        <f>IF(COUNTIFS(Datos!$A$2:$A$5000,D$1,Datos!$B$2:$B$5000,$A217,Datos!$C$2:$C$5000,$B217,Datos!$D$2:$D$5000,D$2)=0,"",SUMIFS(Datos!$E$2:$E$5000,Datos!$A$2:$A$5000,D$1,Datos!$B$2:$B$5000,$A217,Datos!$C$2:$C$5000,$B217,Datos!$D$2:$D$5000,D$2))</f>
        <v/>
      </c>
      <c r="E217" s="9">
        <f>IF(COUNTIFS(Datos!$A$2:$A$5000,E$1,Datos!$B$2:$B$5000,$A217,Datos!$C$2:$C$5000,$B217,Datos!$D$2:$D$5000,E$2)=0,"",SUMIFS(Datos!$E$2:$E$5000,Datos!$A$2:$A$5000,E$1,Datos!$B$2:$B$5000,$A217,Datos!$C$2:$C$5000,$B217,Datos!$D$2:$D$5000,E$2))</f>
        <v/>
      </c>
      <c r="F217" s="9">
        <f>IF(COUNTIFS(Datos!$A$2:$A$5000,F$1,Datos!$B$2:$B$5000,$A217,Datos!$C$2:$C$5000,$B217,Datos!$D$2:$D$5000,F$2)=0,"",SUMIFS(Datos!$E$2:$E$5000,Datos!$A$2:$A$5000,F$1,Datos!$B$2:$B$5000,$A217,Datos!$C$2:$C$5000,$B217,Datos!$D$2:$D$5000,F$2))</f>
        <v/>
      </c>
      <c r="G217" s="9">
        <f>IF(COUNTIFS(Datos!$A$2:$A$5000,G$1,Datos!$B$2:$B$5000,$A217,Datos!$C$2:$C$5000,$B217,Datos!$D$2:$D$5000,G$2)=0,"",SUMIFS(Datos!$E$2:$E$5000,Datos!$A$2:$A$5000,G$1,Datos!$B$2:$B$5000,$A217,Datos!$C$2:$C$5000,$B217,Datos!$D$2:$D$5000,G$2))</f>
        <v/>
      </c>
      <c r="H217" s="9">
        <f>IF(COUNTIFS(Datos!$A$2:$A$5000,H$1,Datos!$B$2:$B$5000,$A217,Datos!$C$2:$C$5000,$B217,Datos!$D$2:$D$5000,H$2)=0,"",SUMIFS(Datos!$E$2:$E$5000,Datos!$A$2:$A$5000,H$1,Datos!$B$2:$B$5000,$A217,Datos!$C$2:$C$5000,$B217,Datos!$D$2:$D$5000,H$2))</f>
        <v/>
      </c>
      <c r="I217" s="9">
        <f>IF(COUNTIFS(Datos!$A$2:$A$5000,I$1,Datos!$B$2:$B$5000,$A217,Datos!$C$2:$C$5000,$B217,Datos!$D$2:$D$5000,I$2)=0,"",SUMIFS(Datos!$E$2:$E$5000,Datos!$A$2:$A$5000,I$1,Datos!$B$2:$B$5000,$A217,Datos!$C$2:$C$5000,$B217,Datos!$D$2:$D$5000,I$2))</f>
        <v/>
      </c>
      <c r="J217" s="9">
        <f>IF(COUNTIFS(Datos!$A$2:$A$5000,J$1,Datos!$B$2:$B$5000,$A217,Datos!$C$2:$C$5000,$B217,Datos!$D$2:$D$5000,J$2)=0,"",SUMIFS(Datos!$E$2:$E$5000,Datos!$A$2:$A$5000,J$1,Datos!$B$2:$B$5000,$A217,Datos!$C$2:$C$5000,$B217,Datos!$D$2:$D$5000,J$2))</f>
        <v/>
      </c>
    </row>
    <row r="218">
      <c r="A218" s="8" t="inlineStr">
        <is>
          <t>Honduras</t>
        </is>
      </c>
      <c r="B218" s="8" t="n">
        <v>2018</v>
      </c>
      <c r="C218" s="9">
        <f>IF(COUNTIFS(Datos!$A$2:$A$5000,C$1,Datos!$B$2:$B$5000,$A218,Datos!$C$2:$C$5000,$B218,Datos!$D$2:$D$5000,C$2)=0,"",SUMIFS(Datos!$E$2:$E$5000,Datos!$A$2:$A$5000,C$1,Datos!$B$2:$B$5000,$A218,Datos!$C$2:$C$5000,$B218,Datos!$D$2:$D$5000,C$2))</f>
        <v/>
      </c>
      <c r="D218" s="9">
        <f>IF(COUNTIFS(Datos!$A$2:$A$5000,D$1,Datos!$B$2:$B$5000,$A218,Datos!$C$2:$C$5000,$B218,Datos!$D$2:$D$5000,D$2)=0,"",SUMIFS(Datos!$E$2:$E$5000,Datos!$A$2:$A$5000,D$1,Datos!$B$2:$B$5000,$A218,Datos!$C$2:$C$5000,$B218,Datos!$D$2:$D$5000,D$2))</f>
        <v/>
      </c>
      <c r="E218" s="9">
        <f>IF(COUNTIFS(Datos!$A$2:$A$5000,E$1,Datos!$B$2:$B$5000,$A218,Datos!$C$2:$C$5000,$B218,Datos!$D$2:$D$5000,E$2)=0,"",SUMIFS(Datos!$E$2:$E$5000,Datos!$A$2:$A$5000,E$1,Datos!$B$2:$B$5000,$A218,Datos!$C$2:$C$5000,$B218,Datos!$D$2:$D$5000,E$2))</f>
        <v/>
      </c>
      <c r="F218" s="9">
        <f>IF(COUNTIFS(Datos!$A$2:$A$5000,F$1,Datos!$B$2:$B$5000,$A218,Datos!$C$2:$C$5000,$B218,Datos!$D$2:$D$5000,F$2)=0,"",SUMIFS(Datos!$E$2:$E$5000,Datos!$A$2:$A$5000,F$1,Datos!$B$2:$B$5000,$A218,Datos!$C$2:$C$5000,$B218,Datos!$D$2:$D$5000,F$2))</f>
        <v/>
      </c>
      <c r="G218" s="9">
        <f>IF(COUNTIFS(Datos!$A$2:$A$5000,G$1,Datos!$B$2:$B$5000,$A218,Datos!$C$2:$C$5000,$B218,Datos!$D$2:$D$5000,G$2)=0,"",SUMIFS(Datos!$E$2:$E$5000,Datos!$A$2:$A$5000,G$1,Datos!$B$2:$B$5000,$A218,Datos!$C$2:$C$5000,$B218,Datos!$D$2:$D$5000,G$2))</f>
        <v/>
      </c>
      <c r="H218" s="9">
        <f>IF(COUNTIFS(Datos!$A$2:$A$5000,H$1,Datos!$B$2:$B$5000,$A218,Datos!$C$2:$C$5000,$B218,Datos!$D$2:$D$5000,H$2)=0,"",SUMIFS(Datos!$E$2:$E$5000,Datos!$A$2:$A$5000,H$1,Datos!$B$2:$B$5000,$A218,Datos!$C$2:$C$5000,$B218,Datos!$D$2:$D$5000,H$2))</f>
        <v/>
      </c>
      <c r="I218" s="9">
        <f>IF(COUNTIFS(Datos!$A$2:$A$5000,I$1,Datos!$B$2:$B$5000,$A218,Datos!$C$2:$C$5000,$B218,Datos!$D$2:$D$5000,I$2)=0,"",SUMIFS(Datos!$E$2:$E$5000,Datos!$A$2:$A$5000,I$1,Datos!$B$2:$B$5000,$A218,Datos!$C$2:$C$5000,$B218,Datos!$D$2:$D$5000,I$2))</f>
        <v/>
      </c>
      <c r="J218" s="9">
        <f>IF(COUNTIFS(Datos!$A$2:$A$5000,J$1,Datos!$B$2:$B$5000,$A218,Datos!$C$2:$C$5000,$B218,Datos!$D$2:$D$5000,J$2)=0,"",SUMIFS(Datos!$E$2:$E$5000,Datos!$A$2:$A$5000,J$1,Datos!$B$2:$B$5000,$A218,Datos!$C$2:$C$5000,$B218,Datos!$D$2:$D$5000,J$2))</f>
        <v/>
      </c>
    </row>
    <row r="219">
      <c r="A219" s="8" t="inlineStr">
        <is>
          <t>Honduras</t>
        </is>
      </c>
      <c r="B219" s="8" t="n">
        <v>2020</v>
      </c>
      <c r="C219" s="9">
        <f>IF(COUNTIFS(Datos!$A$2:$A$5000,C$1,Datos!$B$2:$B$5000,$A219,Datos!$C$2:$C$5000,$B219,Datos!$D$2:$D$5000,C$2)=0,"",SUMIFS(Datos!$E$2:$E$5000,Datos!$A$2:$A$5000,C$1,Datos!$B$2:$B$5000,$A219,Datos!$C$2:$C$5000,$B219,Datos!$D$2:$D$5000,C$2))</f>
        <v/>
      </c>
      <c r="D219" s="9">
        <f>IF(COUNTIFS(Datos!$A$2:$A$5000,D$1,Datos!$B$2:$B$5000,$A219,Datos!$C$2:$C$5000,$B219,Datos!$D$2:$D$5000,D$2)=0,"",SUMIFS(Datos!$E$2:$E$5000,Datos!$A$2:$A$5000,D$1,Datos!$B$2:$B$5000,$A219,Datos!$C$2:$C$5000,$B219,Datos!$D$2:$D$5000,D$2))</f>
        <v/>
      </c>
      <c r="E219" s="9">
        <f>IF(COUNTIFS(Datos!$A$2:$A$5000,E$1,Datos!$B$2:$B$5000,$A219,Datos!$C$2:$C$5000,$B219,Datos!$D$2:$D$5000,E$2)=0,"",SUMIFS(Datos!$E$2:$E$5000,Datos!$A$2:$A$5000,E$1,Datos!$B$2:$B$5000,$A219,Datos!$C$2:$C$5000,$B219,Datos!$D$2:$D$5000,E$2))</f>
        <v/>
      </c>
      <c r="F219" s="9">
        <f>IF(COUNTIFS(Datos!$A$2:$A$5000,F$1,Datos!$B$2:$B$5000,$A219,Datos!$C$2:$C$5000,$B219,Datos!$D$2:$D$5000,F$2)=0,"",SUMIFS(Datos!$E$2:$E$5000,Datos!$A$2:$A$5000,F$1,Datos!$B$2:$B$5000,$A219,Datos!$C$2:$C$5000,$B219,Datos!$D$2:$D$5000,F$2))</f>
        <v/>
      </c>
      <c r="G219" s="9">
        <f>IF(COUNTIFS(Datos!$A$2:$A$5000,G$1,Datos!$B$2:$B$5000,$A219,Datos!$C$2:$C$5000,$B219,Datos!$D$2:$D$5000,G$2)=0,"",SUMIFS(Datos!$E$2:$E$5000,Datos!$A$2:$A$5000,G$1,Datos!$B$2:$B$5000,$A219,Datos!$C$2:$C$5000,$B219,Datos!$D$2:$D$5000,G$2))</f>
        <v/>
      </c>
      <c r="H219" s="9">
        <f>IF(COUNTIFS(Datos!$A$2:$A$5000,H$1,Datos!$B$2:$B$5000,$A219,Datos!$C$2:$C$5000,$B219,Datos!$D$2:$D$5000,H$2)=0,"",SUMIFS(Datos!$E$2:$E$5000,Datos!$A$2:$A$5000,H$1,Datos!$B$2:$B$5000,$A219,Datos!$C$2:$C$5000,$B219,Datos!$D$2:$D$5000,H$2))</f>
        <v/>
      </c>
      <c r="I219" s="9">
        <f>IF(COUNTIFS(Datos!$A$2:$A$5000,I$1,Datos!$B$2:$B$5000,$A219,Datos!$C$2:$C$5000,$B219,Datos!$D$2:$D$5000,I$2)=0,"",SUMIFS(Datos!$E$2:$E$5000,Datos!$A$2:$A$5000,I$1,Datos!$B$2:$B$5000,$A219,Datos!$C$2:$C$5000,$B219,Datos!$D$2:$D$5000,I$2))</f>
        <v/>
      </c>
      <c r="J219" s="9">
        <f>IF(COUNTIFS(Datos!$A$2:$A$5000,J$1,Datos!$B$2:$B$5000,$A219,Datos!$C$2:$C$5000,$B219,Datos!$D$2:$D$5000,J$2)=0,"",SUMIFS(Datos!$E$2:$E$5000,Datos!$A$2:$A$5000,J$1,Datos!$B$2:$B$5000,$A219,Datos!$C$2:$C$5000,$B219,Datos!$D$2:$D$5000,J$2))</f>
        <v/>
      </c>
    </row>
    <row r="220">
      <c r="A220" s="8" t="inlineStr">
        <is>
          <t>Honduras</t>
        </is>
      </c>
      <c r="B220" s="8" t="n">
        <v>2024</v>
      </c>
      <c r="C220" s="9">
        <f>IF(COUNTIFS(Datos!$A$2:$A$5000,C$1,Datos!$B$2:$B$5000,$A220,Datos!$C$2:$C$5000,$B220,Datos!$D$2:$D$5000,C$2)=0,"",SUMIFS(Datos!$E$2:$E$5000,Datos!$A$2:$A$5000,C$1,Datos!$B$2:$B$5000,$A220,Datos!$C$2:$C$5000,$B220,Datos!$D$2:$D$5000,C$2))</f>
        <v/>
      </c>
      <c r="D220" s="9">
        <f>IF(COUNTIFS(Datos!$A$2:$A$5000,D$1,Datos!$B$2:$B$5000,$A220,Datos!$C$2:$C$5000,$B220,Datos!$D$2:$D$5000,D$2)=0,"",SUMIFS(Datos!$E$2:$E$5000,Datos!$A$2:$A$5000,D$1,Datos!$B$2:$B$5000,$A220,Datos!$C$2:$C$5000,$B220,Datos!$D$2:$D$5000,D$2))</f>
        <v/>
      </c>
      <c r="E220" s="9">
        <f>IF(COUNTIFS(Datos!$A$2:$A$5000,E$1,Datos!$B$2:$B$5000,$A220,Datos!$C$2:$C$5000,$B220,Datos!$D$2:$D$5000,E$2)=0,"",SUMIFS(Datos!$E$2:$E$5000,Datos!$A$2:$A$5000,E$1,Datos!$B$2:$B$5000,$A220,Datos!$C$2:$C$5000,$B220,Datos!$D$2:$D$5000,E$2))</f>
        <v/>
      </c>
      <c r="F220" s="9">
        <f>IF(COUNTIFS(Datos!$A$2:$A$5000,F$1,Datos!$B$2:$B$5000,$A220,Datos!$C$2:$C$5000,$B220,Datos!$D$2:$D$5000,F$2)=0,"",SUMIFS(Datos!$E$2:$E$5000,Datos!$A$2:$A$5000,F$1,Datos!$B$2:$B$5000,$A220,Datos!$C$2:$C$5000,$B220,Datos!$D$2:$D$5000,F$2))</f>
        <v/>
      </c>
      <c r="G220" s="9">
        <f>IF(COUNTIFS(Datos!$A$2:$A$5000,G$1,Datos!$B$2:$B$5000,$A220,Datos!$C$2:$C$5000,$B220,Datos!$D$2:$D$5000,G$2)=0,"",SUMIFS(Datos!$E$2:$E$5000,Datos!$A$2:$A$5000,G$1,Datos!$B$2:$B$5000,$A220,Datos!$C$2:$C$5000,$B220,Datos!$D$2:$D$5000,G$2))</f>
        <v/>
      </c>
      <c r="H220" s="9">
        <f>IF(COUNTIFS(Datos!$A$2:$A$5000,H$1,Datos!$B$2:$B$5000,$A220,Datos!$C$2:$C$5000,$B220,Datos!$D$2:$D$5000,H$2)=0,"",SUMIFS(Datos!$E$2:$E$5000,Datos!$A$2:$A$5000,H$1,Datos!$B$2:$B$5000,$A220,Datos!$C$2:$C$5000,$B220,Datos!$D$2:$D$5000,H$2))</f>
        <v/>
      </c>
      <c r="I220" s="9">
        <f>IF(COUNTIFS(Datos!$A$2:$A$5000,I$1,Datos!$B$2:$B$5000,$A220,Datos!$C$2:$C$5000,$B220,Datos!$D$2:$D$5000,I$2)=0,"",SUMIFS(Datos!$E$2:$E$5000,Datos!$A$2:$A$5000,I$1,Datos!$B$2:$B$5000,$A220,Datos!$C$2:$C$5000,$B220,Datos!$D$2:$D$5000,I$2))</f>
        <v/>
      </c>
      <c r="J220" s="9">
        <f>IF(COUNTIFS(Datos!$A$2:$A$5000,J$1,Datos!$B$2:$B$5000,$A220,Datos!$C$2:$C$5000,$B220,Datos!$D$2:$D$5000,J$2)=0,"",SUMIFS(Datos!$E$2:$E$5000,Datos!$A$2:$A$5000,J$1,Datos!$B$2:$B$5000,$A220,Datos!$C$2:$C$5000,$B220,Datos!$D$2:$D$5000,J$2))</f>
        <v/>
      </c>
    </row>
    <row r="221">
      <c r="A221" s="8" t="inlineStr">
        <is>
          <t>México</t>
        </is>
      </c>
      <c r="B221" s="8" t="n">
        <v>1995</v>
      </c>
      <c r="C221" s="9">
        <f>IF(COUNTIFS(Datos!$A$2:$A$5000,C$1,Datos!$B$2:$B$5000,$A221,Datos!$C$2:$C$5000,$B221,Datos!$D$2:$D$5000,C$2)=0,"",SUMIFS(Datos!$E$2:$E$5000,Datos!$A$2:$A$5000,C$1,Datos!$B$2:$B$5000,$A221,Datos!$C$2:$C$5000,$B221,Datos!$D$2:$D$5000,C$2))</f>
        <v/>
      </c>
      <c r="D221" s="9">
        <f>IF(COUNTIFS(Datos!$A$2:$A$5000,D$1,Datos!$B$2:$B$5000,$A221,Datos!$C$2:$C$5000,$B221,Datos!$D$2:$D$5000,D$2)=0,"",SUMIFS(Datos!$E$2:$E$5000,Datos!$A$2:$A$5000,D$1,Datos!$B$2:$B$5000,$A221,Datos!$C$2:$C$5000,$B221,Datos!$D$2:$D$5000,D$2))</f>
        <v/>
      </c>
      <c r="E221" s="9">
        <f>IF(COUNTIFS(Datos!$A$2:$A$5000,E$1,Datos!$B$2:$B$5000,$A221,Datos!$C$2:$C$5000,$B221,Datos!$D$2:$D$5000,E$2)=0,"",SUMIFS(Datos!$E$2:$E$5000,Datos!$A$2:$A$5000,E$1,Datos!$B$2:$B$5000,$A221,Datos!$C$2:$C$5000,$B221,Datos!$D$2:$D$5000,E$2))</f>
        <v/>
      </c>
      <c r="F221" s="9">
        <f>IF(COUNTIFS(Datos!$A$2:$A$5000,F$1,Datos!$B$2:$B$5000,$A221,Datos!$C$2:$C$5000,$B221,Datos!$D$2:$D$5000,F$2)=0,"",SUMIFS(Datos!$E$2:$E$5000,Datos!$A$2:$A$5000,F$1,Datos!$B$2:$B$5000,$A221,Datos!$C$2:$C$5000,$B221,Datos!$D$2:$D$5000,F$2))</f>
        <v/>
      </c>
      <c r="G221" s="9">
        <f>IF(COUNTIFS(Datos!$A$2:$A$5000,G$1,Datos!$B$2:$B$5000,$A221,Datos!$C$2:$C$5000,$B221,Datos!$D$2:$D$5000,G$2)=0,"",SUMIFS(Datos!$E$2:$E$5000,Datos!$A$2:$A$5000,G$1,Datos!$B$2:$B$5000,$A221,Datos!$C$2:$C$5000,$B221,Datos!$D$2:$D$5000,G$2))</f>
        <v/>
      </c>
      <c r="H221" s="9">
        <f>IF(COUNTIFS(Datos!$A$2:$A$5000,H$1,Datos!$B$2:$B$5000,$A221,Datos!$C$2:$C$5000,$B221,Datos!$D$2:$D$5000,H$2)=0,"",SUMIFS(Datos!$E$2:$E$5000,Datos!$A$2:$A$5000,H$1,Datos!$B$2:$B$5000,$A221,Datos!$C$2:$C$5000,$B221,Datos!$D$2:$D$5000,H$2))</f>
        <v/>
      </c>
      <c r="I221" s="9">
        <f>IF(COUNTIFS(Datos!$A$2:$A$5000,I$1,Datos!$B$2:$B$5000,$A221,Datos!$C$2:$C$5000,$B221,Datos!$D$2:$D$5000,I$2)=0,"",SUMIFS(Datos!$E$2:$E$5000,Datos!$A$2:$A$5000,I$1,Datos!$B$2:$B$5000,$A221,Datos!$C$2:$C$5000,$B221,Datos!$D$2:$D$5000,I$2))</f>
        <v/>
      </c>
      <c r="J221" s="9">
        <f>IF(COUNTIFS(Datos!$A$2:$A$5000,J$1,Datos!$B$2:$B$5000,$A221,Datos!$C$2:$C$5000,$B221,Datos!$D$2:$D$5000,J$2)=0,"",SUMIFS(Datos!$E$2:$E$5000,Datos!$A$2:$A$5000,J$1,Datos!$B$2:$B$5000,$A221,Datos!$C$2:$C$5000,$B221,Datos!$D$2:$D$5000,J$2))</f>
        <v/>
      </c>
    </row>
    <row r="222">
      <c r="A222" s="8" t="inlineStr">
        <is>
          <t>México</t>
        </is>
      </c>
      <c r="B222" s="8" t="n">
        <v>1996</v>
      </c>
      <c r="C222" s="9">
        <f>IF(COUNTIFS(Datos!$A$2:$A$5000,C$1,Datos!$B$2:$B$5000,$A222,Datos!$C$2:$C$5000,$B222,Datos!$D$2:$D$5000,C$2)=0,"",SUMIFS(Datos!$E$2:$E$5000,Datos!$A$2:$A$5000,C$1,Datos!$B$2:$B$5000,$A222,Datos!$C$2:$C$5000,$B222,Datos!$D$2:$D$5000,C$2))</f>
        <v/>
      </c>
      <c r="D222" s="9">
        <f>IF(COUNTIFS(Datos!$A$2:$A$5000,D$1,Datos!$B$2:$B$5000,$A222,Datos!$C$2:$C$5000,$B222,Datos!$D$2:$D$5000,D$2)=0,"",SUMIFS(Datos!$E$2:$E$5000,Datos!$A$2:$A$5000,D$1,Datos!$B$2:$B$5000,$A222,Datos!$C$2:$C$5000,$B222,Datos!$D$2:$D$5000,D$2))</f>
        <v/>
      </c>
      <c r="E222" s="9">
        <f>IF(COUNTIFS(Datos!$A$2:$A$5000,E$1,Datos!$B$2:$B$5000,$A222,Datos!$C$2:$C$5000,$B222,Datos!$D$2:$D$5000,E$2)=0,"",SUMIFS(Datos!$E$2:$E$5000,Datos!$A$2:$A$5000,E$1,Datos!$B$2:$B$5000,$A222,Datos!$C$2:$C$5000,$B222,Datos!$D$2:$D$5000,E$2))</f>
        <v/>
      </c>
      <c r="F222" s="9">
        <f>IF(COUNTIFS(Datos!$A$2:$A$5000,F$1,Datos!$B$2:$B$5000,$A222,Datos!$C$2:$C$5000,$B222,Datos!$D$2:$D$5000,F$2)=0,"",SUMIFS(Datos!$E$2:$E$5000,Datos!$A$2:$A$5000,F$1,Datos!$B$2:$B$5000,$A222,Datos!$C$2:$C$5000,$B222,Datos!$D$2:$D$5000,F$2))</f>
        <v/>
      </c>
      <c r="G222" s="9">
        <f>IF(COUNTIFS(Datos!$A$2:$A$5000,G$1,Datos!$B$2:$B$5000,$A222,Datos!$C$2:$C$5000,$B222,Datos!$D$2:$D$5000,G$2)=0,"",SUMIFS(Datos!$E$2:$E$5000,Datos!$A$2:$A$5000,G$1,Datos!$B$2:$B$5000,$A222,Datos!$C$2:$C$5000,$B222,Datos!$D$2:$D$5000,G$2))</f>
        <v/>
      </c>
      <c r="H222" s="9">
        <f>IF(COUNTIFS(Datos!$A$2:$A$5000,H$1,Datos!$B$2:$B$5000,$A222,Datos!$C$2:$C$5000,$B222,Datos!$D$2:$D$5000,H$2)=0,"",SUMIFS(Datos!$E$2:$E$5000,Datos!$A$2:$A$5000,H$1,Datos!$B$2:$B$5000,$A222,Datos!$C$2:$C$5000,$B222,Datos!$D$2:$D$5000,H$2))</f>
        <v/>
      </c>
      <c r="I222" s="9">
        <f>IF(COUNTIFS(Datos!$A$2:$A$5000,I$1,Datos!$B$2:$B$5000,$A222,Datos!$C$2:$C$5000,$B222,Datos!$D$2:$D$5000,I$2)=0,"",SUMIFS(Datos!$E$2:$E$5000,Datos!$A$2:$A$5000,I$1,Datos!$B$2:$B$5000,$A222,Datos!$C$2:$C$5000,$B222,Datos!$D$2:$D$5000,I$2))</f>
        <v/>
      </c>
      <c r="J222" s="9">
        <f>IF(COUNTIFS(Datos!$A$2:$A$5000,J$1,Datos!$B$2:$B$5000,$A222,Datos!$C$2:$C$5000,$B222,Datos!$D$2:$D$5000,J$2)=0,"",SUMIFS(Datos!$E$2:$E$5000,Datos!$A$2:$A$5000,J$1,Datos!$B$2:$B$5000,$A222,Datos!$C$2:$C$5000,$B222,Datos!$D$2:$D$5000,J$2))</f>
        <v/>
      </c>
    </row>
    <row r="223">
      <c r="A223" s="8" t="inlineStr">
        <is>
          <t>México</t>
        </is>
      </c>
      <c r="B223" s="8" t="n">
        <v>1997</v>
      </c>
      <c r="C223" s="9">
        <f>IF(COUNTIFS(Datos!$A$2:$A$5000,C$1,Datos!$B$2:$B$5000,$A223,Datos!$C$2:$C$5000,$B223,Datos!$D$2:$D$5000,C$2)=0,"",SUMIFS(Datos!$E$2:$E$5000,Datos!$A$2:$A$5000,C$1,Datos!$B$2:$B$5000,$A223,Datos!$C$2:$C$5000,$B223,Datos!$D$2:$D$5000,C$2))</f>
        <v/>
      </c>
      <c r="D223" s="9">
        <f>IF(COUNTIFS(Datos!$A$2:$A$5000,D$1,Datos!$B$2:$B$5000,$A223,Datos!$C$2:$C$5000,$B223,Datos!$D$2:$D$5000,D$2)=0,"",SUMIFS(Datos!$E$2:$E$5000,Datos!$A$2:$A$5000,D$1,Datos!$B$2:$B$5000,$A223,Datos!$C$2:$C$5000,$B223,Datos!$D$2:$D$5000,D$2))</f>
        <v/>
      </c>
      <c r="E223" s="9">
        <f>IF(COUNTIFS(Datos!$A$2:$A$5000,E$1,Datos!$B$2:$B$5000,$A223,Datos!$C$2:$C$5000,$B223,Datos!$D$2:$D$5000,E$2)=0,"",SUMIFS(Datos!$E$2:$E$5000,Datos!$A$2:$A$5000,E$1,Datos!$B$2:$B$5000,$A223,Datos!$C$2:$C$5000,$B223,Datos!$D$2:$D$5000,E$2))</f>
        <v/>
      </c>
      <c r="F223" s="9">
        <f>IF(COUNTIFS(Datos!$A$2:$A$5000,F$1,Datos!$B$2:$B$5000,$A223,Datos!$C$2:$C$5000,$B223,Datos!$D$2:$D$5000,F$2)=0,"",SUMIFS(Datos!$E$2:$E$5000,Datos!$A$2:$A$5000,F$1,Datos!$B$2:$B$5000,$A223,Datos!$C$2:$C$5000,$B223,Datos!$D$2:$D$5000,F$2))</f>
        <v/>
      </c>
      <c r="G223" s="9">
        <f>IF(COUNTIFS(Datos!$A$2:$A$5000,G$1,Datos!$B$2:$B$5000,$A223,Datos!$C$2:$C$5000,$B223,Datos!$D$2:$D$5000,G$2)=0,"",SUMIFS(Datos!$E$2:$E$5000,Datos!$A$2:$A$5000,G$1,Datos!$B$2:$B$5000,$A223,Datos!$C$2:$C$5000,$B223,Datos!$D$2:$D$5000,G$2))</f>
        <v/>
      </c>
      <c r="H223" s="9">
        <f>IF(COUNTIFS(Datos!$A$2:$A$5000,H$1,Datos!$B$2:$B$5000,$A223,Datos!$C$2:$C$5000,$B223,Datos!$D$2:$D$5000,H$2)=0,"",SUMIFS(Datos!$E$2:$E$5000,Datos!$A$2:$A$5000,H$1,Datos!$B$2:$B$5000,$A223,Datos!$C$2:$C$5000,$B223,Datos!$D$2:$D$5000,H$2))</f>
        <v/>
      </c>
      <c r="I223" s="9">
        <f>IF(COUNTIFS(Datos!$A$2:$A$5000,I$1,Datos!$B$2:$B$5000,$A223,Datos!$C$2:$C$5000,$B223,Datos!$D$2:$D$5000,I$2)=0,"",SUMIFS(Datos!$E$2:$E$5000,Datos!$A$2:$A$5000,I$1,Datos!$B$2:$B$5000,$A223,Datos!$C$2:$C$5000,$B223,Datos!$D$2:$D$5000,I$2))</f>
        <v/>
      </c>
      <c r="J223" s="9">
        <f>IF(COUNTIFS(Datos!$A$2:$A$5000,J$1,Datos!$B$2:$B$5000,$A223,Datos!$C$2:$C$5000,$B223,Datos!$D$2:$D$5000,J$2)=0,"",SUMIFS(Datos!$E$2:$E$5000,Datos!$A$2:$A$5000,J$1,Datos!$B$2:$B$5000,$A223,Datos!$C$2:$C$5000,$B223,Datos!$D$2:$D$5000,J$2))</f>
        <v/>
      </c>
    </row>
    <row r="224">
      <c r="A224" s="8" t="inlineStr">
        <is>
          <t>México</t>
        </is>
      </c>
      <c r="B224" s="8" t="n">
        <v>1998</v>
      </c>
      <c r="C224" s="9">
        <f>IF(COUNTIFS(Datos!$A$2:$A$5000,C$1,Datos!$B$2:$B$5000,$A224,Datos!$C$2:$C$5000,$B224,Datos!$D$2:$D$5000,C$2)=0,"",SUMIFS(Datos!$E$2:$E$5000,Datos!$A$2:$A$5000,C$1,Datos!$B$2:$B$5000,$A224,Datos!$C$2:$C$5000,$B224,Datos!$D$2:$D$5000,C$2))</f>
        <v/>
      </c>
      <c r="D224" s="9">
        <f>IF(COUNTIFS(Datos!$A$2:$A$5000,D$1,Datos!$B$2:$B$5000,$A224,Datos!$C$2:$C$5000,$B224,Datos!$D$2:$D$5000,D$2)=0,"",SUMIFS(Datos!$E$2:$E$5000,Datos!$A$2:$A$5000,D$1,Datos!$B$2:$B$5000,$A224,Datos!$C$2:$C$5000,$B224,Datos!$D$2:$D$5000,D$2))</f>
        <v/>
      </c>
      <c r="E224" s="9">
        <f>IF(COUNTIFS(Datos!$A$2:$A$5000,E$1,Datos!$B$2:$B$5000,$A224,Datos!$C$2:$C$5000,$B224,Datos!$D$2:$D$5000,E$2)=0,"",SUMIFS(Datos!$E$2:$E$5000,Datos!$A$2:$A$5000,E$1,Datos!$B$2:$B$5000,$A224,Datos!$C$2:$C$5000,$B224,Datos!$D$2:$D$5000,E$2))</f>
        <v/>
      </c>
      <c r="F224" s="9">
        <f>IF(COUNTIFS(Datos!$A$2:$A$5000,F$1,Datos!$B$2:$B$5000,$A224,Datos!$C$2:$C$5000,$B224,Datos!$D$2:$D$5000,F$2)=0,"",SUMIFS(Datos!$E$2:$E$5000,Datos!$A$2:$A$5000,F$1,Datos!$B$2:$B$5000,$A224,Datos!$C$2:$C$5000,$B224,Datos!$D$2:$D$5000,F$2))</f>
        <v/>
      </c>
      <c r="G224" s="9">
        <f>IF(COUNTIFS(Datos!$A$2:$A$5000,G$1,Datos!$B$2:$B$5000,$A224,Datos!$C$2:$C$5000,$B224,Datos!$D$2:$D$5000,G$2)=0,"",SUMIFS(Datos!$E$2:$E$5000,Datos!$A$2:$A$5000,G$1,Datos!$B$2:$B$5000,$A224,Datos!$C$2:$C$5000,$B224,Datos!$D$2:$D$5000,G$2))</f>
        <v/>
      </c>
      <c r="H224" s="9">
        <f>IF(COUNTIFS(Datos!$A$2:$A$5000,H$1,Datos!$B$2:$B$5000,$A224,Datos!$C$2:$C$5000,$B224,Datos!$D$2:$D$5000,H$2)=0,"",SUMIFS(Datos!$E$2:$E$5000,Datos!$A$2:$A$5000,H$1,Datos!$B$2:$B$5000,$A224,Datos!$C$2:$C$5000,$B224,Datos!$D$2:$D$5000,H$2))</f>
        <v/>
      </c>
      <c r="I224" s="9">
        <f>IF(COUNTIFS(Datos!$A$2:$A$5000,I$1,Datos!$B$2:$B$5000,$A224,Datos!$C$2:$C$5000,$B224,Datos!$D$2:$D$5000,I$2)=0,"",SUMIFS(Datos!$E$2:$E$5000,Datos!$A$2:$A$5000,I$1,Datos!$B$2:$B$5000,$A224,Datos!$C$2:$C$5000,$B224,Datos!$D$2:$D$5000,I$2))</f>
        <v/>
      </c>
      <c r="J224" s="9">
        <f>IF(COUNTIFS(Datos!$A$2:$A$5000,J$1,Datos!$B$2:$B$5000,$A224,Datos!$C$2:$C$5000,$B224,Datos!$D$2:$D$5000,J$2)=0,"",SUMIFS(Datos!$E$2:$E$5000,Datos!$A$2:$A$5000,J$1,Datos!$B$2:$B$5000,$A224,Datos!$C$2:$C$5000,$B224,Datos!$D$2:$D$5000,J$2))</f>
        <v/>
      </c>
    </row>
    <row r="225">
      <c r="A225" s="8" t="inlineStr">
        <is>
          <t>México</t>
        </is>
      </c>
      <c r="B225" s="8" t="n">
        <v>2000</v>
      </c>
      <c r="C225" s="9">
        <f>IF(COUNTIFS(Datos!$A$2:$A$5000,C$1,Datos!$B$2:$B$5000,$A225,Datos!$C$2:$C$5000,$B225,Datos!$D$2:$D$5000,C$2)=0,"",SUMIFS(Datos!$E$2:$E$5000,Datos!$A$2:$A$5000,C$1,Datos!$B$2:$B$5000,$A225,Datos!$C$2:$C$5000,$B225,Datos!$D$2:$D$5000,C$2))</f>
        <v/>
      </c>
      <c r="D225" s="9">
        <f>IF(COUNTIFS(Datos!$A$2:$A$5000,D$1,Datos!$B$2:$B$5000,$A225,Datos!$C$2:$C$5000,$B225,Datos!$D$2:$D$5000,D$2)=0,"",SUMIFS(Datos!$E$2:$E$5000,Datos!$A$2:$A$5000,D$1,Datos!$B$2:$B$5000,$A225,Datos!$C$2:$C$5000,$B225,Datos!$D$2:$D$5000,D$2))</f>
        <v/>
      </c>
      <c r="E225" s="9">
        <f>IF(COUNTIFS(Datos!$A$2:$A$5000,E$1,Datos!$B$2:$B$5000,$A225,Datos!$C$2:$C$5000,$B225,Datos!$D$2:$D$5000,E$2)=0,"",SUMIFS(Datos!$E$2:$E$5000,Datos!$A$2:$A$5000,E$1,Datos!$B$2:$B$5000,$A225,Datos!$C$2:$C$5000,$B225,Datos!$D$2:$D$5000,E$2))</f>
        <v/>
      </c>
      <c r="F225" s="9">
        <f>IF(COUNTIFS(Datos!$A$2:$A$5000,F$1,Datos!$B$2:$B$5000,$A225,Datos!$C$2:$C$5000,$B225,Datos!$D$2:$D$5000,F$2)=0,"",SUMIFS(Datos!$E$2:$E$5000,Datos!$A$2:$A$5000,F$1,Datos!$B$2:$B$5000,$A225,Datos!$C$2:$C$5000,$B225,Datos!$D$2:$D$5000,F$2))</f>
        <v/>
      </c>
      <c r="G225" s="9">
        <f>IF(COUNTIFS(Datos!$A$2:$A$5000,G$1,Datos!$B$2:$B$5000,$A225,Datos!$C$2:$C$5000,$B225,Datos!$D$2:$D$5000,G$2)=0,"",SUMIFS(Datos!$E$2:$E$5000,Datos!$A$2:$A$5000,G$1,Datos!$B$2:$B$5000,$A225,Datos!$C$2:$C$5000,$B225,Datos!$D$2:$D$5000,G$2))</f>
        <v/>
      </c>
      <c r="H225" s="9">
        <f>IF(COUNTIFS(Datos!$A$2:$A$5000,H$1,Datos!$B$2:$B$5000,$A225,Datos!$C$2:$C$5000,$B225,Datos!$D$2:$D$5000,H$2)=0,"",SUMIFS(Datos!$E$2:$E$5000,Datos!$A$2:$A$5000,H$1,Datos!$B$2:$B$5000,$A225,Datos!$C$2:$C$5000,$B225,Datos!$D$2:$D$5000,H$2))</f>
        <v/>
      </c>
      <c r="I225" s="9">
        <f>IF(COUNTIFS(Datos!$A$2:$A$5000,I$1,Datos!$B$2:$B$5000,$A225,Datos!$C$2:$C$5000,$B225,Datos!$D$2:$D$5000,I$2)=0,"",SUMIFS(Datos!$E$2:$E$5000,Datos!$A$2:$A$5000,I$1,Datos!$B$2:$B$5000,$A225,Datos!$C$2:$C$5000,$B225,Datos!$D$2:$D$5000,I$2))</f>
        <v/>
      </c>
      <c r="J225" s="9">
        <f>IF(COUNTIFS(Datos!$A$2:$A$5000,J$1,Datos!$B$2:$B$5000,$A225,Datos!$C$2:$C$5000,$B225,Datos!$D$2:$D$5000,J$2)=0,"",SUMIFS(Datos!$E$2:$E$5000,Datos!$A$2:$A$5000,J$1,Datos!$B$2:$B$5000,$A225,Datos!$C$2:$C$5000,$B225,Datos!$D$2:$D$5000,J$2))</f>
        <v/>
      </c>
    </row>
    <row r="226">
      <c r="A226" s="8" t="inlineStr">
        <is>
          <t>México</t>
        </is>
      </c>
      <c r="B226" s="8" t="n">
        <v>2001</v>
      </c>
      <c r="C226" s="9">
        <f>IF(COUNTIFS(Datos!$A$2:$A$5000,C$1,Datos!$B$2:$B$5000,$A226,Datos!$C$2:$C$5000,$B226,Datos!$D$2:$D$5000,C$2)=0,"",SUMIFS(Datos!$E$2:$E$5000,Datos!$A$2:$A$5000,C$1,Datos!$B$2:$B$5000,$A226,Datos!$C$2:$C$5000,$B226,Datos!$D$2:$D$5000,C$2))</f>
        <v/>
      </c>
      <c r="D226" s="9">
        <f>IF(COUNTIFS(Datos!$A$2:$A$5000,D$1,Datos!$B$2:$B$5000,$A226,Datos!$C$2:$C$5000,$B226,Datos!$D$2:$D$5000,D$2)=0,"",SUMIFS(Datos!$E$2:$E$5000,Datos!$A$2:$A$5000,D$1,Datos!$B$2:$B$5000,$A226,Datos!$C$2:$C$5000,$B226,Datos!$D$2:$D$5000,D$2))</f>
        <v/>
      </c>
      <c r="E226" s="9">
        <f>IF(COUNTIFS(Datos!$A$2:$A$5000,E$1,Datos!$B$2:$B$5000,$A226,Datos!$C$2:$C$5000,$B226,Datos!$D$2:$D$5000,E$2)=0,"",SUMIFS(Datos!$E$2:$E$5000,Datos!$A$2:$A$5000,E$1,Datos!$B$2:$B$5000,$A226,Datos!$C$2:$C$5000,$B226,Datos!$D$2:$D$5000,E$2))</f>
        <v/>
      </c>
      <c r="F226" s="9">
        <f>IF(COUNTIFS(Datos!$A$2:$A$5000,F$1,Datos!$B$2:$B$5000,$A226,Datos!$C$2:$C$5000,$B226,Datos!$D$2:$D$5000,F$2)=0,"",SUMIFS(Datos!$E$2:$E$5000,Datos!$A$2:$A$5000,F$1,Datos!$B$2:$B$5000,$A226,Datos!$C$2:$C$5000,$B226,Datos!$D$2:$D$5000,F$2))</f>
        <v/>
      </c>
      <c r="G226" s="9">
        <f>IF(COUNTIFS(Datos!$A$2:$A$5000,G$1,Datos!$B$2:$B$5000,$A226,Datos!$C$2:$C$5000,$B226,Datos!$D$2:$D$5000,G$2)=0,"",SUMIFS(Datos!$E$2:$E$5000,Datos!$A$2:$A$5000,G$1,Datos!$B$2:$B$5000,$A226,Datos!$C$2:$C$5000,$B226,Datos!$D$2:$D$5000,G$2))</f>
        <v/>
      </c>
      <c r="H226" s="9">
        <f>IF(COUNTIFS(Datos!$A$2:$A$5000,H$1,Datos!$B$2:$B$5000,$A226,Datos!$C$2:$C$5000,$B226,Datos!$D$2:$D$5000,H$2)=0,"",SUMIFS(Datos!$E$2:$E$5000,Datos!$A$2:$A$5000,H$1,Datos!$B$2:$B$5000,$A226,Datos!$C$2:$C$5000,$B226,Datos!$D$2:$D$5000,H$2))</f>
        <v/>
      </c>
      <c r="I226" s="9">
        <f>IF(COUNTIFS(Datos!$A$2:$A$5000,I$1,Datos!$B$2:$B$5000,$A226,Datos!$C$2:$C$5000,$B226,Datos!$D$2:$D$5000,I$2)=0,"",SUMIFS(Datos!$E$2:$E$5000,Datos!$A$2:$A$5000,I$1,Datos!$B$2:$B$5000,$A226,Datos!$C$2:$C$5000,$B226,Datos!$D$2:$D$5000,I$2))</f>
        <v/>
      </c>
      <c r="J226" s="9">
        <f>IF(COUNTIFS(Datos!$A$2:$A$5000,J$1,Datos!$B$2:$B$5000,$A226,Datos!$C$2:$C$5000,$B226,Datos!$D$2:$D$5000,J$2)=0,"",SUMIFS(Datos!$E$2:$E$5000,Datos!$A$2:$A$5000,J$1,Datos!$B$2:$B$5000,$A226,Datos!$C$2:$C$5000,$B226,Datos!$D$2:$D$5000,J$2))</f>
        <v/>
      </c>
    </row>
    <row r="227">
      <c r="A227" s="8" t="inlineStr">
        <is>
          <t>México</t>
        </is>
      </c>
      <c r="B227" s="8" t="n">
        <v>2002</v>
      </c>
      <c r="C227" s="9">
        <f>IF(COUNTIFS(Datos!$A$2:$A$5000,C$1,Datos!$B$2:$B$5000,$A227,Datos!$C$2:$C$5000,$B227,Datos!$D$2:$D$5000,C$2)=0,"",SUMIFS(Datos!$E$2:$E$5000,Datos!$A$2:$A$5000,C$1,Datos!$B$2:$B$5000,$A227,Datos!$C$2:$C$5000,$B227,Datos!$D$2:$D$5000,C$2))</f>
        <v/>
      </c>
      <c r="D227" s="9">
        <f>IF(COUNTIFS(Datos!$A$2:$A$5000,D$1,Datos!$B$2:$B$5000,$A227,Datos!$C$2:$C$5000,$B227,Datos!$D$2:$D$5000,D$2)=0,"",SUMIFS(Datos!$E$2:$E$5000,Datos!$A$2:$A$5000,D$1,Datos!$B$2:$B$5000,$A227,Datos!$C$2:$C$5000,$B227,Datos!$D$2:$D$5000,D$2))</f>
        <v/>
      </c>
      <c r="E227" s="9">
        <f>IF(COUNTIFS(Datos!$A$2:$A$5000,E$1,Datos!$B$2:$B$5000,$A227,Datos!$C$2:$C$5000,$B227,Datos!$D$2:$D$5000,E$2)=0,"",SUMIFS(Datos!$E$2:$E$5000,Datos!$A$2:$A$5000,E$1,Datos!$B$2:$B$5000,$A227,Datos!$C$2:$C$5000,$B227,Datos!$D$2:$D$5000,E$2))</f>
        <v/>
      </c>
      <c r="F227" s="9">
        <f>IF(COUNTIFS(Datos!$A$2:$A$5000,F$1,Datos!$B$2:$B$5000,$A227,Datos!$C$2:$C$5000,$B227,Datos!$D$2:$D$5000,F$2)=0,"",SUMIFS(Datos!$E$2:$E$5000,Datos!$A$2:$A$5000,F$1,Datos!$B$2:$B$5000,$A227,Datos!$C$2:$C$5000,$B227,Datos!$D$2:$D$5000,F$2))</f>
        <v/>
      </c>
      <c r="G227" s="9">
        <f>IF(COUNTIFS(Datos!$A$2:$A$5000,G$1,Datos!$B$2:$B$5000,$A227,Datos!$C$2:$C$5000,$B227,Datos!$D$2:$D$5000,G$2)=0,"",SUMIFS(Datos!$E$2:$E$5000,Datos!$A$2:$A$5000,G$1,Datos!$B$2:$B$5000,$A227,Datos!$C$2:$C$5000,$B227,Datos!$D$2:$D$5000,G$2))</f>
        <v/>
      </c>
      <c r="H227" s="9">
        <f>IF(COUNTIFS(Datos!$A$2:$A$5000,H$1,Datos!$B$2:$B$5000,$A227,Datos!$C$2:$C$5000,$B227,Datos!$D$2:$D$5000,H$2)=0,"",SUMIFS(Datos!$E$2:$E$5000,Datos!$A$2:$A$5000,H$1,Datos!$B$2:$B$5000,$A227,Datos!$C$2:$C$5000,$B227,Datos!$D$2:$D$5000,H$2))</f>
        <v/>
      </c>
      <c r="I227" s="9">
        <f>IF(COUNTIFS(Datos!$A$2:$A$5000,I$1,Datos!$B$2:$B$5000,$A227,Datos!$C$2:$C$5000,$B227,Datos!$D$2:$D$5000,I$2)=0,"",SUMIFS(Datos!$E$2:$E$5000,Datos!$A$2:$A$5000,I$1,Datos!$B$2:$B$5000,$A227,Datos!$C$2:$C$5000,$B227,Datos!$D$2:$D$5000,I$2))</f>
        <v/>
      </c>
      <c r="J227" s="9">
        <f>IF(COUNTIFS(Datos!$A$2:$A$5000,J$1,Datos!$B$2:$B$5000,$A227,Datos!$C$2:$C$5000,$B227,Datos!$D$2:$D$5000,J$2)=0,"",SUMIFS(Datos!$E$2:$E$5000,Datos!$A$2:$A$5000,J$1,Datos!$B$2:$B$5000,$A227,Datos!$C$2:$C$5000,$B227,Datos!$D$2:$D$5000,J$2))</f>
        <v/>
      </c>
    </row>
    <row r="228">
      <c r="A228" s="8" t="inlineStr">
        <is>
          <t>México</t>
        </is>
      </c>
      <c r="B228" s="8" t="n">
        <v>2003</v>
      </c>
      <c r="C228" s="9">
        <f>IF(COUNTIFS(Datos!$A$2:$A$5000,C$1,Datos!$B$2:$B$5000,$A228,Datos!$C$2:$C$5000,$B228,Datos!$D$2:$D$5000,C$2)=0,"",SUMIFS(Datos!$E$2:$E$5000,Datos!$A$2:$A$5000,C$1,Datos!$B$2:$B$5000,$A228,Datos!$C$2:$C$5000,$B228,Datos!$D$2:$D$5000,C$2))</f>
        <v/>
      </c>
      <c r="D228" s="9">
        <f>IF(COUNTIFS(Datos!$A$2:$A$5000,D$1,Datos!$B$2:$B$5000,$A228,Datos!$C$2:$C$5000,$B228,Datos!$D$2:$D$5000,D$2)=0,"",SUMIFS(Datos!$E$2:$E$5000,Datos!$A$2:$A$5000,D$1,Datos!$B$2:$B$5000,$A228,Datos!$C$2:$C$5000,$B228,Datos!$D$2:$D$5000,D$2))</f>
        <v/>
      </c>
      <c r="E228" s="9">
        <f>IF(COUNTIFS(Datos!$A$2:$A$5000,E$1,Datos!$B$2:$B$5000,$A228,Datos!$C$2:$C$5000,$B228,Datos!$D$2:$D$5000,E$2)=0,"",SUMIFS(Datos!$E$2:$E$5000,Datos!$A$2:$A$5000,E$1,Datos!$B$2:$B$5000,$A228,Datos!$C$2:$C$5000,$B228,Datos!$D$2:$D$5000,E$2))</f>
        <v/>
      </c>
      <c r="F228" s="9">
        <f>IF(COUNTIFS(Datos!$A$2:$A$5000,F$1,Datos!$B$2:$B$5000,$A228,Datos!$C$2:$C$5000,$B228,Datos!$D$2:$D$5000,F$2)=0,"",SUMIFS(Datos!$E$2:$E$5000,Datos!$A$2:$A$5000,F$1,Datos!$B$2:$B$5000,$A228,Datos!$C$2:$C$5000,$B228,Datos!$D$2:$D$5000,F$2))</f>
        <v/>
      </c>
      <c r="G228" s="9">
        <f>IF(COUNTIFS(Datos!$A$2:$A$5000,G$1,Datos!$B$2:$B$5000,$A228,Datos!$C$2:$C$5000,$B228,Datos!$D$2:$D$5000,G$2)=0,"",SUMIFS(Datos!$E$2:$E$5000,Datos!$A$2:$A$5000,G$1,Datos!$B$2:$B$5000,$A228,Datos!$C$2:$C$5000,$B228,Datos!$D$2:$D$5000,G$2))</f>
        <v/>
      </c>
      <c r="H228" s="9">
        <f>IF(COUNTIFS(Datos!$A$2:$A$5000,H$1,Datos!$B$2:$B$5000,$A228,Datos!$C$2:$C$5000,$B228,Datos!$D$2:$D$5000,H$2)=0,"",SUMIFS(Datos!$E$2:$E$5000,Datos!$A$2:$A$5000,H$1,Datos!$B$2:$B$5000,$A228,Datos!$C$2:$C$5000,$B228,Datos!$D$2:$D$5000,H$2))</f>
        <v/>
      </c>
      <c r="I228" s="9">
        <f>IF(COUNTIFS(Datos!$A$2:$A$5000,I$1,Datos!$B$2:$B$5000,$A228,Datos!$C$2:$C$5000,$B228,Datos!$D$2:$D$5000,I$2)=0,"",SUMIFS(Datos!$E$2:$E$5000,Datos!$A$2:$A$5000,I$1,Datos!$B$2:$B$5000,$A228,Datos!$C$2:$C$5000,$B228,Datos!$D$2:$D$5000,I$2))</f>
        <v/>
      </c>
      <c r="J228" s="9">
        <f>IF(COUNTIFS(Datos!$A$2:$A$5000,J$1,Datos!$B$2:$B$5000,$A228,Datos!$C$2:$C$5000,$B228,Datos!$D$2:$D$5000,J$2)=0,"",SUMIFS(Datos!$E$2:$E$5000,Datos!$A$2:$A$5000,J$1,Datos!$B$2:$B$5000,$A228,Datos!$C$2:$C$5000,$B228,Datos!$D$2:$D$5000,J$2))</f>
        <v/>
      </c>
    </row>
    <row r="229">
      <c r="A229" s="8" t="inlineStr">
        <is>
          <t>México</t>
        </is>
      </c>
      <c r="B229" s="8" t="n">
        <v>2004</v>
      </c>
      <c r="C229" s="9">
        <f>IF(COUNTIFS(Datos!$A$2:$A$5000,C$1,Datos!$B$2:$B$5000,$A229,Datos!$C$2:$C$5000,$B229,Datos!$D$2:$D$5000,C$2)=0,"",SUMIFS(Datos!$E$2:$E$5000,Datos!$A$2:$A$5000,C$1,Datos!$B$2:$B$5000,$A229,Datos!$C$2:$C$5000,$B229,Datos!$D$2:$D$5000,C$2))</f>
        <v/>
      </c>
      <c r="D229" s="9">
        <f>IF(COUNTIFS(Datos!$A$2:$A$5000,D$1,Datos!$B$2:$B$5000,$A229,Datos!$C$2:$C$5000,$B229,Datos!$D$2:$D$5000,D$2)=0,"",SUMIFS(Datos!$E$2:$E$5000,Datos!$A$2:$A$5000,D$1,Datos!$B$2:$B$5000,$A229,Datos!$C$2:$C$5000,$B229,Datos!$D$2:$D$5000,D$2))</f>
        <v/>
      </c>
      <c r="E229" s="9">
        <f>IF(COUNTIFS(Datos!$A$2:$A$5000,E$1,Datos!$B$2:$B$5000,$A229,Datos!$C$2:$C$5000,$B229,Datos!$D$2:$D$5000,E$2)=0,"",SUMIFS(Datos!$E$2:$E$5000,Datos!$A$2:$A$5000,E$1,Datos!$B$2:$B$5000,$A229,Datos!$C$2:$C$5000,$B229,Datos!$D$2:$D$5000,E$2))</f>
        <v/>
      </c>
      <c r="F229" s="9">
        <f>IF(COUNTIFS(Datos!$A$2:$A$5000,F$1,Datos!$B$2:$B$5000,$A229,Datos!$C$2:$C$5000,$B229,Datos!$D$2:$D$5000,F$2)=0,"",SUMIFS(Datos!$E$2:$E$5000,Datos!$A$2:$A$5000,F$1,Datos!$B$2:$B$5000,$A229,Datos!$C$2:$C$5000,$B229,Datos!$D$2:$D$5000,F$2))</f>
        <v/>
      </c>
      <c r="G229" s="9">
        <f>IF(COUNTIFS(Datos!$A$2:$A$5000,G$1,Datos!$B$2:$B$5000,$A229,Datos!$C$2:$C$5000,$B229,Datos!$D$2:$D$5000,G$2)=0,"",SUMIFS(Datos!$E$2:$E$5000,Datos!$A$2:$A$5000,G$1,Datos!$B$2:$B$5000,$A229,Datos!$C$2:$C$5000,$B229,Datos!$D$2:$D$5000,G$2))</f>
        <v/>
      </c>
      <c r="H229" s="9">
        <f>IF(COUNTIFS(Datos!$A$2:$A$5000,H$1,Datos!$B$2:$B$5000,$A229,Datos!$C$2:$C$5000,$B229,Datos!$D$2:$D$5000,H$2)=0,"",SUMIFS(Datos!$E$2:$E$5000,Datos!$A$2:$A$5000,H$1,Datos!$B$2:$B$5000,$A229,Datos!$C$2:$C$5000,$B229,Datos!$D$2:$D$5000,H$2))</f>
        <v/>
      </c>
      <c r="I229" s="9">
        <f>IF(COUNTIFS(Datos!$A$2:$A$5000,I$1,Datos!$B$2:$B$5000,$A229,Datos!$C$2:$C$5000,$B229,Datos!$D$2:$D$5000,I$2)=0,"",SUMIFS(Datos!$E$2:$E$5000,Datos!$A$2:$A$5000,I$1,Datos!$B$2:$B$5000,$A229,Datos!$C$2:$C$5000,$B229,Datos!$D$2:$D$5000,I$2))</f>
        <v/>
      </c>
      <c r="J229" s="9">
        <f>IF(COUNTIFS(Datos!$A$2:$A$5000,J$1,Datos!$B$2:$B$5000,$A229,Datos!$C$2:$C$5000,$B229,Datos!$D$2:$D$5000,J$2)=0,"",SUMIFS(Datos!$E$2:$E$5000,Datos!$A$2:$A$5000,J$1,Datos!$B$2:$B$5000,$A229,Datos!$C$2:$C$5000,$B229,Datos!$D$2:$D$5000,J$2))</f>
        <v/>
      </c>
    </row>
    <row r="230">
      <c r="A230" s="8" t="inlineStr">
        <is>
          <t>México</t>
        </is>
      </c>
      <c r="B230" s="8" t="n">
        <v>2005</v>
      </c>
      <c r="C230" s="9">
        <f>IF(COUNTIFS(Datos!$A$2:$A$5000,C$1,Datos!$B$2:$B$5000,$A230,Datos!$C$2:$C$5000,$B230,Datos!$D$2:$D$5000,C$2)=0,"",SUMIFS(Datos!$E$2:$E$5000,Datos!$A$2:$A$5000,C$1,Datos!$B$2:$B$5000,$A230,Datos!$C$2:$C$5000,$B230,Datos!$D$2:$D$5000,C$2))</f>
        <v/>
      </c>
      <c r="D230" s="9">
        <f>IF(COUNTIFS(Datos!$A$2:$A$5000,D$1,Datos!$B$2:$B$5000,$A230,Datos!$C$2:$C$5000,$B230,Datos!$D$2:$D$5000,D$2)=0,"",SUMIFS(Datos!$E$2:$E$5000,Datos!$A$2:$A$5000,D$1,Datos!$B$2:$B$5000,$A230,Datos!$C$2:$C$5000,$B230,Datos!$D$2:$D$5000,D$2))</f>
        <v/>
      </c>
      <c r="E230" s="9">
        <f>IF(COUNTIFS(Datos!$A$2:$A$5000,E$1,Datos!$B$2:$B$5000,$A230,Datos!$C$2:$C$5000,$B230,Datos!$D$2:$D$5000,E$2)=0,"",SUMIFS(Datos!$E$2:$E$5000,Datos!$A$2:$A$5000,E$1,Datos!$B$2:$B$5000,$A230,Datos!$C$2:$C$5000,$B230,Datos!$D$2:$D$5000,E$2))</f>
        <v/>
      </c>
      <c r="F230" s="9">
        <f>IF(COUNTIFS(Datos!$A$2:$A$5000,F$1,Datos!$B$2:$B$5000,$A230,Datos!$C$2:$C$5000,$B230,Datos!$D$2:$D$5000,F$2)=0,"",SUMIFS(Datos!$E$2:$E$5000,Datos!$A$2:$A$5000,F$1,Datos!$B$2:$B$5000,$A230,Datos!$C$2:$C$5000,$B230,Datos!$D$2:$D$5000,F$2))</f>
        <v/>
      </c>
      <c r="G230" s="9">
        <f>IF(COUNTIFS(Datos!$A$2:$A$5000,G$1,Datos!$B$2:$B$5000,$A230,Datos!$C$2:$C$5000,$B230,Datos!$D$2:$D$5000,G$2)=0,"",SUMIFS(Datos!$E$2:$E$5000,Datos!$A$2:$A$5000,G$1,Datos!$B$2:$B$5000,$A230,Datos!$C$2:$C$5000,$B230,Datos!$D$2:$D$5000,G$2))</f>
        <v/>
      </c>
      <c r="H230" s="9">
        <f>IF(COUNTIFS(Datos!$A$2:$A$5000,H$1,Datos!$B$2:$B$5000,$A230,Datos!$C$2:$C$5000,$B230,Datos!$D$2:$D$5000,H$2)=0,"",SUMIFS(Datos!$E$2:$E$5000,Datos!$A$2:$A$5000,H$1,Datos!$B$2:$B$5000,$A230,Datos!$C$2:$C$5000,$B230,Datos!$D$2:$D$5000,H$2))</f>
        <v/>
      </c>
      <c r="I230" s="9">
        <f>IF(COUNTIFS(Datos!$A$2:$A$5000,I$1,Datos!$B$2:$B$5000,$A230,Datos!$C$2:$C$5000,$B230,Datos!$D$2:$D$5000,I$2)=0,"",SUMIFS(Datos!$E$2:$E$5000,Datos!$A$2:$A$5000,I$1,Datos!$B$2:$B$5000,$A230,Datos!$C$2:$C$5000,$B230,Datos!$D$2:$D$5000,I$2))</f>
        <v/>
      </c>
      <c r="J230" s="9">
        <f>IF(COUNTIFS(Datos!$A$2:$A$5000,J$1,Datos!$B$2:$B$5000,$A230,Datos!$C$2:$C$5000,$B230,Datos!$D$2:$D$5000,J$2)=0,"",SUMIFS(Datos!$E$2:$E$5000,Datos!$A$2:$A$5000,J$1,Datos!$B$2:$B$5000,$A230,Datos!$C$2:$C$5000,$B230,Datos!$D$2:$D$5000,J$2))</f>
        <v/>
      </c>
    </row>
    <row r="231">
      <c r="A231" s="8" t="inlineStr">
        <is>
          <t>México</t>
        </is>
      </c>
      <c r="B231" s="8" t="n">
        <v>2006</v>
      </c>
      <c r="C231" s="9">
        <f>IF(COUNTIFS(Datos!$A$2:$A$5000,C$1,Datos!$B$2:$B$5000,$A231,Datos!$C$2:$C$5000,$B231,Datos!$D$2:$D$5000,C$2)=0,"",SUMIFS(Datos!$E$2:$E$5000,Datos!$A$2:$A$5000,C$1,Datos!$B$2:$B$5000,$A231,Datos!$C$2:$C$5000,$B231,Datos!$D$2:$D$5000,C$2))</f>
        <v/>
      </c>
      <c r="D231" s="9">
        <f>IF(COUNTIFS(Datos!$A$2:$A$5000,D$1,Datos!$B$2:$B$5000,$A231,Datos!$C$2:$C$5000,$B231,Datos!$D$2:$D$5000,D$2)=0,"",SUMIFS(Datos!$E$2:$E$5000,Datos!$A$2:$A$5000,D$1,Datos!$B$2:$B$5000,$A231,Datos!$C$2:$C$5000,$B231,Datos!$D$2:$D$5000,D$2))</f>
        <v/>
      </c>
      <c r="E231" s="9">
        <f>IF(COUNTIFS(Datos!$A$2:$A$5000,E$1,Datos!$B$2:$B$5000,$A231,Datos!$C$2:$C$5000,$B231,Datos!$D$2:$D$5000,E$2)=0,"",SUMIFS(Datos!$E$2:$E$5000,Datos!$A$2:$A$5000,E$1,Datos!$B$2:$B$5000,$A231,Datos!$C$2:$C$5000,$B231,Datos!$D$2:$D$5000,E$2))</f>
        <v/>
      </c>
      <c r="F231" s="9">
        <f>IF(COUNTIFS(Datos!$A$2:$A$5000,F$1,Datos!$B$2:$B$5000,$A231,Datos!$C$2:$C$5000,$B231,Datos!$D$2:$D$5000,F$2)=0,"",SUMIFS(Datos!$E$2:$E$5000,Datos!$A$2:$A$5000,F$1,Datos!$B$2:$B$5000,$A231,Datos!$C$2:$C$5000,$B231,Datos!$D$2:$D$5000,F$2))</f>
        <v/>
      </c>
      <c r="G231" s="9">
        <f>IF(COUNTIFS(Datos!$A$2:$A$5000,G$1,Datos!$B$2:$B$5000,$A231,Datos!$C$2:$C$5000,$B231,Datos!$D$2:$D$5000,G$2)=0,"",SUMIFS(Datos!$E$2:$E$5000,Datos!$A$2:$A$5000,G$1,Datos!$B$2:$B$5000,$A231,Datos!$C$2:$C$5000,$B231,Datos!$D$2:$D$5000,G$2))</f>
        <v/>
      </c>
      <c r="H231" s="9">
        <f>IF(COUNTIFS(Datos!$A$2:$A$5000,H$1,Datos!$B$2:$B$5000,$A231,Datos!$C$2:$C$5000,$B231,Datos!$D$2:$D$5000,H$2)=0,"",SUMIFS(Datos!$E$2:$E$5000,Datos!$A$2:$A$5000,H$1,Datos!$B$2:$B$5000,$A231,Datos!$C$2:$C$5000,$B231,Datos!$D$2:$D$5000,H$2))</f>
        <v/>
      </c>
      <c r="I231" s="9">
        <f>IF(COUNTIFS(Datos!$A$2:$A$5000,I$1,Datos!$B$2:$B$5000,$A231,Datos!$C$2:$C$5000,$B231,Datos!$D$2:$D$5000,I$2)=0,"",SUMIFS(Datos!$E$2:$E$5000,Datos!$A$2:$A$5000,I$1,Datos!$B$2:$B$5000,$A231,Datos!$C$2:$C$5000,$B231,Datos!$D$2:$D$5000,I$2))</f>
        <v/>
      </c>
      <c r="J231" s="9">
        <f>IF(COUNTIFS(Datos!$A$2:$A$5000,J$1,Datos!$B$2:$B$5000,$A231,Datos!$C$2:$C$5000,$B231,Datos!$D$2:$D$5000,J$2)=0,"",SUMIFS(Datos!$E$2:$E$5000,Datos!$A$2:$A$5000,J$1,Datos!$B$2:$B$5000,$A231,Datos!$C$2:$C$5000,$B231,Datos!$D$2:$D$5000,J$2))</f>
        <v/>
      </c>
    </row>
    <row r="232">
      <c r="A232" s="8" t="inlineStr">
        <is>
          <t>México</t>
        </is>
      </c>
      <c r="B232" s="8" t="n">
        <v>2007</v>
      </c>
      <c r="C232" s="9">
        <f>IF(COUNTIFS(Datos!$A$2:$A$5000,C$1,Datos!$B$2:$B$5000,$A232,Datos!$C$2:$C$5000,$B232,Datos!$D$2:$D$5000,C$2)=0,"",SUMIFS(Datos!$E$2:$E$5000,Datos!$A$2:$A$5000,C$1,Datos!$B$2:$B$5000,$A232,Datos!$C$2:$C$5000,$B232,Datos!$D$2:$D$5000,C$2))</f>
        <v/>
      </c>
      <c r="D232" s="9">
        <f>IF(COUNTIFS(Datos!$A$2:$A$5000,D$1,Datos!$B$2:$B$5000,$A232,Datos!$C$2:$C$5000,$B232,Datos!$D$2:$D$5000,D$2)=0,"",SUMIFS(Datos!$E$2:$E$5000,Datos!$A$2:$A$5000,D$1,Datos!$B$2:$B$5000,$A232,Datos!$C$2:$C$5000,$B232,Datos!$D$2:$D$5000,D$2))</f>
        <v/>
      </c>
      <c r="E232" s="9">
        <f>IF(COUNTIFS(Datos!$A$2:$A$5000,E$1,Datos!$B$2:$B$5000,$A232,Datos!$C$2:$C$5000,$B232,Datos!$D$2:$D$5000,E$2)=0,"",SUMIFS(Datos!$E$2:$E$5000,Datos!$A$2:$A$5000,E$1,Datos!$B$2:$B$5000,$A232,Datos!$C$2:$C$5000,$B232,Datos!$D$2:$D$5000,E$2))</f>
        <v/>
      </c>
      <c r="F232" s="9">
        <f>IF(COUNTIFS(Datos!$A$2:$A$5000,F$1,Datos!$B$2:$B$5000,$A232,Datos!$C$2:$C$5000,$B232,Datos!$D$2:$D$5000,F$2)=0,"",SUMIFS(Datos!$E$2:$E$5000,Datos!$A$2:$A$5000,F$1,Datos!$B$2:$B$5000,$A232,Datos!$C$2:$C$5000,$B232,Datos!$D$2:$D$5000,F$2))</f>
        <v/>
      </c>
      <c r="G232" s="9">
        <f>IF(COUNTIFS(Datos!$A$2:$A$5000,G$1,Datos!$B$2:$B$5000,$A232,Datos!$C$2:$C$5000,$B232,Datos!$D$2:$D$5000,G$2)=0,"",SUMIFS(Datos!$E$2:$E$5000,Datos!$A$2:$A$5000,G$1,Datos!$B$2:$B$5000,$A232,Datos!$C$2:$C$5000,$B232,Datos!$D$2:$D$5000,G$2))</f>
        <v/>
      </c>
      <c r="H232" s="9">
        <f>IF(COUNTIFS(Datos!$A$2:$A$5000,H$1,Datos!$B$2:$B$5000,$A232,Datos!$C$2:$C$5000,$B232,Datos!$D$2:$D$5000,H$2)=0,"",SUMIFS(Datos!$E$2:$E$5000,Datos!$A$2:$A$5000,H$1,Datos!$B$2:$B$5000,$A232,Datos!$C$2:$C$5000,$B232,Datos!$D$2:$D$5000,H$2))</f>
        <v/>
      </c>
      <c r="I232" s="9">
        <f>IF(COUNTIFS(Datos!$A$2:$A$5000,I$1,Datos!$B$2:$B$5000,$A232,Datos!$C$2:$C$5000,$B232,Datos!$D$2:$D$5000,I$2)=0,"",SUMIFS(Datos!$E$2:$E$5000,Datos!$A$2:$A$5000,I$1,Datos!$B$2:$B$5000,$A232,Datos!$C$2:$C$5000,$B232,Datos!$D$2:$D$5000,I$2))</f>
        <v/>
      </c>
      <c r="J232" s="9">
        <f>IF(COUNTIFS(Datos!$A$2:$A$5000,J$1,Datos!$B$2:$B$5000,$A232,Datos!$C$2:$C$5000,$B232,Datos!$D$2:$D$5000,J$2)=0,"",SUMIFS(Datos!$E$2:$E$5000,Datos!$A$2:$A$5000,J$1,Datos!$B$2:$B$5000,$A232,Datos!$C$2:$C$5000,$B232,Datos!$D$2:$D$5000,J$2))</f>
        <v/>
      </c>
    </row>
    <row r="233">
      <c r="A233" s="8" t="inlineStr">
        <is>
          <t>México</t>
        </is>
      </c>
      <c r="B233" s="8" t="n">
        <v>2008</v>
      </c>
      <c r="C233" s="9">
        <f>IF(COUNTIFS(Datos!$A$2:$A$5000,C$1,Datos!$B$2:$B$5000,$A233,Datos!$C$2:$C$5000,$B233,Datos!$D$2:$D$5000,C$2)=0,"",SUMIFS(Datos!$E$2:$E$5000,Datos!$A$2:$A$5000,C$1,Datos!$B$2:$B$5000,$A233,Datos!$C$2:$C$5000,$B233,Datos!$D$2:$D$5000,C$2))</f>
        <v/>
      </c>
      <c r="D233" s="9">
        <f>IF(COUNTIFS(Datos!$A$2:$A$5000,D$1,Datos!$B$2:$B$5000,$A233,Datos!$C$2:$C$5000,$B233,Datos!$D$2:$D$5000,D$2)=0,"",SUMIFS(Datos!$E$2:$E$5000,Datos!$A$2:$A$5000,D$1,Datos!$B$2:$B$5000,$A233,Datos!$C$2:$C$5000,$B233,Datos!$D$2:$D$5000,D$2))</f>
        <v/>
      </c>
      <c r="E233" s="9">
        <f>IF(COUNTIFS(Datos!$A$2:$A$5000,E$1,Datos!$B$2:$B$5000,$A233,Datos!$C$2:$C$5000,$B233,Datos!$D$2:$D$5000,E$2)=0,"",SUMIFS(Datos!$E$2:$E$5000,Datos!$A$2:$A$5000,E$1,Datos!$B$2:$B$5000,$A233,Datos!$C$2:$C$5000,$B233,Datos!$D$2:$D$5000,E$2))</f>
        <v/>
      </c>
      <c r="F233" s="9">
        <f>IF(COUNTIFS(Datos!$A$2:$A$5000,F$1,Datos!$B$2:$B$5000,$A233,Datos!$C$2:$C$5000,$B233,Datos!$D$2:$D$5000,F$2)=0,"",SUMIFS(Datos!$E$2:$E$5000,Datos!$A$2:$A$5000,F$1,Datos!$B$2:$B$5000,$A233,Datos!$C$2:$C$5000,$B233,Datos!$D$2:$D$5000,F$2))</f>
        <v/>
      </c>
      <c r="G233" s="9">
        <f>IF(COUNTIFS(Datos!$A$2:$A$5000,G$1,Datos!$B$2:$B$5000,$A233,Datos!$C$2:$C$5000,$B233,Datos!$D$2:$D$5000,G$2)=0,"",SUMIFS(Datos!$E$2:$E$5000,Datos!$A$2:$A$5000,G$1,Datos!$B$2:$B$5000,$A233,Datos!$C$2:$C$5000,$B233,Datos!$D$2:$D$5000,G$2))</f>
        <v/>
      </c>
      <c r="H233" s="9">
        <f>IF(COUNTIFS(Datos!$A$2:$A$5000,H$1,Datos!$B$2:$B$5000,$A233,Datos!$C$2:$C$5000,$B233,Datos!$D$2:$D$5000,H$2)=0,"",SUMIFS(Datos!$E$2:$E$5000,Datos!$A$2:$A$5000,H$1,Datos!$B$2:$B$5000,$A233,Datos!$C$2:$C$5000,$B233,Datos!$D$2:$D$5000,H$2))</f>
        <v/>
      </c>
      <c r="I233" s="9">
        <f>IF(COUNTIFS(Datos!$A$2:$A$5000,I$1,Datos!$B$2:$B$5000,$A233,Datos!$C$2:$C$5000,$B233,Datos!$D$2:$D$5000,I$2)=0,"",SUMIFS(Datos!$E$2:$E$5000,Datos!$A$2:$A$5000,I$1,Datos!$B$2:$B$5000,$A233,Datos!$C$2:$C$5000,$B233,Datos!$D$2:$D$5000,I$2))</f>
        <v/>
      </c>
      <c r="J233" s="9">
        <f>IF(COUNTIFS(Datos!$A$2:$A$5000,J$1,Datos!$B$2:$B$5000,$A233,Datos!$C$2:$C$5000,$B233,Datos!$D$2:$D$5000,J$2)=0,"",SUMIFS(Datos!$E$2:$E$5000,Datos!$A$2:$A$5000,J$1,Datos!$B$2:$B$5000,$A233,Datos!$C$2:$C$5000,$B233,Datos!$D$2:$D$5000,J$2))</f>
        <v/>
      </c>
    </row>
    <row r="234">
      <c r="A234" s="8" t="inlineStr">
        <is>
          <t>México</t>
        </is>
      </c>
      <c r="B234" s="8" t="n">
        <v>2009</v>
      </c>
      <c r="C234" s="9">
        <f>IF(COUNTIFS(Datos!$A$2:$A$5000,C$1,Datos!$B$2:$B$5000,$A234,Datos!$C$2:$C$5000,$B234,Datos!$D$2:$D$5000,C$2)=0,"",SUMIFS(Datos!$E$2:$E$5000,Datos!$A$2:$A$5000,C$1,Datos!$B$2:$B$5000,$A234,Datos!$C$2:$C$5000,$B234,Datos!$D$2:$D$5000,C$2))</f>
        <v/>
      </c>
      <c r="D234" s="9">
        <f>IF(COUNTIFS(Datos!$A$2:$A$5000,D$1,Datos!$B$2:$B$5000,$A234,Datos!$C$2:$C$5000,$B234,Datos!$D$2:$D$5000,D$2)=0,"",SUMIFS(Datos!$E$2:$E$5000,Datos!$A$2:$A$5000,D$1,Datos!$B$2:$B$5000,$A234,Datos!$C$2:$C$5000,$B234,Datos!$D$2:$D$5000,D$2))</f>
        <v/>
      </c>
      <c r="E234" s="9">
        <f>IF(COUNTIFS(Datos!$A$2:$A$5000,E$1,Datos!$B$2:$B$5000,$A234,Datos!$C$2:$C$5000,$B234,Datos!$D$2:$D$5000,E$2)=0,"",SUMIFS(Datos!$E$2:$E$5000,Datos!$A$2:$A$5000,E$1,Datos!$B$2:$B$5000,$A234,Datos!$C$2:$C$5000,$B234,Datos!$D$2:$D$5000,E$2))</f>
        <v/>
      </c>
      <c r="F234" s="9">
        <f>IF(COUNTIFS(Datos!$A$2:$A$5000,F$1,Datos!$B$2:$B$5000,$A234,Datos!$C$2:$C$5000,$B234,Datos!$D$2:$D$5000,F$2)=0,"",SUMIFS(Datos!$E$2:$E$5000,Datos!$A$2:$A$5000,F$1,Datos!$B$2:$B$5000,$A234,Datos!$C$2:$C$5000,$B234,Datos!$D$2:$D$5000,F$2))</f>
        <v/>
      </c>
      <c r="G234" s="9">
        <f>IF(COUNTIFS(Datos!$A$2:$A$5000,G$1,Datos!$B$2:$B$5000,$A234,Datos!$C$2:$C$5000,$B234,Datos!$D$2:$D$5000,G$2)=0,"",SUMIFS(Datos!$E$2:$E$5000,Datos!$A$2:$A$5000,G$1,Datos!$B$2:$B$5000,$A234,Datos!$C$2:$C$5000,$B234,Datos!$D$2:$D$5000,G$2))</f>
        <v/>
      </c>
      <c r="H234" s="9">
        <f>IF(COUNTIFS(Datos!$A$2:$A$5000,H$1,Datos!$B$2:$B$5000,$A234,Datos!$C$2:$C$5000,$B234,Datos!$D$2:$D$5000,H$2)=0,"",SUMIFS(Datos!$E$2:$E$5000,Datos!$A$2:$A$5000,H$1,Datos!$B$2:$B$5000,$A234,Datos!$C$2:$C$5000,$B234,Datos!$D$2:$D$5000,H$2))</f>
        <v/>
      </c>
      <c r="I234" s="9">
        <f>IF(COUNTIFS(Datos!$A$2:$A$5000,I$1,Datos!$B$2:$B$5000,$A234,Datos!$C$2:$C$5000,$B234,Datos!$D$2:$D$5000,I$2)=0,"",SUMIFS(Datos!$E$2:$E$5000,Datos!$A$2:$A$5000,I$1,Datos!$B$2:$B$5000,$A234,Datos!$C$2:$C$5000,$B234,Datos!$D$2:$D$5000,I$2))</f>
        <v/>
      </c>
      <c r="J234" s="9">
        <f>IF(COUNTIFS(Datos!$A$2:$A$5000,J$1,Datos!$B$2:$B$5000,$A234,Datos!$C$2:$C$5000,$B234,Datos!$D$2:$D$5000,J$2)=0,"",SUMIFS(Datos!$E$2:$E$5000,Datos!$A$2:$A$5000,J$1,Datos!$B$2:$B$5000,$A234,Datos!$C$2:$C$5000,$B234,Datos!$D$2:$D$5000,J$2))</f>
        <v/>
      </c>
    </row>
    <row r="235">
      <c r="A235" s="8" t="inlineStr">
        <is>
          <t>México</t>
        </is>
      </c>
      <c r="B235" s="8" t="n">
        <v>2010</v>
      </c>
      <c r="C235" s="9">
        <f>IF(COUNTIFS(Datos!$A$2:$A$5000,C$1,Datos!$B$2:$B$5000,$A235,Datos!$C$2:$C$5000,$B235,Datos!$D$2:$D$5000,C$2)=0,"",SUMIFS(Datos!$E$2:$E$5000,Datos!$A$2:$A$5000,C$1,Datos!$B$2:$B$5000,$A235,Datos!$C$2:$C$5000,$B235,Datos!$D$2:$D$5000,C$2))</f>
        <v/>
      </c>
      <c r="D235" s="9">
        <f>IF(COUNTIFS(Datos!$A$2:$A$5000,D$1,Datos!$B$2:$B$5000,$A235,Datos!$C$2:$C$5000,$B235,Datos!$D$2:$D$5000,D$2)=0,"",SUMIFS(Datos!$E$2:$E$5000,Datos!$A$2:$A$5000,D$1,Datos!$B$2:$B$5000,$A235,Datos!$C$2:$C$5000,$B235,Datos!$D$2:$D$5000,D$2))</f>
        <v/>
      </c>
      <c r="E235" s="9">
        <f>IF(COUNTIFS(Datos!$A$2:$A$5000,E$1,Datos!$B$2:$B$5000,$A235,Datos!$C$2:$C$5000,$B235,Datos!$D$2:$D$5000,E$2)=0,"",SUMIFS(Datos!$E$2:$E$5000,Datos!$A$2:$A$5000,E$1,Datos!$B$2:$B$5000,$A235,Datos!$C$2:$C$5000,$B235,Datos!$D$2:$D$5000,E$2))</f>
        <v/>
      </c>
      <c r="F235" s="9">
        <f>IF(COUNTIFS(Datos!$A$2:$A$5000,F$1,Datos!$B$2:$B$5000,$A235,Datos!$C$2:$C$5000,$B235,Datos!$D$2:$D$5000,F$2)=0,"",SUMIFS(Datos!$E$2:$E$5000,Datos!$A$2:$A$5000,F$1,Datos!$B$2:$B$5000,$A235,Datos!$C$2:$C$5000,$B235,Datos!$D$2:$D$5000,F$2))</f>
        <v/>
      </c>
      <c r="G235" s="9">
        <f>IF(COUNTIFS(Datos!$A$2:$A$5000,G$1,Datos!$B$2:$B$5000,$A235,Datos!$C$2:$C$5000,$B235,Datos!$D$2:$D$5000,G$2)=0,"",SUMIFS(Datos!$E$2:$E$5000,Datos!$A$2:$A$5000,G$1,Datos!$B$2:$B$5000,$A235,Datos!$C$2:$C$5000,$B235,Datos!$D$2:$D$5000,G$2))</f>
        <v/>
      </c>
      <c r="H235" s="9">
        <f>IF(COUNTIFS(Datos!$A$2:$A$5000,H$1,Datos!$B$2:$B$5000,$A235,Datos!$C$2:$C$5000,$B235,Datos!$D$2:$D$5000,H$2)=0,"",SUMIFS(Datos!$E$2:$E$5000,Datos!$A$2:$A$5000,H$1,Datos!$B$2:$B$5000,$A235,Datos!$C$2:$C$5000,$B235,Datos!$D$2:$D$5000,H$2))</f>
        <v/>
      </c>
      <c r="I235" s="9">
        <f>IF(COUNTIFS(Datos!$A$2:$A$5000,I$1,Datos!$B$2:$B$5000,$A235,Datos!$C$2:$C$5000,$B235,Datos!$D$2:$D$5000,I$2)=0,"",SUMIFS(Datos!$E$2:$E$5000,Datos!$A$2:$A$5000,I$1,Datos!$B$2:$B$5000,$A235,Datos!$C$2:$C$5000,$B235,Datos!$D$2:$D$5000,I$2))</f>
        <v/>
      </c>
      <c r="J235" s="9">
        <f>IF(COUNTIFS(Datos!$A$2:$A$5000,J$1,Datos!$B$2:$B$5000,$A235,Datos!$C$2:$C$5000,$B235,Datos!$D$2:$D$5000,J$2)=0,"",SUMIFS(Datos!$E$2:$E$5000,Datos!$A$2:$A$5000,J$1,Datos!$B$2:$B$5000,$A235,Datos!$C$2:$C$5000,$B235,Datos!$D$2:$D$5000,J$2))</f>
        <v/>
      </c>
    </row>
    <row r="236">
      <c r="A236" s="8" t="inlineStr">
        <is>
          <t>México</t>
        </is>
      </c>
      <c r="B236" s="8" t="n">
        <v>2011</v>
      </c>
      <c r="C236" s="9">
        <f>IF(COUNTIFS(Datos!$A$2:$A$5000,C$1,Datos!$B$2:$B$5000,$A236,Datos!$C$2:$C$5000,$B236,Datos!$D$2:$D$5000,C$2)=0,"",SUMIFS(Datos!$E$2:$E$5000,Datos!$A$2:$A$5000,C$1,Datos!$B$2:$B$5000,$A236,Datos!$C$2:$C$5000,$B236,Datos!$D$2:$D$5000,C$2))</f>
        <v/>
      </c>
      <c r="D236" s="9">
        <f>IF(COUNTIFS(Datos!$A$2:$A$5000,D$1,Datos!$B$2:$B$5000,$A236,Datos!$C$2:$C$5000,$B236,Datos!$D$2:$D$5000,D$2)=0,"",SUMIFS(Datos!$E$2:$E$5000,Datos!$A$2:$A$5000,D$1,Datos!$B$2:$B$5000,$A236,Datos!$C$2:$C$5000,$B236,Datos!$D$2:$D$5000,D$2))</f>
        <v/>
      </c>
      <c r="E236" s="9">
        <f>IF(COUNTIFS(Datos!$A$2:$A$5000,E$1,Datos!$B$2:$B$5000,$A236,Datos!$C$2:$C$5000,$B236,Datos!$D$2:$D$5000,E$2)=0,"",SUMIFS(Datos!$E$2:$E$5000,Datos!$A$2:$A$5000,E$1,Datos!$B$2:$B$5000,$A236,Datos!$C$2:$C$5000,$B236,Datos!$D$2:$D$5000,E$2))</f>
        <v/>
      </c>
      <c r="F236" s="9">
        <f>IF(COUNTIFS(Datos!$A$2:$A$5000,F$1,Datos!$B$2:$B$5000,$A236,Datos!$C$2:$C$5000,$B236,Datos!$D$2:$D$5000,F$2)=0,"",SUMIFS(Datos!$E$2:$E$5000,Datos!$A$2:$A$5000,F$1,Datos!$B$2:$B$5000,$A236,Datos!$C$2:$C$5000,$B236,Datos!$D$2:$D$5000,F$2))</f>
        <v/>
      </c>
      <c r="G236" s="9">
        <f>IF(COUNTIFS(Datos!$A$2:$A$5000,G$1,Datos!$B$2:$B$5000,$A236,Datos!$C$2:$C$5000,$B236,Datos!$D$2:$D$5000,G$2)=0,"",SUMIFS(Datos!$E$2:$E$5000,Datos!$A$2:$A$5000,G$1,Datos!$B$2:$B$5000,$A236,Datos!$C$2:$C$5000,$B236,Datos!$D$2:$D$5000,G$2))</f>
        <v/>
      </c>
      <c r="H236" s="9">
        <f>IF(COUNTIFS(Datos!$A$2:$A$5000,H$1,Datos!$B$2:$B$5000,$A236,Datos!$C$2:$C$5000,$B236,Datos!$D$2:$D$5000,H$2)=0,"",SUMIFS(Datos!$E$2:$E$5000,Datos!$A$2:$A$5000,H$1,Datos!$B$2:$B$5000,$A236,Datos!$C$2:$C$5000,$B236,Datos!$D$2:$D$5000,H$2))</f>
        <v/>
      </c>
      <c r="I236" s="9">
        <f>IF(COUNTIFS(Datos!$A$2:$A$5000,I$1,Datos!$B$2:$B$5000,$A236,Datos!$C$2:$C$5000,$B236,Datos!$D$2:$D$5000,I$2)=0,"",SUMIFS(Datos!$E$2:$E$5000,Datos!$A$2:$A$5000,I$1,Datos!$B$2:$B$5000,$A236,Datos!$C$2:$C$5000,$B236,Datos!$D$2:$D$5000,I$2))</f>
        <v/>
      </c>
      <c r="J236" s="9">
        <f>IF(COUNTIFS(Datos!$A$2:$A$5000,J$1,Datos!$B$2:$B$5000,$A236,Datos!$C$2:$C$5000,$B236,Datos!$D$2:$D$5000,J$2)=0,"",SUMIFS(Datos!$E$2:$E$5000,Datos!$A$2:$A$5000,J$1,Datos!$B$2:$B$5000,$A236,Datos!$C$2:$C$5000,$B236,Datos!$D$2:$D$5000,J$2))</f>
        <v/>
      </c>
    </row>
    <row r="237">
      <c r="A237" s="8" t="inlineStr">
        <is>
          <t>México</t>
        </is>
      </c>
      <c r="B237" s="8" t="n">
        <v>2015</v>
      </c>
      <c r="C237" s="9">
        <f>IF(COUNTIFS(Datos!$A$2:$A$5000,C$1,Datos!$B$2:$B$5000,$A237,Datos!$C$2:$C$5000,$B237,Datos!$D$2:$D$5000,C$2)=0,"",SUMIFS(Datos!$E$2:$E$5000,Datos!$A$2:$A$5000,C$1,Datos!$B$2:$B$5000,$A237,Datos!$C$2:$C$5000,$B237,Datos!$D$2:$D$5000,C$2))</f>
        <v/>
      </c>
      <c r="D237" s="9">
        <f>IF(COUNTIFS(Datos!$A$2:$A$5000,D$1,Datos!$B$2:$B$5000,$A237,Datos!$C$2:$C$5000,$B237,Datos!$D$2:$D$5000,D$2)=0,"",SUMIFS(Datos!$E$2:$E$5000,Datos!$A$2:$A$5000,D$1,Datos!$B$2:$B$5000,$A237,Datos!$C$2:$C$5000,$B237,Datos!$D$2:$D$5000,D$2))</f>
        <v/>
      </c>
      <c r="E237" s="9">
        <f>IF(COUNTIFS(Datos!$A$2:$A$5000,E$1,Datos!$B$2:$B$5000,$A237,Datos!$C$2:$C$5000,$B237,Datos!$D$2:$D$5000,E$2)=0,"",SUMIFS(Datos!$E$2:$E$5000,Datos!$A$2:$A$5000,E$1,Datos!$B$2:$B$5000,$A237,Datos!$C$2:$C$5000,$B237,Datos!$D$2:$D$5000,E$2))</f>
        <v/>
      </c>
      <c r="F237" s="9">
        <f>IF(COUNTIFS(Datos!$A$2:$A$5000,F$1,Datos!$B$2:$B$5000,$A237,Datos!$C$2:$C$5000,$B237,Datos!$D$2:$D$5000,F$2)=0,"",SUMIFS(Datos!$E$2:$E$5000,Datos!$A$2:$A$5000,F$1,Datos!$B$2:$B$5000,$A237,Datos!$C$2:$C$5000,$B237,Datos!$D$2:$D$5000,F$2))</f>
        <v/>
      </c>
      <c r="G237" s="9">
        <f>IF(COUNTIFS(Datos!$A$2:$A$5000,G$1,Datos!$B$2:$B$5000,$A237,Datos!$C$2:$C$5000,$B237,Datos!$D$2:$D$5000,G$2)=0,"",SUMIFS(Datos!$E$2:$E$5000,Datos!$A$2:$A$5000,G$1,Datos!$B$2:$B$5000,$A237,Datos!$C$2:$C$5000,$B237,Datos!$D$2:$D$5000,G$2))</f>
        <v/>
      </c>
      <c r="H237" s="9">
        <f>IF(COUNTIFS(Datos!$A$2:$A$5000,H$1,Datos!$B$2:$B$5000,$A237,Datos!$C$2:$C$5000,$B237,Datos!$D$2:$D$5000,H$2)=0,"",SUMIFS(Datos!$E$2:$E$5000,Datos!$A$2:$A$5000,H$1,Datos!$B$2:$B$5000,$A237,Datos!$C$2:$C$5000,$B237,Datos!$D$2:$D$5000,H$2))</f>
        <v/>
      </c>
      <c r="I237" s="9">
        <f>IF(COUNTIFS(Datos!$A$2:$A$5000,I$1,Datos!$B$2:$B$5000,$A237,Datos!$C$2:$C$5000,$B237,Datos!$D$2:$D$5000,I$2)=0,"",SUMIFS(Datos!$E$2:$E$5000,Datos!$A$2:$A$5000,I$1,Datos!$B$2:$B$5000,$A237,Datos!$C$2:$C$5000,$B237,Datos!$D$2:$D$5000,I$2))</f>
        <v/>
      </c>
      <c r="J237" s="9">
        <f>IF(COUNTIFS(Datos!$A$2:$A$5000,J$1,Datos!$B$2:$B$5000,$A237,Datos!$C$2:$C$5000,$B237,Datos!$D$2:$D$5000,J$2)=0,"",SUMIFS(Datos!$E$2:$E$5000,Datos!$A$2:$A$5000,J$1,Datos!$B$2:$B$5000,$A237,Datos!$C$2:$C$5000,$B237,Datos!$D$2:$D$5000,J$2))</f>
        <v/>
      </c>
    </row>
    <row r="238">
      <c r="A238" s="8" t="inlineStr">
        <is>
          <t>México</t>
        </is>
      </c>
      <c r="B238" s="8" t="n">
        <v>2016</v>
      </c>
      <c r="C238" s="9">
        <f>IF(COUNTIFS(Datos!$A$2:$A$5000,C$1,Datos!$B$2:$B$5000,$A238,Datos!$C$2:$C$5000,$B238,Datos!$D$2:$D$5000,C$2)=0,"",SUMIFS(Datos!$E$2:$E$5000,Datos!$A$2:$A$5000,C$1,Datos!$B$2:$B$5000,$A238,Datos!$C$2:$C$5000,$B238,Datos!$D$2:$D$5000,C$2))</f>
        <v/>
      </c>
      <c r="D238" s="9">
        <f>IF(COUNTIFS(Datos!$A$2:$A$5000,D$1,Datos!$B$2:$B$5000,$A238,Datos!$C$2:$C$5000,$B238,Datos!$D$2:$D$5000,D$2)=0,"",SUMIFS(Datos!$E$2:$E$5000,Datos!$A$2:$A$5000,D$1,Datos!$B$2:$B$5000,$A238,Datos!$C$2:$C$5000,$B238,Datos!$D$2:$D$5000,D$2))</f>
        <v/>
      </c>
      <c r="E238" s="9">
        <f>IF(COUNTIFS(Datos!$A$2:$A$5000,E$1,Datos!$B$2:$B$5000,$A238,Datos!$C$2:$C$5000,$B238,Datos!$D$2:$D$5000,E$2)=0,"",SUMIFS(Datos!$E$2:$E$5000,Datos!$A$2:$A$5000,E$1,Datos!$B$2:$B$5000,$A238,Datos!$C$2:$C$5000,$B238,Datos!$D$2:$D$5000,E$2))</f>
        <v/>
      </c>
      <c r="F238" s="9">
        <f>IF(COUNTIFS(Datos!$A$2:$A$5000,F$1,Datos!$B$2:$B$5000,$A238,Datos!$C$2:$C$5000,$B238,Datos!$D$2:$D$5000,F$2)=0,"",SUMIFS(Datos!$E$2:$E$5000,Datos!$A$2:$A$5000,F$1,Datos!$B$2:$B$5000,$A238,Datos!$C$2:$C$5000,$B238,Datos!$D$2:$D$5000,F$2))</f>
        <v/>
      </c>
      <c r="G238" s="9">
        <f>IF(COUNTIFS(Datos!$A$2:$A$5000,G$1,Datos!$B$2:$B$5000,$A238,Datos!$C$2:$C$5000,$B238,Datos!$D$2:$D$5000,G$2)=0,"",SUMIFS(Datos!$E$2:$E$5000,Datos!$A$2:$A$5000,G$1,Datos!$B$2:$B$5000,$A238,Datos!$C$2:$C$5000,$B238,Datos!$D$2:$D$5000,G$2))</f>
        <v/>
      </c>
      <c r="H238" s="9">
        <f>IF(COUNTIFS(Datos!$A$2:$A$5000,H$1,Datos!$B$2:$B$5000,$A238,Datos!$C$2:$C$5000,$B238,Datos!$D$2:$D$5000,H$2)=0,"",SUMIFS(Datos!$E$2:$E$5000,Datos!$A$2:$A$5000,H$1,Datos!$B$2:$B$5000,$A238,Datos!$C$2:$C$5000,$B238,Datos!$D$2:$D$5000,H$2))</f>
        <v/>
      </c>
      <c r="I238" s="9">
        <f>IF(COUNTIFS(Datos!$A$2:$A$5000,I$1,Datos!$B$2:$B$5000,$A238,Datos!$C$2:$C$5000,$B238,Datos!$D$2:$D$5000,I$2)=0,"",SUMIFS(Datos!$E$2:$E$5000,Datos!$A$2:$A$5000,I$1,Datos!$B$2:$B$5000,$A238,Datos!$C$2:$C$5000,$B238,Datos!$D$2:$D$5000,I$2))</f>
        <v/>
      </c>
      <c r="J238" s="9">
        <f>IF(COUNTIFS(Datos!$A$2:$A$5000,J$1,Datos!$B$2:$B$5000,$A238,Datos!$C$2:$C$5000,$B238,Datos!$D$2:$D$5000,J$2)=0,"",SUMIFS(Datos!$E$2:$E$5000,Datos!$A$2:$A$5000,J$1,Datos!$B$2:$B$5000,$A238,Datos!$C$2:$C$5000,$B238,Datos!$D$2:$D$5000,J$2))</f>
        <v/>
      </c>
    </row>
    <row r="239">
      <c r="A239" s="8" t="inlineStr">
        <is>
          <t>México</t>
        </is>
      </c>
      <c r="B239" s="8" t="n">
        <v>2017</v>
      </c>
      <c r="C239" s="9">
        <f>IF(COUNTIFS(Datos!$A$2:$A$5000,C$1,Datos!$B$2:$B$5000,$A239,Datos!$C$2:$C$5000,$B239,Datos!$D$2:$D$5000,C$2)=0,"",SUMIFS(Datos!$E$2:$E$5000,Datos!$A$2:$A$5000,C$1,Datos!$B$2:$B$5000,$A239,Datos!$C$2:$C$5000,$B239,Datos!$D$2:$D$5000,C$2))</f>
        <v/>
      </c>
      <c r="D239" s="9">
        <f>IF(COUNTIFS(Datos!$A$2:$A$5000,D$1,Datos!$B$2:$B$5000,$A239,Datos!$C$2:$C$5000,$B239,Datos!$D$2:$D$5000,D$2)=0,"",SUMIFS(Datos!$E$2:$E$5000,Datos!$A$2:$A$5000,D$1,Datos!$B$2:$B$5000,$A239,Datos!$C$2:$C$5000,$B239,Datos!$D$2:$D$5000,D$2))</f>
        <v/>
      </c>
      <c r="E239" s="9">
        <f>IF(COUNTIFS(Datos!$A$2:$A$5000,E$1,Datos!$B$2:$B$5000,$A239,Datos!$C$2:$C$5000,$B239,Datos!$D$2:$D$5000,E$2)=0,"",SUMIFS(Datos!$E$2:$E$5000,Datos!$A$2:$A$5000,E$1,Datos!$B$2:$B$5000,$A239,Datos!$C$2:$C$5000,$B239,Datos!$D$2:$D$5000,E$2))</f>
        <v/>
      </c>
      <c r="F239" s="9">
        <f>IF(COUNTIFS(Datos!$A$2:$A$5000,F$1,Datos!$B$2:$B$5000,$A239,Datos!$C$2:$C$5000,$B239,Datos!$D$2:$D$5000,F$2)=0,"",SUMIFS(Datos!$E$2:$E$5000,Datos!$A$2:$A$5000,F$1,Datos!$B$2:$B$5000,$A239,Datos!$C$2:$C$5000,$B239,Datos!$D$2:$D$5000,F$2))</f>
        <v/>
      </c>
      <c r="G239" s="9">
        <f>IF(COUNTIFS(Datos!$A$2:$A$5000,G$1,Datos!$B$2:$B$5000,$A239,Datos!$C$2:$C$5000,$B239,Datos!$D$2:$D$5000,G$2)=0,"",SUMIFS(Datos!$E$2:$E$5000,Datos!$A$2:$A$5000,G$1,Datos!$B$2:$B$5000,$A239,Datos!$C$2:$C$5000,$B239,Datos!$D$2:$D$5000,G$2))</f>
        <v/>
      </c>
      <c r="H239" s="9">
        <f>IF(COUNTIFS(Datos!$A$2:$A$5000,H$1,Datos!$B$2:$B$5000,$A239,Datos!$C$2:$C$5000,$B239,Datos!$D$2:$D$5000,H$2)=0,"",SUMIFS(Datos!$E$2:$E$5000,Datos!$A$2:$A$5000,H$1,Datos!$B$2:$B$5000,$A239,Datos!$C$2:$C$5000,$B239,Datos!$D$2:$D$5000,H$2))</f>
        <v/>
      </c>
      <c r="I239" s="9">
        <f>IF(COUNTIFS(Datos!$A$2:$A$5000,I$1,Datos!$B$2:$B$5000,$A239,Datos!$C$2:$C$5000,$B239,Datos!$D$2:$D$5000,I$2)=0,"",SUMIFS(Datos!$E$2:$E$5000,Datos!$A$2:$A$5000,I$1,Datos!$B$2:$B$5000,$A239,Datos!$C$2:$C$5000,$B239,Datos!$D$2:$D$5000,I$2))</f>
        <v/>
      </c>
      <c r="J239" s="9">
        <f>IF(COUNTIFS(Datos!$A$2:$A$5000,J$1,Datos!$B$2:$B$5000,$A239,Datos!$C$2:$C$5000,$B239,Datos!$D$2:$D$5000,J$2)=0,"",SUMIFS(Datos!$E$2:$E$5000,Datos!$A$2:$A$5000,J$1,Datos!$B$2:$B$5000,$A239,Datos!$C$2:$C$5000,$B239,Datos!$D$2:$D$5000,J$2))</f>
        <v/>
      </c>
    </row>
    <row r="240">
      <c r="A240" s="8" t="inlineStr">
        <is>
          <t>México</t>
        </is>
      </c>
      <c r="B240" s="8" t="n">
        <v>2018</v>
      </c>
      <c r="C240" s="9">
        <f>IF(COUNTIFS(Datos!$A$2:$A$5000,C$1,Datos!$B$2:$B$5000,$A240,Datos!$C$2:$C$5000,$B240,Datos!$D$2:$D$5000,C$2)=0,"",SUMIFS(Datos!$E$2:$E$5000,Datos!$A$2:$A$5000,C$1,Datos!$B$2:$B$5000,$A240,Datos!$C$2:$C$5000,$B240,Datos!$D$2:$D$5000,C$2))</f>
        <v/>
      </c>
      <c r="D240" s="9">
        <f>IF(COUNTIFS(Datos!$A$2:$A$5000,D$1,Datos!$B$2:$B$5000,$A240,Datos!$C$2:$C$5000,$B240,Datos!$D$2:$D$5000,D$2)=0,"",SUMIFS(Datos!$E$2:$E$5000,Datos!$A$2:$A$5000,D$1,Datos!$B$2:$B$5000,$A240,Datos!$C$2:$C$5000,$B240,Datos!$D$2:$D$5000,D$2))</f>
        <v/>
      </c>
      <c r="E240" s="9">
        <f>IF(COUNTIFS(Datos!$A$2:$A$5000,E$1,Datos!$B$2:$B$5000,$A240,Datos!$C$2:$C$5000,$B240,Datos!$D$2:$D$5000,E$2)=0,"",SUMIFS(Datos!$E$2:$E$5000,Datos!$A$2:$A$5000,E$1,Datos!$B$2:$B$5000,$A240,Datos!$C$2:$C$5000,$B240,Datos!$D$2:$D$5000,E$2))</f>
        <v/>
      </c>
      <c r="F240" s="9">
        <f>IF(COUNTIFS(Datos!$A$2:$A$5000,F$1,Datos!$B$2:$B$5000,$A240,Datos!$C$2:$C$5000,$B240,Datos!$D$2:$D$5000,F$2)=0,"",SUMIFS(Datos!$E$2:$E$5000,Datos!$A$2:$A$5000,F$1,Datos!$B$2:$B$5000,$A240,Datos!$C$2:$C$5000,$B240,Datos!$D$2:$D$5000,F$2))</f>
        <v/>
      </c>
      <c r="G240" s="9">
        <f>IF(COUNTIFS(Datos!$A$2:$A$5000,G$1,Datos!$B$2:$B$5000,$A240,Datos!$C$2:$C$5000,$B240,Datos!$D$2:$D$5000,G$2)=0,"",SUMIFS(Datos!$E$2:$E$5000,Datos!$A$2:$A$5000,G$1,Datos!$B$2:$B$5000,$A240,Datos!$C$2:$C$5000,$B240,Datos!$D$2:$D$5000,G$2))</f>
        <v/>
      </c>
      <c r="H240" s="9">
        <f>IF(COUNTIFS(Datos!$A$2:$A$5000,H$1,Datos!$B$2:$B$5000,$A240,Datos!$C$2:$C$5000,$B240,Datos!$D$2:$D$5000,H$2)=0,"",SUMIFS(Datos!$E$2:$E$5000,Datos!$A$2:$A$5000,H$1,Datos!$B$2:$B$5000,$A240,Datos!$C$2:$C$5000,$B240,Datos!$D$2:$D$5000,H$2))</f>
        <v/>
      </c>
      <c r="I240" s="9">
        <f>IF(COUNTIFS(Datos!$A$2:$A$5000,I$1,Datos!$B$2:$B$5000,$A240,Datos!$C$2:$C$5000,$B240,Datos!$D$2:$D$5000,I$2)=0,"",SUMIFS(Datos!$E$2:$E$5000,Datos!$A$2:$A$5000,I$1,Datos!$B$2:$B$5000,$A240,Datos!$C$2:$C$5000,$B240,Datos!$D$2:$D$5000,I$2))</f>
        <v/>
      </c>
      <c r="J240" s="9">
        <f>IF(COUNTIFS(Datos!$A$2:$A$5000,J$1,Datos!$B$2:$B$5000,$A240,Datos!$C$2:$C$5000,$B240,Datos!$D$2:$D$5000,J$2)=0,"",SUMIFS(Datos!$E$2:$E$5000,Datos!$A$2:$A$5000,J$1,Datos!$B$2:$B$5000,$A240,Datos!$C$2:$C$5000,$B240,Datos!$D$2:$D$5000,J$2))</f>
        <v/>
      </c>
    </row>
    <row r="241">
      <c r="A241" s="8" t="inlineStr">
        <is>
          <t>México</t>
        </is>
      </c>
      <c r="B241" s="8" t="n">
        <v>2020</v>
      </c>
      <c r="C241" s="9">
        <f>IF(COUNTIFS(Datos!$A$2:$A$5000,C$1,Datos!$B$2:$B$5000,$A241,Datos!$C$2:$C$5000,$B241,Datos!$D$2:$D$5000,C$2)=0,"",SUMIFS(Datos!$E$2:$E$5000,Datos!$A$2:$A$5000,C$1,Datos!$B$2:$B$5000,$A241,Datos!$C$2:$C$5000,$B241,Datos!$D$2:$D$5000,C$2))</f>
        <v/>
      </c>
      <c r="D241" s="9">
        <f>IF(COUNTIFS(Datos!$A$2:$A$5000,D$1,Datos!$B$2:$B$5000,$A241,Datos!$C$2:$C$5000,$B241,Datos!$D$2:$D$5000,D$2)=0,"",SUMIFS(Datos!$E$2:$E$5000,Datos!$A$2:$A$5000,D$1,Datos!$B$2:$B$5000,$A241,Datos!$C$2:$C$5000,$B241,Datos!$D$2:$D$5000,D$2))</f>
        <v/>
      </c>
      <c r="E241" s="9">
        <f>IF(COUNTIFS(Datos!$A$2:$A$5000,E$1,Datos!$B$2:$B$5000,$A241,Datos!$C$2:$C$5000,$B241,Datos!$D$2:$D$5000,E$2)=0,"",SUMIFS(Datos!$E$2:$E$5000,Datos!$A$2:$A$5000,E$1,Datos!$B$2:$B$5000,$A241,Datos!$C$2:$C$5000,$B241,Datos!$D$2:$D$5000,E$2))</f>
        <v/>
      </c>
      <c r="F241" s="9">
        <f>IF(COUNTIFS(Datos!$A$2:$A$5000,F$1,Datos!$B$2:$B$5000,$A241,Datos!$C$2:$C$5000,$B241,Datos!$D$2:$D$5000,F$2)=0,"",SUMIFS(Datos!$E$2:$E$5000,Datos!$A$2:$A$5000,F$1,Datos!$B$2:$B$5000,$A241,Datos!$C$2:$C$5000,$B241,Datos!$D$2:$D$5000,F$2))</f>
        <v/>
      </c>
      <c r="G241" s="9">
        <f>IF(COUNTIFS(Datos!$A$2:$A$5000,G$1,Datos!$B$2:$B$5000,$A241,Datos!$C$2:$C$5000,$B241,Datos!$D$2:$D$5000,G$2)=0,"",SUMIFS(Datos!$E$2:$E$5000,Datos!$A$2:$A$5000,G$1,Datos!$B$2:$B$5000,$A241,Datos!$C$2:$C$5000,$B241,Datos!$D$2:$D$5000,G$2))</f>
        <v/>
      </c>
      <c r="H241" s="9">
        <f>IF(COUNTIFS(Datos!$A$2:$A$5000,H$1,Datos!$B$2:$B$5000,$A241,Datos!$C$2:$C$5000,$B241,Datos!$D$2:$D$5000,H$2)=0,"",SUMIFS(Datos!$E$2:$E$5000,Datos!$A$2:$A$5000,H$1,Datos!$B$2:$B$5000,$A241,Datos!$C$2:$C$5000,$B241,Datos!$D$2:$D$5000,H$2))</f>
        <v/>
      </c>
      <c r="I241" s="9">
        <f>IF(COUNTIFS(Datos!$A$2:$A$5000,I$1,Datos!$B$2:$B$5000,$A241,Datos!$C$2:$C$5000,$B241,Datos!$D$2:$D$5000,I$2)=0,"",SUMIFS(Datos!$E$2:$E$5000,Datos!$A$2:$A$5000,I$1,Datos!$B$2:$B$5000,$A241,Datos!$C$2:$C$5000,$B241,Datos!$D$2:$D$5000,I$2))</f>
        <v/>
      </c>
      <c r="J241" s="9">
        <f>IF(COUNTIFS(Datos!$A$2:$A$5000,J$1,Datos!$B$2:$B$5000,$A241,Datos!$C$2:$C$5000,$B241,Datos!$D$2:$D$5000,J$2)=0,"",SUMIFS(Datos!$E$2:$E$5000,Datos!$A$2:$A$5000,J$1,Datos!$B$2:$B$5000,$A241,Datos!$C$2:$C$5000,$B241,Datos!$D$2:$D$5000,J$2))</f>
        <v/>
      </c>
    </row>
    <row r="242">
      <c r="A242" s="8" t="inlineStr">
        <is>
          <t>México</t>
        </is>
      </c>
      <c r="B242" s="8" t="n">
        <v>2024</v>
      </c>
      <c r="C242" s="9">
        <f>IF(COUNTIFS(Datos!$A$2:$A$5000,C$1,Datos!$B$2:$B$5000,$A242,Datos!$C$2:$C$5000,$B242,Datos!$D$2:$D$5000,C$2)=0,"",SUMIFS(Datos!$E$2:$E$5000,Datos!$A$2:$A$5000,C$1,Datos!$B$2:$B$5000,$A242,Datos!$C$2:$C$5000,$B242,Datos!$D$2:$D$5000,C$2))</f>
        <v/>
      </c>
      <c r="D242" s="9">
        <f>IF(COUNTIFS(Datos!$A$2:$A$5000,D$1,Datos!$B$2:$B$5000,$A242,Datos!$C$2:$C$5000,$B242,Datos!$D$2:$D$5000,D$2)=0,"",SUMIFS(Datos!$E$2:$E$5000,Datos!$A$2:$A$5000,D$1,Datos!$B$2:$B$5000,$A242,Datos!$C$2:$C$5000,$B242,Datos!$D$2:$D$5000,D$2))</f>
        <v/>
      </c>
      <c r="E242" s="9">
        <f>IF(COUNTIFS(Datos!$A$2:$A$5000,E$1,Datos!$B$2:$B$5000,$A242,Datos!$C$2:$C$5000,$B242,Datos!$D$2:$D$5000,E$2)=0,"",SUMIFS(Datos!$E$2:$E$5000,Datos!$A$2:$A$5000,E$1,Datos!$B$2:$B$5000,$A242,Datos!$C$2:$C$5000,$B242,Datos!$D$2:$D$5000,E$2))</f>
        <v/>
      </c>
      <c r="F242" s="9">
        <f>IF(COUNTIFS(Datos!$A$2:$A$5000,F$1,Datos!$B$2:$B$5000,$A242,Datos!$C$2:$C$5000,$B242,Datos!$D$2:$D$5000,F$2)=0,"",SUMIFS(Datos!$E$2:$E$5000,Datos!$A$2:$A$5000,F$1,Datos!$B$2:$B$5000,$A242,Datos!$C$2:$C$5000,$B242,Datos!$D$2:$D$5000,F$2))</f>
        <v/>
      </c>
      <c r="G242" s="9">
        <f>IF(COUNTIFS(Datos!$A$2:$A$5000,G$1,Datos!$B$2:$B$5000,$A242,Datos!$C$2:$C$5000,$B242,Datos!$D$2:$D$5000,G$2)=0,"",SUMIFS(Datos!$E$2:$E$5000,Datos!$A$2:$A$5000,G$1,Datos!$B$2:$B$5000,$A242,Datos!$C$2:$C$5000,$B242,Datos!$D$2:$D$5000,G$2))</f>
        <v/>
      </c>
      <c r="H242" s="9">
        <f>IF(COUNTIFS(Datos!$A$2:$A$5000,H$1,Datos!$B$2:$B$5000,$A242,Datos!$C$2:$C$5000,$B242,Datos!$D$2:$D$5000,H$2)=0,"",SUMIFS(Datos!$E$2:$E$5000,Datos!$A$2:$A$5000,H$1,Datos!$B$2:$B$5000,$A242,Datos!$C$2:$C$5000,$B242,Datos!$D$2:$D$5000,H$2))</f>
        <v/>
      </c>
      <c r="I242" s="9">
        <f>IF(COUNTIFS(Datos!$A$2:$A$5000,I$1,Datos!$B$2:$B$5000,$A242,Datos!$C$2:$C$5000,$B242,Datos!$D$2:$D$5000,I$2)=0,"",SUMIFS(Datos!$E$2:$E$5000,Datos!$A$2:$A$5000,I$1,Datos!$B$2:$B$5000,$A242,Datos!$C$2:$C$5000,$B242,Datos!$D$2:$D$5000,I$2))</f>
        <v/>
      </c>
      <c r="J242" s="9">
        <f>IF(COUNTIFS(Datos!$A$2:$A$5000,J$1,Datos!$B$2:$B$5000,$A242,Datos!$C$2:$C$5000,$B242,Datos!$D$2:$D$5000,J$2)=0,"",SUMIFS(Datos!$E$2:$E$5000,Datos!$A$2:$A$5000,J$1,Datos!$B$2:$B$5000,$A242,Datos!$C$2:$C$5000,$B242,Datos!$D$2:$D$5000,J$2))</f>
        <v/>
      </c>
    </row>
    <row r="243">
      <c r="A243" s="8" t="inlineStr">
        <is>
          <t>Nicaragua</t>
        </is>
      </c>
      <c r="B243" s="8" t="n">
        <v>1996</v>
      </c>
      <c r="C243" s="9">
        <f>IF(COUNTIFS(Datos!$A$2:$A$5000,C$1,Datos!$B$2:$B$5000,$A243,Datos!$C$2:$C$5000,$B243,Datos!$D$2:$D$5000,C$2)=0,"",SUMIFS(Datos!$E$2:$E$5000,Datos!$A$2:$A$5000,C$1,Datos!$B$2:$B$5000,$A243,Datos!$C$2:$C$5000,$B243,Datos!$D$2:$D$5000,C$2))</f>
        <v/>
      </c>
      <c r="D243" s="9">
        <f>IF(COUNTIFS(Datos!$A$2:$A$5000,D$1,Datos!$B$2:$B$5000,$A243,Datos!$C$2:$C$5000,$B243,Datos!$D$2:$D$5000,D$2)=0,"",SUMIFS(Datos!$E$2:$E$5000,Datos!$A$2:$A$5000,D$1,Datos!$B$2:$B$5000,$A243,Datos!$C$2:$C$5000,$B243,Datos!$D$2:$D$5000,D$2))</f>
        <v/>
      </c>
      <c r="E243" s="9">
        <f>IF(COUNTIFS(Datos!$A$2:$A$5000,E$1,Datos!$B$2:$B$5000,$A243,Datos!$C$2:$C$5000,$B243,Datos!$D$2:$D$5000,E$2)=0,"",SUMIFS(Datos!$E$2:$E$5000,Datos!$A$2:$A$5000,E$1,Datos!$B$2:$B$5000,$A243,Datos!$C$2:$C$5000,$B243,Datos!$D$2:$D$5000,E$2))</f>
        <v/>
      </c>
      <c r="F243" s="9">
        <f>IF(COUNTIFS(Datos!$A$2:$A$5000,F$1,Datos!$B$2:$B$5000,$A243,Datos!$C$2:$C$5000,$B243,Datos!$D$2:$D$5000,F$2)=0,"",SUMIFS(Datos!$E$2:$E$5000,Datos!$A$2:$A$5000,F$1,Datos!$B$2:$B$5000,$A243,Datos!$C$2:$C$5000,$B243,Datos!$D$2:$D$5000,F$2))</f>
        <v/>
      </c>
      <c r="G243" s="9">
        <f>IF(COUNTIFS(Datos!$A$2:$A$5000,G$1,Datos!$B$2:$B$5000,$A243,Datos!$C$2:$C$5000,$B243,Datos!$D$2:$D$5000,G$2)=0,"",SUMIFS(Datos!$E$2:$E$5000,Datos!$A$2:$A$5000,G$1,Datos!$B$2:$B$5000,$A243,Datos!$C$2:$C$5000,$B243,Datos!$D$2:$D$5000,G$2))</f>
        <v/>
      </c>
      <c r="H243" s="9">
        <f>IF(COUNTIFS(Datos!$A$2:$A$5000,H$1,Datos!$B$2:$B$5000,$A243,Datos!$C$2:$C$5000,$B243,Datos!$D$2:$D$5000,H$2)=0,"",SUMIFS(Datos!$E$2:$E$5000,Datos!$A$2:$A$5000,H$1,Datos!$B$2:$B$5000,$A243,Datos!$C$2:$C$5000,$B243,Datos!$D$2:$D$5000,H$2))</f>
        <v/>
      </c>
      <c r="I243" s="9">
        <f>IF(COUNTIFS(Datos!$A$2:$A$5000,I$1,Datos!$B$2:$B$5000,$A243,Datos!$C$2:$C$5000,$B243,Datos!$D$2:$D$5000,I$2)=0,"",SUMIFS(Datos!$E$2:$E$5000,Datos!$A$2:$A$5000,I$1,Datos!$B$2:$B$5000,$A243,Datos!$C$2:$C$5000,$B243,Datos!$D$2:$D$5000,I$2))</f>
        <v/>
      </c>
      <c r="J243" s="9">
        <f>IF(COUNTIFS(Datos!$A$2:$A$5000,J$1,Datos!$B$2:$B$5000,$A243,Datos!$C$2:$C$5000,$B243,Datos!$D$2:$D$5000,J$2)=0,"",SUMIFS(Datos!$E$2:$E$5000,Datos!$A$2:$A$5000,J$1,Datos!$B$2:$B$5000,$A243,Datos!$C$2:$C$5000,$B243,Datos!$D$2:$D$5000,J$2))</f>
        <v/>
      </c>
    </row>
    <row r="244">
      <c r="A244" s="8" t="inlineStr">
        <is>
          <t>Nicaragua</t>
        </is>
      </c>
      <c r="B244" s="8" t="n">
        <v>1997</v>
      </c>
      <c r="C244" s="9">
        <f>IF(COUNTIFS(Datos!$A$2:$A$5000,C$1,Datos!$B$2:$B$5000,$A244,Datos!$C$2:$C$5000,$B244,Datos!$D$2:$D$5000,C$2)=0,"",SUMIFS(Datos!$E$2:$E$5000,Datos!$A$2:$A$5000,C$1,Datos!$B$2:$B$5000,$A244,Datos!$C$2:$C$5000,$B244,Datos!$D$2:$D$5000,C$2))</f>
        <v/>
      </c>
      <c r="D244" s="9">
        <f>IF(COUNTIFS(Datos!$A$2:$A$5000,D$1,Datos!$B$2:$B$5000,$A244,Datos!$C$2:$C$5000,$B244,Datos!$D$2:$D$5000,D$2)=0,"",SUMIFS(Datos!$E$2:$E$5000,Datos!$A$2:$A$5000,D$1,Datos!$B$2:$B$5000,$A244,Datos!$C$2:$C$5000,$B244,Datos!$D$2:$D$5000,D$2))</f>
        <v/>
      </c>
      <c r="E244" s="9">
        <f>IF(COUNTIFS(Datos!$A$2:$A$5000,E$1,Datos!$B$2:$B$5000,$A244,Datos!$C$2:$C$5000,$B244,Datos!$D$2:$D$5000,E$2)=0,"",SUMIFS(Datos!$E$2:$E$5000,Datos!$A$2:$A$5000,E$1,Datos!$B$2:$B$5000,$A244,Datos!$C$2:$C$5000,$B244,Datos!$D$2:$D$5000,E$2))</f>
        <v/>
      </c>
      <c r="F244" s="9">
        <f>IF(COUNTIFS(Datos!$A$2:$A$5000,F$1,Datos!$B$2:$B$5000,$A244,Datos!$C$2:$C$5000,$B244,Datos!$D$2:$D$5000,F$2)=0,"",SUMIFS(Datos!$E$2:$E$5000,Datos!$A$2:$A$5000,F$1,Datos!$B$2:$B$5000,$A244,Datos!$C$2:$C$5000,$B244,Datos!$D$2:$D$5000,F$2))</f>
        <v/>
      </c>
      <c r="G244" s="9">
        <f>IF(COUNTIFS(Datos!$A$2:$A$5000,G$1,Datos!$B$2:$B$5000,$A244,Datos!$C$2:$C$5000,$B244,Datos!$D$2:$D$5000,G$2)=0,"",SUMIFS(Datos!$E$2:$E$5000,Datos!$A$2:$A$5000,G$1,Datos!$B$2:$B$5000,$A244,Datos!$C$2:$C$5000,$B244,Datos!$D$2:$D$5000,G$2))</f>
        <v/>
      </c>
      <c r="H244" s="9">
        <f>IF(COUNTIFS(Datos!$A$2:$A$5000,H$1,Datos!$B$2:$B$5000,$A244,Datos!$C$2:$C$5000,$B244,Datos!$D$2:$D$5000,H$2)=0,"",SUMIFS(Datos!$E$2:$E$5000,Datos!$A$2:$A$5000,H$1,Datos!$B$2:$B$5000,$A244,Datos!$C$2:$C$5000,$B244,Datos!$D$2:$D$5000,H$2))</f>
        <v/>
      </c>
      <c r="I244" s="9">
        <f>IF(COUNTIFS(Datos!$A$2:$A$5000,I$1,Datos!$B$2:$B$5000,$A244,Datos!$C$2:$C$5000,$B244,Datos!$D$2:$D$5000,I$2)=0,"",SUMIFS(Datos!$E$2:$E$5000,Datos!$A$2:$A$5000,I$1,Datos!$B$2:$B$5000,$A244,Datos!$C$2:$C$5000,$B244,Datos!$D$2:$D$5000,I$2))</f>
        <v/>
      </c>
      <c r="J244" s="9">
        <f>IF(COUNTIFS(Datos!$A$2:$A$5000,J$1,Datos!$B$2:$B$5000,$A244,Datos!$C$2:$C$5000,$B244,Datos!$D$2:$D$5000,J$2)=0,"",SUMIFS(Datos!$E$2:$E$5000,Datos!$A$2:$A$5000,J$1,Datos!$B$2:$B$5000,$A244,Datos!$C$2:$C$5000,$B244,Datos!$D$2:$D$5000,J$2))</f>
        <v/>
      </c>
    </row>
    <row r="245">
      <c r="A245" s="8" t="inlineStr">
        <is>
          <t>Nicaragua</t>
        </is>
      </c>
      <c r="B245" s="8" t="n">
        <v>1998</v>
      </c>
      <c r="C245" s="9">
        <f>IF(COUNTIFS(Datos!$A$2:$A$5000,C$1,Datos!$B$2:$B$5000,$A245,Datos!$C$2:$C$5000,$B245,Datos!$D$2:$D$5000,C$2)=0,"",SUMIFS(Datos!$E$2:$E$5000,Datos!$A$2:$A$5000,C$1,Datos!$B$2:$B$5000,$A245,Datos!$C$2:$C$5000,$B245,Datos!$D$2:$D$5000,C$2))</f>
        <v/>
      </c>
      <c r="D245" s="9">
        <f>IF(COUNTIFS(Datos!$A$2:$A$5000,D$1,Datos!$B$2:$B$5000,$A245,Datos!$C$2:$C$5000,$B245,Datos!$D$2:$D$5000,D$2)=0,"",SUMIFS(Datos!$E$2:$E$5000,Datos!$A$2:$A$5000,D$1,Datos!$B$2:$B$5000,$A245,Datos!$C$2:$C$5000,$B245,Datos!$D$2:$D$5000,D$2))</f>
        <v/>
      </c>
      <c r="E245" s="9">
        <f>IF(COUNTIFS(Datos!$A$2:$A$5000,E$1,Datos!$B$2:$B$5000,$A245,Datos!$C$2:$C$5000,$B245,Datos!$D$2:$D$5000,E$2)=0,"",SUMIFS(Datos!$E$2:$E$5000,Datos!$A$2:$A$5000,E$1,Datos!$B$2:$B$5000,$A245,Datos!$C$2:$C$5000,$B245,Datos!$D$2:$D$5000,E$2))</f>
        <v/>
      </c>
      <c r="F245" s="9">
        <f>IF(COUNTIFS(Datos!$A$2:$A$5000,F$1,Datos!$B$2:$B$5000,$A245,Datos!$C$2:$C$5000,$B245,Datos!$D$2:$D$5000,F$2)=0,"",SUMIFS(Datos!$E$2:$E$5000,Datos!$A$2:$A$5000,F$1,Datos!$B$2:$B$5000,$A245,Datos!$C$2:$C$5000,$B245,Datos!$D$2:$D$5000,F$2))</f>
        <v/>
      </c>
      <c r="G245" s="9">
        <f>IF(COUNTIFS(Datos!$A$2:$A$5000,G$1,Datos!$B$2:$B$5000,$A245,Datos!$C$2:$C$5000,$B245,Datos!$D$2:$D$5000,G$2)=0,"",SUMIFS(Datos!$E$2:$E$5000,Datos!$A$2:$A$5000,G$1,Datos!$B$2:$B$5000,$A245,Datos!$C$2:$C$5000,$B245,Datos!$D$2:$D$5000,G$2))</f>
        <v/>
      </c>
      <c r="H245" s="9">
        <f>IF(COUNTIFS(Datos!$A$2:$A$5000,H$1,Datos!$B$2:$B$5000,$A245,Datos!$C$2:$C$5000,$B245,Datos!$D$2:$D$5000,H$2)=0,"",SUMIFS(Datos!$E$2:$E$5000,Datos!$A$2:$A$5000,H$1,Datos!$B$2:$B$5000,$A245,Datos!$C$2:$C$5000,$B245,Datos!$D$2:$D$5000,H$2))</f>
        <v/>
      </c>
      <c r="I245" s="9">
        <f>IF(COUNTIFS(Datos!$A$2:$A$5000,I$1,Datos!$B$2:$B$5000,$A245,Datos!$C$2:$C$5000,$B245,Datos!$D$2:$D$5000,I$2)=0,"",SUMIFS(Datos!$E$2:$E$5000,Datos!$A$2:$A$5000,I$1,Datos!$B$2:$B$5000,$A245,Datos!$C$2:$C$5000,$B245,Datos!$D$2:$D$5000,I$2))</f>
        <v/>
      </c>
      <c r="J245" s="9">
        <f>IF(COUNTIFS(Datos!$A$2:$A$5000,J$1,Datos!$B$2:$B$5000,$A245,Datos!$C$2:$C$5000,$B245,Datos!$D$2:$D$5000,J$2)=0,"",SUMIFS(Datos!$E$2:$E$5000,Datos!$A$2:$A$5000,J$1,Datos!$B$2:$B$5000,$A245,Datos!$C$2:$C$5000,$B245,Datos!$D$2:$D$5000,J$2))</f>
        <v/>
      </c>
    </row>
    <row r="246">
      <c r="A246" s="8" t="inlineStr">
        <is>
          <t>Nicaragua</t>
        </is>
      </c>
      <c r="B246" s="8" t="n">
        <v>2000</v>
      </c>
      <c r="C246" s="9">
        <f>IF(COUNTIFS(Datos!$A$2:$A$5000,C$1,Datos!$B$2:$B$5000,$A246,Datos!$C$2:$C$5000,$B246,Datos!$D$2:$D$5000,C$2)=0,"",SUMIFS(Datos!$E$2:$E$5000,Datos!$A$2:$A$5000,C$1,Datos!$B$2:$B$5000,$A246,Datos!$C$2:$C$5000,$B246,Datos!$D$2:$D$5000,C$2))</f>
        <v/>
      </c>
      <c r="D246" s="9">
        <f>IF(COUNTIFS(Datos!$A$2:$A$5000,D$1,Datos!$B$2:$B$5000,$A246,Datos!$C$2:$C$5000,$B246,Datos!$D$2:$D$5000,D$2)=0,"",SUMIFS(Datos!$E$2:$E$5000,Datos!$A$2:$A$5000,D$1,Datos!$B$2:$B$5000,$A246,Datos!$C$2:$C$5000,$B246,Datos!$D$2:$D$5000,D$2))</f>
        <v/>
      </c>
      <c r="E246" s="9">
        <f>IF(COUNTIFS(Datos!$A$2:$A$5000,E$1,Datos!$B$2:$B$5000,$A246,Datos!$C$2:$C$5000,$B246,Datos!$D$2:$D$5000,E$2)=0,"",SUMIFS(Datos!$E$2:$E$5000,Datos!$A$2:$A$5000,E$1,Datos!$B$2:$B$5000,$A246,Datos!$C$2:$C$5000,$B246,Datos!$D$2:$D$5000,E$2))</f>
        <v/>
      </c>
      <c r="F246" s="9">
        <f>IF(COUNTIFS(Datos!$A$2:$A$5000,F$1,Datos!$B$2:$B$5000,$A246,Datos!$C$2:$C$5000,$B246,Datos!$D$2:$D$5000,F$2)=0,"",SUMIFS(Datos!$E$2:$E$5000,Datos!$A$2:$A$5000,F$1,Datos!$B$2:$B$5000,$A246,Datos!$C$2:$C$5000,$B246,Datos!$D$2:$D$5000,F$2))</f>
        <v/>
      </c>
      <c r="G246" s="9">
        <f>IF(COUNTIFS(Datos!$A$2:$A$5000,G$1,Datos!$B$2:$B$5000,$A246,Datos!$C$2:$C$5000,$B246,Datos!$D$2:$D$5000,G$2)=0,"",SUMIFS(Datos!$E$2:$E$5000,Datos!$A$2:$A$5000,G$1,Datos!$B$2:$B$5000,$A246,Datos!$C$2:$C$5000,$B246,Datos!$D$2:$D$5000,G$2))</f>
        <v/>
      </c>
      <c r="H246" s="9">
        <f>IF(COUNTIFS(Datos!$A$2:$A$5000,H$1,Datos!$B$2:$B$5000,$A246,Datos!$C$2:$C$5000,$B246,Datos!$D$2:$D$5000,H$2)=0,"",SUMIFS(Datos!$E$2:$E$5000,Datos!$A$2:$A$5000,H$1,Datos!$B$2:$B$5000,$A246,Datos!$C$2:$C$5000,$B246,Datos!$D$2:$D$5000,H$2))</f>
        <v/>
      </c>
      <c r="I246" s="9">
        <f>IF(COUNTIFS(Datos!$A$2:$A$5000,I$1,Datos!$B$2:$B$5000,$A246,Datos!$C$2:$C$5000,$B246,Datos!$D$2:$D$5000,I$2)=0,"",SUMIFS(Datos!$E$2:$E$5000,Datos!$A$2:$A$5000,I$1,Datos!$B$2:$B$5000,$A246,Datos!$C$2:$C$5000,$B246,Datos!$D$2:$D$5000,I$2))</f>
        <v/>
      </c>
      <c r="J246" s="9">
        <f>IF(COUNTIFS(Datos!$A$2:$A$5000,J$1,Datos!$B$2:$B$5000,$A246,Datos!$C$2:$C$5000,$B246,Datos!$D$2:$D$5000,J$2)=0,"",SUMIFS(Datos!$E$2:$E$5000,Datos!$A$2:$A$5000,J$1,Datos!$B$2:$B$5000,$A246,Datos!$C$2:$C$5000,$B246,Datos!$D$2:$D$5000,J$2))</f>
        <v/>
      </c>
    </row>
    <row r="247">
      <c r="A247" s="8" t="inlineStr">
        <is>
          <t>Nicaragua</t>
        </is>
      </c>
      <c r="B247" s="8" t="n">
        <v>2001</v>
      </c>
      <c r="C247" s="9">
        <f>IF(COUNTIFS(Datos!$A$2:$A$5000,C$1,Datos!$B$2:$B$5000,$A247,Datos!$C$2:$C$5000,$B247,Datos!$D$2:$D$5000,C$2)=0,"",SUMIFS(Datos!$E$2:$E$5000,Datos!$A$2:$A$5000,C$1,Datos!$B$2:$B$5000,$A247,Datos!$C$2:$C$5000,$B247,Datos!$D$2:$D$5000,C$2))</f>
        <v/>
      </c>
      <c r="D247" s="9">
        <f>IF(COUNTIFS(Datos!$A$2:$A$5000,D$1,Datos!$B$2:$B$5000,$A247,Datos!$C$2:$C$5000,$B247,Datos!$D$2:$D$5000,D$2)=0,"",SUMIFS(Datos!$E$2:$E$5000,Datos!$A$2:$A$5000,D$1,Datos!$B$2:$B$5000,$A247,Datos!$C$2:$C$5000,$B247,Datos!$D$2:$D$5000,D$2))</f>
        <v/>
      </c>
      <c r="E247" s="9">
        <f>IF(COUNTIFS(Datos!$A$2:$A$5000,E$1,Datos!$B$2:$B$5000,$A247,Datos!$C$2:$C$5000,$B247,Datos!$D$2:$D$5000,E$2)=0,"",SUMIFS(Datos!$E$2:$E$5000,Datos!$A$2:$A$5000,E$1,Datos!$B$2:$B$5000,$A247,Datos!$C$2:$C$5000,$B247,Datos!$D$2:$D$5000,E$2))</f>
        <v/>
      </c>
      <c r="F247" s="9">
        <f>IF(COUNTIFS(Datos!$A$2:$A$5000,F$1,Datos!$B$2:$B$5000,$A247,Datos!$C$2:$C$5000,$B247,Datos!$D$2:$D$5000,F$2)=0,"",SUMIFS(Datos!$E$2:$E$5000,Datos!$A$2:$A$5000,F$1,Datos!$B$2:$B$5000,$A247,Datos!$C$2:$C$5000,$B247,Datos!$D$2:$D$5000,F$2))</f>
        <v/>
      </c>
      <c r="G247" s="9">
        <f>IF(COUNTIFS(Datos!$A$2:$A$5000,G$1,Datos!$B$2:$B$5000,$A247,Datos!$C$2:$C$5000,$B247,Datos!$D$2:$D$5000,G$2)=0,"",SUMIFS(Datos!$E$2:$E$5000,Datos!$A$2:$A$5000,G$1,Datos!$B$2:$B$5000,$A247,Datos!$C$2:$C$5000,$B247,Datos!$D$2:$D$5000,G$2))</f>
        <v/>
      </c>
      <c r="H247" s="9">
        <f>IF(COUNTIFS(Datos!$A$2:$A$5000,H$1,Datos!$B$2:$B$5000,$A247,Datos!$C$2:$C$5000,$B247,Datos!$D$2:$D$5000,H$2)=0,"",SUMIFS(Datos!$E$2:$E$5000,Datos!$A$2:$A$5000,H$1,Datos!$B$2:$B$5000,$A247,Datos!$C$2:$C$5000,$B247,Datos!$D$2:$D$5000,H$2))</f>
        <v/>
      </c>
      <c r="I247" s="9">
        <f>IF(COUNTIFS(Datos!$A$2:$A$5000,I$1,Datos!$B$2:$B$5000,$A247,Datos!$C$2:$C$5000,$B247,Datos!$D$2:$D$5000,I$2)=0,"",SUMIFS(Datos!$E$2:$E$5000,Datos!$A$2:$A$5000,I$1,Datos!$B$2:$B$5000,$A247,Datos!$C$2:$C$5000,$B247,Datos!$D$2:$D$5000,I$2))</f>
        <v/>
      </c>
      <c r="J247" s="9">
        <f>IF(COUNTIFS(Datos!$A$2:$A$5000,J$1,Datos!$B$2:$B$5000,$A247,Datos!$C$2:$C$5000,$B247,Datos!$D$2:$D$5000,J$2)=0,"",SUMIFS(Datos!$E$2:$E$5000,Datos!$A$2:$A$5000,J$1,Datos!$B$2:$B$5000,$A247,Datos!$C$2:$C$5000,$B247,Datos!$D$2:$D$5000,J$2))</f>
        <v/>
      </c>
    </row>
    <row r="248">
      <c r="A248" s="8" t="inlineStr">
        <is>
          <t>Nicaragua</t>
        </is>
      </c>
      <c r="B248" s="8" t="n">
        <v>2002</v>
      </c>
      <c r="C248" s="9">
        <f>IF(COUNTIFS(Datos!$A$2:$A$5000,C$1,Datos!$B$2:$B$5000,$A248,Datos!$C$2:$C$5000,$B248,Datos!$D$2:$D$5000,C$2)=0,"",SUMIFS(Datos!$E$2:$E$5000,Datos!$A$2:$A$5000,C$1,Datos!$B$2:$B$5000,$A248,Datos!$C$2:$C$5000,$B248,Datos!$D$2:$D$5000,C$2))</f>
        <v/>
      </c>
      <c r="D248" s="9">
        <f>IF(COUNTIFS(Datos!$A$2:$A$5000,D$1,Datos!$B$2:$B$5000,$A248,Datos!$C$2:$C$5000,$B248,Datos!$D$2:$D$5000,D$2)=0,"",SUMIFS(Datos!$E$2:$E$5000,Datos!$A$2:$A$5000,D$1,Datos!$B$2:$B$5000,$A248,Datos!$C$2:$C$5000,$B248,Datos!$D$2:$D$5000,D$2))</f>
        <v/>
      </c>
      <c r="E248" s="9">
        <f>IF(COUNTIFS(Datos!$A$2:$A$5000,E$1,Datos!$B$2:$B$5000,$A248,Datos!$C$2:$C$5000,$B248,Datos!$D$2:$D$5000,E$2)=0,"",SUMIFS(Datos!$E$2:$E$5000,Datos!$A$2:$A$5000,E$1,Datos!$B$2:$B$5000,$A248,Datos!$C$2:$C$5000,$B248,Datos!$D$2:$D$5000,E$2))</f>
        <v/>
      </c>
      <c r="F248" s="9">
        <f>IF(COUNTIFS(Datos!$A$2:$A$5000,F$1,Datos!$B$2:$B$5000,$A248,Datos!$C$2:$C$5000,$B248,Datos!$D$2:$D$5000,F$2)=0,"",SUMIFS(Datos!$E$2:$E$5000,Datos!$A$2:$A$5000,F$1,Datos!$B$2:$B$5000,$A248,Datos!$C$2:$C$5000,$B248,Datos!$D$2:$D$5000,F$2))</f>
        <v/>
      </c>
      <c r="G248" s="9">
        <f>IF(COUNTIFS(Datos!$A$2:$A$5000,G$1,Datos!$B$2:$B$5000,$A248,Datos!$C$2:$C$5000,$B248,Datos!$D$2:$D$5000,G$2)=0,"",SUMIFS(Datos!$E$2:$E$5000,Datos!$A$2:$A$5000,G$1,Datos!$B$2:$B$5000,$A248,Datos!$C$2:$C$5000,$B248,Datos!$D$2:$D$5000,G$2))</f>
        <v/>
      </c>
      <c r="H248" s="9">
        <f>IF(COUNTIFS(Datos!$A$2:$A$5000,H$1,Datos!$B$2:$B$5000,$A248,Datos!$C$2:$C$5000,$B248,Datos!$D$2:$D$5000,H$2)=0,"",SUMIFS(Datos!$E$2:$E$5000,Datos!$A$2:$A$5000,H$1,Datos!$B$2:$B$5000,$A248,Datos!$C$2:$C$5000,$B248,Datos!$D$2:$D$5000,H$2))</f>
        <v/>
      </c>
      <c r="I248" s="9">
        <f>IF(COUNTIFS(Datos!$A$2:$A$5000,I$1,Datos!$B$2:$B$5000,$A248,Datos!$C$2:$C$5000,$B248,Datos!$D$2:$D$5000,I$2)=0,"",SUMIFS(Datos!$E$2:$E$5000,Datos!$A$2:$A$5000,I$1,Datos!$B$2:$B$5000,$A248,Datos!$C$2:$C$5000,$B248,Datos!$D$2:$D$5000,I$2))</f>
        <v/>
      </c>
      <c r="J248" s="9">
        <f>IF(COUNTIFS(Datos!$A$2:$A$5000,J$1,Datos!$B$2:$B$5000,$A248,Datos!$C$2:$C$5000,$B248,Datos!$D$2:$D$5000,J$2)=0,"",SUMIFS(Datos!$E$2:$E$5000,Datos!$A$2:$A$5000,J$1,Datos!$B$2:$B$5000,$A248,Datos!$C$2:$C$5000,$B248,Datos!$D$2:$D$5000,J$2))</f>
        <v/>
      </c>
    </row>
    <row r="249">
      <c r="A249" s="8" t="inlineStr">
        <is>
          <t>Nicaragua</t>
        </is>
      </c>
      <c r="B249" s="8" t="n">
        <v>2003</v>
      </c>
      <c r="C249" s="9">
        <f>IF(COUNTIFS(Datos!$A$2:$A$5000,C$1,Datos!$B$2:$B$5000,$A249,Datos!$C$2:$C$5000,$B249,Datos!$D$2:$D$5000,C$2)=0,"",SUMIFS(Datos!$E$2:$E$5000,Datos!$A$2:$A$5000,C$1,Datos!$B$2:$B$5000,$A249,Datos!$C$2:$C$5000,$B249,Datos!$D$2:$D$5000,C$2))</f>
        <v/>
      </c>
      <c r="D249" s="9">
        <f>IF(COUNTIFS(Datos!$A$2:$A$5000,D$1,Datos!$B$2:$B$5000,$A249,Datos!$C$2:$C$5000,$B249,Datos!$D$2:$D$5000,D$2)=0,"",SUMIFS(Datos!$E$2:$E$5000,Datos!$A$2:$A$5000,D$1,Datos!$B$2:$B$5000,$A249,Datos!$C$2:$C$5000,$B249,Datos!$D$2:$D$5000,D$2))</f>
        <v/>
      </c>
      <c r="E249" s="9">
        <f>IF(COUNTIFS(Datos!$A$2:$A$5000,E$1,Datos!$B$2:$B$5000,$A249,Datos!$C$2:$C$5000,$B249,Datos!$D$2:$D$5000,E$2)=0,"",SUMIFS(Datos!$E$2:$E$5000,Datos!$A$2:$A$5000,E$1,Datos!$B$2:$B$5000,$A249,Datos!$C$2:$C$5000,$B249,Datos!$D$2:$D$5000,E$2))</f>
        <v/>
      </c>
      <c r="F249" s="9">
        <f>IF(COUNTIFS(Datos!$A$2:$A$5000,F$1,Datos!$B$2:$B$5000,$A249,Datos!$C$2:$C$5000,$B249,Datos!$D$2:$D$5000,F$2)=0,"",SUMIFS(Datos!$E$2:$E$5000,Datos!$A$2:$A$5000,F$1,Datos!$B$2:$B$5000,$A249,Datos!$C$2:$C$5000,$B249,Datos!$D$2:$D$5000,F$2))</f>
        <v/>
      </c>
      <c r="G249" s="9">
        <f>IF(COUNTIFS(Datos!$A$2:$A$5000,G$1,Datos!$B$2:$B$5000,$A249,Datos!$C$2:$C$5000,$B249,Datos!$D$2:$D$5000,G$2)=0,"",SUMIFS(Datos!$E$2:$E$5000,Datos!$A$2:$A$5000,G$1,Datos!$B$2:$B$5000,$A249,Datos!$C$2:$C$5000,$B249,Datos!$D$2:$D$5000,G$2))</f>
        <v/>
      </c>
      <c r="H249" s="9">
        <f>IF(COUNTIFS(Datos!$A$2:$A$5000,H$1,Datos!$B$2:$B$5000,$A249,Datos!$C$2:$C$5000,$B249,Datos!$D$2:$D$5000,H$2)=0,"",SUMIFS(Datos!$E$2:$E$5000,Datos!$A$2:$A$5000,H$1,Datos!$B$2:$B$5000,$A249,Datos!$C$2:$C$5000,$B249,Datos!$D$2:$D$5000,H$2))</f>
        <v/>
      </c>
      <c r="I249" s="9">
        <f>IF(COUNTIFS(Datos!$A$2:$A$5000,I$1,Datos!$B$2:$B$5000,$A249,Datos!$C$2:$C$5000,$B249,Datos!$D$2:$D$5000,I$2)=0,"",SUMIFS(Datos!$E$2:$E$5000,Datos!$A$2:$A$5000,I$1,Datos!$B$2:$B$5000,$A249,Datos!$C$2:$C$5000,$B249,Datos!$D$2:$D$5000,I$2))</f>
        <v/>
      </c>
      <c r="J249" s="9">
        <f>IF(COUNTIFS(Datos!$A$2:$A$5000,J$1,Datos!$B$2:$B$5000,$A249,Datos!$C$2:$C$5000,$B249,Datos!$D$2:$D$5000,J$2)=0,"",SUMIFS(Datos!$E$2:$E$5000,Datos!$A$2:$A$5000,J$1,Datos!$B$2:$B$5000,$A249,Datos!$C$2:$C$5000,$B249,Datos!$D$2:$D$5000,J$2))</f>
        <v/>
      </c>
    </row>
    <row r="250">
      <c r="A250" s="8" t="inlineStr">
        <is>
          <t>Nicaragua</t>
        </is>
      </c>
      <c r="B250" s="8" t="n">
        <v>2004</v>
      </c>
      <c r="C250" s="9">
        <f>IF(COUNTIFS(Datos!$A$2:$A$5000,C$1,Datos!$B$2:$B$5000,$A250,Datos!$C$2:$C$5000,$B250,Datos!$D$2:$D$5000,C$2)=0,"",SUMIFS(Datos!$E$2:$E$5000,Datos!$A$2:$A$5000,C$1,Datos!$B$2:$B$5000,$A250,Datos!$C$2:$C$5000,$B250,Datos!$D$2:$D$5000,C$2))</f>
        <v/>
      </c>
      <c r="D250" s="9">
        <f>IF(COUNTIFS(Datos!$A$2:$A$5000,D$1,Datos!$B$2:$B$5000,$A250,Datos!$C$2:$C$5000,$B250,Datos!$D$2:$D$5000,D$2)=0,"",SUMIFS(Datos!$E$2:$E$5000,Datos!$A$2:$A$5000,D$1,Datos!$B$2:$B$5000,$A250,Datos!$C$2:$C$5000,$B250,Datos!$D$2:$D$5000,D$2))</f>
        <v/>
      </c>
      <c r="E250" s="9">
        <f>IF(COUNTIFS(Datos!$A$2:$A$5000,E$1,Datos!$B$2:$B$5000,$A250,Datos!$C$2:$C$5000,$B250,Datos!$D$2:$D$5000,E$2)=0,"",SUMIFS(Datos!$E$2:$E$5000,Datos!$A$2:$A$5000,E$1,Datos!$B$2:$B$5000,$A250,Datos!$C$2:$C$5000,$B250,Datos!$D$2:$D$5000,E$2))</f>
        <v/>
      </c>
      <c r="F250" s="9">
        <f>IF(COUNTIFS(Datos!$A$2:$A$5000,F$1,Datos!$B$2:$B$5000,$A250,Datos!$C$2:$C$5000,$B250,Datos!$D$2:$D$5000,F$2)=0,"",SUMIFS(Datos!$E$2:$E$5000,Datos!$A$2:$A$5000,F$1,Datos!$B$2:$B$5000,$A250,Datos!$C$2:$C$5000,$B250,Datos!$D$2:$D$5000,F$2))</f>
        <v/>
      </c>
      <c r="G250" s="9">
        <f>IF(COUNTIFS(Datos!$A$2:$A$5000,G$1,Datos!$B$2:$B$5000,$A250,Datos!$C$2:$C$5000,$B250,Datos!$D$2:$D$5000,G$2)=0,"",SUMIFS(Datos!$E$2:$E$5000,Datos!$A$2:$A$5000,G$1,Datos!$B$2:$B$5000,$A250,Datos!$C$2:$C$5000,$B250,Datos!$D$2:$D$5000,G$2))</f>
        <v/>
      </c>
      <c r="H250" s="9">
        <f>IF(COUNTIFS(Datos!$A$2:$A$5000,H$1,Datos!$B$2:$B$5000,$A250,Datos!$C$2:$C$5000,$B250,Datos!$D$2:$D$5000,H$2)=0,"",SUMIFS(Datos!$E$2:$E$5000,Datos!$A$2:$A$5000,H$1,Datos!$B$2:$B$5000,$A250,Datos!$C$2:$C$5000,$B250,Datos!$D$2:$D$5000,H$2))</f>
        <v/>
      </c>
      <c r="I250" s="9">
        <f>IF(COUNTIFS(Datos!$A$2:$A$5000,I$1,Datos!$B$2:$B$5000,$A250,Datos!$C$2:$C$5000,$B250,Datos!$D$2:$D$5000,I$2)=0,"",SUMIFS(Datos!$E$2:$E$5000,Datos!$A$2:$A$5000,I$1,Datos!$B$2:$B$5000,$A250,Datos!$C$2:$C$5000,$B250,Datos!$D$2:$D$5000,I$2))</f>
        <v/>
      </c>
      <c r="J250" s="9">
        <f>IF(COUNTIFS(Datos!$A$2:$A$5000,J$1,Datos!$B$2:$B$5000,$A250,Datos!$C$2:$C$5000,$B250,Datos!$D$2:$D$5000,J$2)=0,"",SUMIFS(Datos!$E$2:$E$5000,Datos!$A$2:$A$5000,J$1,Datos!$B$2:$B$5000,$A250,Datos!$C$2:$C$5000,$B250,Datos!$D$2:$D$5000,J$2))</f>
        <v/>
      </c>
    </row>
    <row r="251">
      <c r="A251" s="8" t="inlineStr">
        <is>
          <t>Nicaragua</t>
        </is>
      </c>
      <c r="B251" s="8" t="n">
        <v>2005</v>
      </c>
      <c r="C251" s="9">
        <f>IF(COUNTIFS(Datos!$A$2:$A$5000,C$1,Datos!$B$2:$B$5000,$A251,Datos!$C$2:$C$5000,$B251,Datos!$D$2:$D$5000,C$2)=0,"",SUMIFS(Datos!$E$2:$E$5000,Datos!$A$2:$A$5000,C$1,Datos!$B$2:$B$5000,$A251,Datos!$C$2:$C$5000,$B251,Datos!$D$2:$D$5000,C$2))</f>
        <v/>
      </c>
      <c r="D251" s="9">
        <f>IF(COUNTIFS(Datos!$A$2:$A$5000,D$1,Datos!$B$2:$B$5000,$A251,Datos!$C$2:$C$5000,$B251,Datos!$D$2:$D$5000,D$2)=0,"",SUMIFS(Datos!$E$2:$E$5000,Datos!$A$2:$A$5000,D$1,Datos!$B$2:$B$5000,$A251,Datos!$C$2:$C$5000,$B251,Datos!$D$2:$D$5000,D$2))</f>
        <v/>
      </c>
      <c r="E251" s="9">
        <f>IF(COUNTIFS(Datos!$A$2:$A$5000,E$1,Datos!$B$2:$B$5000,$A251,Datos!$C$2:$C$5000,$B251,Datos!$D$2:$D$5000,E$2)=0,"",SUMIFS(Datos!$E$2:$E$5000,Datos!$A$2:$A$5000,E$1,Datos!$B$2:$B$5000,$A251,Datos!$C$2:$C$5000,$B251,Datos!$D$2:$D$5000,E$2))</f>
        <v/>
      </c>
      <c r="F251" s="9">
        <f>IF(COUNTIFS(Datos!$A$2:$A$5000,F$1,Datos!$B$2:$B$5000,$A251,Datos!$C$2:$C$5000,$B251,Datos!$D$2:$D$5000,F$2)=0,"",SUMIFS(Datos!$E$2:$E$5000,Datos!$A$2:$A$5000,F$1,Datos!$B$2:$B$5000,$A251,Datos!$C$2:$C$5000,$B251,Datos!$D$2:$D$5000,F$2))</f>
        <v/>
      </c>
      <c r="G251" s="9">
        <f>IF(COUNTIFS(Datos!$A$2:$A$5000,G$1,Datos!$B$2:$B$5000,$A251,Datos!$C$2:$C$5000,$B251,Datos!$D$2:$D$5000,G$2)=0,"",SUMIFS(Datos!$E$2:$E$5000,Datos!$A$2:$A$5000,G$1,Datos!$B$2:$B$5000,$A251,Datos!$C$2:$C$5000,$B251,Datos!$D$2:$D$5000,G$2))</f>
        <v/>
      </c>
      <c r="H251" s="9">
        <f>IF(COUNTIFS(Datos!$A$2:$A$5000,H$1,Datos!$B$2:$B$5000,$A251,Datos!$C$2:$C$5000,$B251,Datos!$D$2:$D$5000,H$2)=0,"",SUMIFS(Datos!$E$2:$E$5000,Datos!$A$2:$A$5000,H$1,Datos!$B$2:$B$5000,$A251,Datos!$C$2:$C$5000,$B251,Datos!$D$2:$D$5000,H$2))</f>
        <v/>
      </c>
      <c r="I251" s="9">
        <f>IF(COUNTIFS(Datos!$A$2:$A$5000,I$1,Datos!$B$2:$B$5000,$A251,Datos!$C$2:$C$5000,$B251,Datos!$D$2:$D$5000,I$2)=0,"",SUMIFS(Datos!$E$2:$E$5000,Datos!$A$2:$A$5000,I$1,Datos!$B$2:$B$5000,$A251,Datos!$C$2:$C$5000,$B251,Datos!$D$2:$D$5000,I$2))</f>
        <v/>
      </c>
      <c r="J251" s="9">
        <f>IF(COUNTIFS(Datos!$A$2:$A$5000,J$1,Datos!$B$2:$B$5000,$A251,Datos!$C$2:$C$5000,$B251,Datos!$D$2:$D$5000,J$2)=0,"",SUMIFS(Datos!$E$2:$E$5000,Datos!$A$2:$A$5000,J$1,Datos!$B$2:$B$5000,$A251,Datos!$C$2:$C$5000,$B251,Datos!$D$2:$D$5000,J$2))</f>
        <v/>
      </c>
    </row>
    <row r="252">
      <c r="A252" s="8" t="inlineStr">
        <is>
          <t>Nicaragua</t>
        </is>
      </c>
      <c r="B252" s="8" t="n">
        <v>2006</v>
      </c>
      <c r="C252" s="9">
        <f>IF(COUNTIFS(Datos!$A$2:$A$5000,C$1,Datos!$B$2:$B$5000,$A252,Datos!$C$2:$C$5000,$B252,Datos!$D$2:$D$5000,C$2)=0,"",SUMIFS(Datos!$E$2:$E$5000,Datos!$A$2:$A$5000,C$1,Datos!$B$2:$B$5000,$A252,Datos!$C$2:$C$5000,$B252,Datos!$D$2:$D$5000,C$2))</f>
        <v/>
      </c>
      <c r="D252" s="9">
        <f>IF(COUNTIFS(Datos!$A$2:$A$5000,D$1,Datos!$B$2:$B$5000,$A252,Datos!$C$2:$C$5000,$B252,Datos!$D$2:$D$5000,D$2)=0,"",SUMIFS(Datos!$E$2:$E$5000,Datos!$A$2:$A$5000,D$1,Datos!$B$2:$B$5000,$A252,Datos!$C$2:$C$5000,$B252,Datos!$D$2:$D$5000,D$2))</f>
        <v/>
      </c>
      <c r="E252" s="9">
        <f>IF(COUNTIFS(Datos!$A$2:$A$5000,E$1,Datos!$B$2:$B$5000,$A252,Datos!$C$2:$C$5000,$B252,Datos!$D$2:$D$5000,E$2)=0,"",SUMIFS(Datos!$E$2:$E$5000,Datos!$A$2:$A$5000,E$1,Datos!$B$2:$B$5000,$A252,Datos!$C$2:$C$5000,$B252,Datos!$D$2:$D$5000,E$2))</f>
        <v/>
      </c>
      <c r="F252" s="9">
        <f>IF(COUNTIFS(Datos!$A$2:$A$5000,F$1,Datos!$B$2:$B$5000,$A252,Datos!$C$2:$C$5000,$B252,Datos!$D$2:$D$5000,F$2)=0,"",SUMIFS(Datos!$E$2:$E$5000,Datos!$A$2:$A$5000,F$1,Datos!$B$2:$B$5000,$A252,Datos!$C$2:$C$5000,$B252,Datos!$D$2:$D$5000,F$2))</f>
        <v/>
      </c>
      <c r="G252" s="9">
        <f>IF(COUNTIFS(Datos!$A$2:$A$5000,G$1,Datos!$B$2:$B$5000,$A252,Datos!$C$2:$C$5000,$B252,Datos!$D$2:$D$5000,G$2)=0,"",SUMIFS(Datos!$E$2:$E$5000,Datos!$A$2:$A$5000,G$1,Datos!$B$2:$B$5000,$A252,Datos!$C$2:$C$5000,$B252,Datos!$D$2:$D$5000,G$2))</f>
        <v/>
      </c>
      <c r="H252" s="9">
        <f>IF(COUNTIFS(Datos!$A$2:$A$5000,H$1,Datos!$B$2:$B$5000,$A252,Datos!$C$2:$C$5000,$B252,Datos!$D$2:$D$5000,H$2)=0,"",SUMIFS(Datos!$E$2:$E$5000,Datos!$A$2:$A$5000,H$1,Datos!$B$2:$B$5000,$A252,Datos!$C$2:$C$5000,$B252,Datos!$D$2:$D$5000,H$2))</f>
        <v/>
      </c>
      <c r="I252" s="9">
        <f>IF(COUNTIFS(Datos!$A$2:$A$5000,I$1,Datos!$B$2:$B$5000,$A252,Datos!$C$2:$C$5000,$B252,Datos!$D$2:$D$5000,I$2)=0,"",SUMIFS(Datos!$E$2:$E$5000,Datos!$A$2:$A$5000,I$1,Datos!$B$2:$B$5000,$A252,Datos!$C$2:$C$5000,$B252,Datos!$D$2:$D$5000,I$2))</f>
        <v/>
      </c>
      <c r="J252" s="9">
        <f>IF(COUNTIFS(Datos!$A$2:$A$5000,J$1,Datos!$B$2:$B$5000,$A252,Datos!$C$2:$C$5000,$B252,Datos!$D$2:$D$5000,J$2)=0,"",SUMIFS(Datos!$E$2:$E$5000,Datos!$A$2:$A$5000,J$1,Datos!$B$2:$B$5000,$A252,Datos!$C$2:$C$5000,$B252,Datos!$D$2:$D$5000,J$2))</f>
        <v/>
      </c>
    </row>
    <row r="253">
      <c r="A253" s="8" t="inlineStr">
        <is>
          <t>Nicaragua</t>
        </is>
      </c>
      <c r="B253" s="8" t="n">
        <v>2007</v>
      </c>
      <c r="C253" s="9">
        <f>IF(COUNTIFS(Datos!$A$2:$A$5000,C$1,Datos!$B$2:$B$5000,$A253,Datos!$C$2:$C$5000,$B253,Datos!$D$2:$D$5000,C$2)=0,"",SUMIFS(Datos!$E$2:$E$5000,Datos!$A$2:$A$5000,C$1,Datos!$B$2:$B$5000,$A253,Datos!$C$2:$C$5000,$B253,Datos!$D$2:$D$5000,C$2))</f>
        <v/>
      </c>
      <c r="D253" s="9">
        <f>IF(COUNTIFS(Datos!$A$2:$A$5000,D$1,Datos!$B$2:$B$5000,$A253,Datos!$C$2:$C$5000,$B253,Datos!$D$2:$D$5000,D$2)=0,"",SUMIFS(Datos!$E$2:$E$5000,Datos!$A$2:$A$5000,D$1,Datos!$B$2:$B$5000,$A253,Datos!$C$2:$C$5000,$B253,Datos!$D$2:$D$5000,D$2))</f>
        <v/>
      </c>
      <c r="E253" s="9">
        <f>IF(COUNTIFS(Datos!$A$2:$A$5000,E$1,Datos!$B$2:$B$5000,$A253,Datos!$C$2:$C$5000,$B253,Datos!$D$2:$D$5000,E$2)=0,"",SUMIFS(Datos!$E$2:$E$5000,Datos!$A$2:$A$5000,E$1,Datos!$B$2:$B$5000,$A253,Datos!$C$2:$C$5000,$B253,Datos!$D$2:$D$5000,E$2))</f>
        <v/>
      </c>
      <c r="F253" s="9">
        <f>IF(COUNTIFS(Datos!$A$2:$A$5000,F$1,Datos!$B$2:$B$5000,$A253,Datos!$C$2:$C$5000,$B253,Datos!$D$2:$D$5000,F$2)=0,"",SUMIFS(Datos!$E$2:$E$5000,Datos!$A$2:$A$5000,F$1,Datos!$B$2:$B$5000,$A253,Datos!$C$2:$C$5000,$B253,Datos!$D$2:$D$5000,F$2))</f>
        <v/>
      </c>
      <c r="G253" s="9">
        <f>IF(COUNTIFS(Datos!$A$2:$A$5000,G$1,Datos!$B$2:$B$5000,$A253,Datos!$C$2:$C$5000,$B253,Datos!$D$2:$D$5000,G$2)=0,"",SUMIFS(Datos!$E$2:$E$5000,Datos!$A$2:$A$5000,G$1,Datos!$B$2:$B$5000,$A253,Datos!$C$2:$C$5000,$B253,Datos!$D$2:$D$5000,G$2))</f>
        <v/>
      </c>
      <c r="H253" s="9">
        <f>IF(COUNTIFS(Datos!$A$2:$A$5000,H$1,Datos!$B$2:$B$5000,$A253,Datos!$C$2:$C$5000,$B253,Datos!$D$2:$D$5000,H$2)=0,"",SUMIFS(Datos!$E$2:$E$5000,Datos!$A$2:$A$5000,H$1,Datos!$B$2:$B$5000,$A253,Datos!$C$2:$C$5000,$B253,Datos!$D$2:$D$5000,H$2))</f>
        <v/>
      </c>
      <c r="I253" s="9">
        <f>IF(COUNTIFS(Datos!$A$2:$A$5000,I$1,Datos!$B$2:$B$5000,$A253,Datos!$C$2:$C$5000,$B253,Datos!$D$2:$D$5000,I$2)=0,"",SUMIFS(Datos!$E$2:$E$5000,Datos!$A$2:$A$5000,I$1,Datos!$B$2:$B$5000,$A253,Datos!$C$2:$C$5000,$B253,Datos!$D$2:$D$5000,I$2))</f>
        <v/>
      </c>
      <c r="J253" s="9">
        <f>IF(COUNTIFS(Datos!$A$2:$A$5000,J$1,Datos!$B$2:$B$5000,$A253,Datos!$C$2:$C$5000,$B253,Datos!$D$2:$D$5000,J$2)=0,"",SUMIFS(Datos!$E$2:$E$5000,Datos!$A$2:$A$5000,J$1,Datos!$B$2:$B$5000,$A253,Datos!$C$2:$C$5000,$B253,Datos!$D$2:$D$5000,J$2))</f>
        <v/>
      </c>
    </row>
    <row r="254">
      <c r="A254" s="8" t="inlineStr">
        <is>
          <t>Nicaragua</t>
        </is>
      </c>
      <c r="B254" s="8" t="n">
        <v>2008</v>
      </c>
      <c r="C254" s="9">
        <f>IF(COUNTIFS(Datos!$A$2:$A$5000,C$1,Datos!$B$2:$B$5000,$A254,Datos!$C$2:$C$5000,$B254,Datos!$D$2:$D$5000,C$2)=0,"",SUMIFS(Datos!$E$2:$E$5000,Datos!$A$2:$A$5000,C$1,Datos!$B$2:$B$5000,$A254,Datos!$C$2:$C$5000,$B254,Datos!$D$2:$D$5000,C$2))</f>
        <v/>
      </c>
      <c r="D254" s="9">
        <f>IF(COUNTIFS(Datos!$A$2:$A$5000,D$1,Datos!$B$2:$B$5000,$A254,Datos!$C$2:$C$5000,$B254,Datos!$D$2:$D$5000,D$2)=0,"",SUMIFS(Datos!$E$2:$E$5000,Datos!$A$2:$A$5000,D$1,Datos!$B$2:$B$5000,$A254,Datos!$C$2:$C$5000,$B254,Datos!$D$2:$D$5000,D$2))</f>
        <v/>
      </c>
      <c r="E254" s="9">
        <f>IF(COUNTIFS(Datos!$A$2:$A$5000,E$1,Datos!$B$2:$B$5000,$A254,Datos!$C$2:$C$5000,$B254,Datos!$D$2:$D$5000,E$2)=0,"",SUMIFS(Datos!$E$2:$E$5000,Datos!$A$2:$A$5000,E$1,Datos!$B$2:$B$5000,$A254,Datos!$C$2:$C$5000,$B254,Datos!$D$2:$D$5000,E$2))</f>
        <v/>
      </c>
      <c r="F254" s="9">
        <f>IF(COUNTIFS(Datos!$A$2:$A$5000,F$1,Datos!$B$2:$B$5000,$A254,Datos!$C$2:$C$5000,$B254,Datos!$D$2:$D$5000,F$2)=0,"",SUMIFS(Datos!$E$2:$E$5000,Datos!$A$2:$A$5000,F$1,Datos!$B$2:$B$5000,$A254,Datos!$C$2:$C$5000,$B254,Datos!$D$2:$D$5000,F$2))</f>
        <v/>
      </c>
      <c r="G254" s="9">
        <f>IF(COUNTIFS(Datos!$A$2:$A$5000,G$1,Datos!$B$2:$B$5000,$A254,Datos!$C$2:$C$5000,$B254,Datos!$D$2:$D$5000,G$2)=0,"",SUMIFS(Datos!$E$2:$E$5000,Datos!$A$2:$A$5000,G$1,Datos!$B$2:$B$5000,$A254,Datos!$C$2:$C$5000,$B254,Datos!$D$2:$D$5000,G$2))</f>
        <v/>
      </c>
      <c r="H254" s="9">
        <f>IF(COUNTIFS(Datos!$A$2:$A$5000,H$1,Datos!$B$2:$B$5000,$A254,Datos!$C$2:$C$5000,$B254,Datos!$D$2:$D$5000,H$2)=0,"",SUMIFS(Datos!$E$2:$E$5000,Datos!$A$2:$A$5000,H$1,Datos!$B$2:$B$5000,$A254,Datos!$C$2:$C$5000,$B254,Datos!$D$2:$D$5000,H$2))</f>
        <v/>
      </c>
      <c r="I254" s="9">
        <f>IF(COUNTIFS(Datos!$A$2:$A$5000,I$1,Datos!$B$2:$B$5000,$A254,Datos!$C$2:$C$5000,$B254,Datos!$D$2:$D$5000,I$2)=0,"",SUMIFS(Datos!$E$2:$E$5000,Datos!$A$2:$A$5000,I$1,Datos!$B$2:$B$5000,$A254,Datos!$C$2:$C$5000,$B254,Datos!$D$2:$D$5000,I$2))</f>
        <v/>
      </c>
      <c r="J254" s="9">
        <f>IF(COUNTIFS(Datos!$A$2:$A$5000,J$1,Datos!$B$2:$B$5000,$A254,Datos!$C$2:$C$5000,$B254,Datos!$D$2:$D$5000,J$2)=0,"",SUMIFS(Datos!$E$2:$E$5000,Datos!$A$2:$A$5000,J$1,Datos!$B$2:$B$5000,$A254,Datos!$C$2:$C$5000,$B254,Datos!$D$2:$D$5000,J$2))</f>
        <v/>
      </c>
    </row>
    <row r="255">
      <c r="A255" s="8" t="inlineStr">
        <is>
          <t>Nicaragua</t>
        </is>
      </c>
      <c r="B255" s="8" t="n">
        <v>2009</v>
      </c>
      <c r="C255" s="9">
        <f>IF(COUNTIFS(Datos!$A$2:$A$5000,C$1,Datos!$B$2:$B$5000,$A255,Datos!$C$2:$C$5000,$B255,Datos!$D$2:$D$5000,C$2)=0,"",SUMIFS(Datos!$E$2:$E$5000,Datos!$A$2:$A$5000,C$1,Datos!$B$2:$B$5000,$A255,Datos!$C$2:$C$5000,$B255,Datos!$D$2:$D$5000,C$2))</f>
        <v/>
      </c>
      <c r="D255" s="9">
        <f>IF(COUNTIFS(Datos!$A$2:$A$5000,D$1,Datos!$B$2:$B$5000,$A255,Datos!$C$2:$C$5000,$B255,Datos!$D$2:$D$5000,D$2)=0,"",SUMIFS(Datos!$E$2:$E$5000,Datos!$A$2:$A$5000,D$1,Datos!$B$2:$B$5000,$A255,Datos!$C$2:$C$5000,$B255,Datos!$D$2:$D$5000,D$2))</f>
        <v/>
      </c>
      <c r="E255" s="9">
        <f>IF(COUNTIFS(Datos!$A$2:$A$5000,E$1,Datos!$B$2:$B$5000,$A255,Datos!$C$2:$C$5000,$B255,Datos!$D$2:$D$5000,E$2)=0,"",SUMIFS(Datos!$E$2:$E$5000,Datos!$A$2:$A$5000,E$1,Datos!$B$2:$B$5000,$A255,Datos!$C$2:$C$5000,$B255,Datos!$D$2:$D$5000,E$2))</f>
        <v/>
      </c>
      <c r="F255" s="9">
        <f>IF(COUNTIFS(Datos!$A$2:$A$5000,F$1,Datos!$B$2:$B$5000,$A255,Datos!$C$2:$C$5000,$B255,Datos!$D$2:$D$5000,F$2)=0,"",SUMIFS(Datos!$E$2:$E$5000,Datos!$A$2:$A$5000,F$1,Datos!$B$2:$B$5000,$A255,Datos!$C$2:$C$5000,$B255,Datos!$D$2:$D$5000,F$2))</f>
        <v/>
      </c>
      <c r="G255" s="9">
        <f>IF(COUNTIFS(Datos!$A$2:$A$5000,G$1,Datos!$B$2:$B$5000,$A255,Datos!$C$2:$C$5000,$B255,Datos!$D$2:$D$5000,G$2)=0,"",SUMIFS(Datos!$E$2:$E$5000,Datos!$A$2:$A$5000,G$1,Datos!$B$2:$B$5000,$A255,Datos!$C$2:$C$5000,$B255,Datos!$D$2:$D$5000,G$2))</f>
        <v/>
      </c>
      <c r="H255" s="9">
        <f>IF(COUNTIFS(Datos!$A$2:$A$5000,H$1,Datos!$B$2:$B$5000,$A255,Datos!$C$2:$C$5000,$B255,Datos!$D$2:$D$5000,H$2)=0,"",SUMIFS(Datos!$E$2:$E$5000,Datos!$A$2:$A$5000,H$1,Datos!$B$2:$B$5000,$A255,Datos!$C$2:$C$5000,$B255,Datos!$D$2:$D$5000,H$2))</f>
        <v/>
      </c>
      <c r="I255" s="9">
        <f>IF(COUNTIFS(Datos!$A$2:$A$5000,I$1,Datos!$B$2:$B$5000,$A255,Datos!$C$2:$C$5000,$B255,Datos!$D$2:$D$5000,I$2)=0,"",SUMIFS(Datos!$E$2:$E$5000,Datos!$A$2:$A$5000,I$1,Datos!$B$2:$B$5000,$A255,Datos!$C$2:$C$5000,$B255,Datos!$D$2:$D$5000,I$2))</f>
        <v/>
      </c>
      <c r="J255" s="9">
        <f>IF(COUNTIFS(Datos!$A$2:$A$5000,J$1,Datos!$B$2:$B$5000,$A255,Datos!$C$2:$C$5000,$B255,Datos!$D$2:$D$5000,J$2)=0,"",SUMIFS(Datos!$E$2:$E$5000,Datos!$A$2:$A$5000,J$1,Datos!$B$2:$B$5000,$A255,Datos!$C$2:$C$5000,$B255,Datos!$D$2:$D$5000,J$2))</f>
        <v/>
      </c>
    </row>
    <row r="256">
      <c r="A256" s="8" t="inlineStr">
        <is>
          <t>Nicaragua</t>
        </is>
      </c>
      <c r="B256" s="8" t="n">
        <v>2010</v>
      </c>
      <c r="C256" s="9">
        <f>IF(COUNTIFS(Datos!$A$2:$A$5000,C$1,Datos!$B$2:$B$5000,$A256,Datos!$C$2:$C$5000,$B256,Datos!$D$2:$D$5000,C$2)=0,"",SUMIFS(Datos!$E$2:$E$5000,Datos!$A$2:$A$5000,C$1,Datos!$B$2:$B$5000,$A256,Datos!$C$2:$C$5000,$B256,Datos!$D$2:$D$5000,C$2))</f>
        <v/>
      </c>
      <c r="D256" s="9">
        <f>IF(COUNTIFS(Datos!$A$2:$A$5000,D$1,Datos!$B$2:$B$5000,$A256,Datos!$C$2:$C$5000,$B256,Datos!$D$2:$D$5000,D$2)=0,"",SUMIFS(Datos!$E$2:$E$5000,Datos!$A$2:$A$5000,D$1,Datos!$B$2:$B$5000,$A256,Datos!$C$2:$C$5000,$B256,Datos!$D$2:$D$5000,D$2))</f>
        <v/>
      </c>
      <c r="E256" s="9">
        <f>IF(COUNTIFS(Datos!$A$2:$A$5000,E$1,Datos!$B$2:$B$5000,$A256,Datos!$C$2:$C$5000,$B256,Datos!$D$2:$D$5000,E$2)=0,"",SUMIFS(Datos!$E$2:$E$5000,Datos!$A$2:$A$5000,E$1,Datos!$B$2:$B$5000,$A256,Datos!$C$2:$C$5000,$B256,Datos!$D$2:$D$5000,E$2))</f>
        <v/>
      </c>
      <c r="F256" s="9">
        <f>IF(COUNTIFS(Datos!$A$2:$A$5000,F$1,Datos!$B$2:$B$5000,$A256,Datos!$C$2:$C$5000,$B256,Datos!$D$2:$D$5000,F$2)=0,"",SUMIFS(Datos!$E$2:$E$5000,Datos!$A$2:$A$5000,F$1,Datos!$B$2:$B$5000,$A256,Datos!$C$2:$C$5000,$B256,Datos!$D$2:$D$5000,F$2))</f>
        <v/>
      </c>
      <c r="G256" s="9">
        <f>IF(COUNTIFS(Datos!$A$2:$A$5000,G$1,Datos!$B$2:$B$5000,$A256,Datos!$C$2:$C$5000,$B256,Datos!$D$2:$D$5000,G$2)=0,"",SUMIFS(Datos!$E$2:$E$5000,Datos!$A$2:$A$5000,G$1,Datos!$B$2:$B$5000,$A256,Datos!$C$2:$C$5000,$B256,Datos!$D$2:$D$5000,G$2))</f>
        <v/>
      </c>
      <c r="H256" s="9">
        <f>IF(COUNTIFS(Datos!$A$2:$A$5000,H$1,Datos!$B$2:$B$5000,$A256,Datos!$C$2:$C$5000,$B256,Datos!$D$2:$D$5000,H$2)=0,"",SUMIFS(Datos!$E$2:$E$5000,Datos!$A$2:$A$5000,H$1,Datos!$B$2:$B$5000,$A256,Datos!$C$2:$C$5000,$B256,Datos!$D$2:$D$5000,H$2))</f>
        <v/>
      </c>
      <c r="I256" s="9">
        <f>IF(COUNTIFS(Datos!$A$2:$A$5000,I$1,Datos!$B$2:$B$5000,$A256,Datos!$C$2:$C$5000,$B256,Datos!$D$2:$D$5000,I$2)=0,"",SUMIFS(Datos!$E$2:$E$5000,Datos!$A$2:$A$5000,I$1,Datos!$B$2:$B$5000,$A256,Datos!$C$2:$C$5000,$B256,Datos!$D$2:$D$5000,I$2))</f>
        <v/>
      </c>
      <c r="J256" s="9">
        <f>IF(COUNTIFS(Datos!$A$2:$A$5000,J$1,Datos!$B$2:$B$5000,$A256,Datos!$C$2:$C$5000,$B256,Datos!$D$2:$D$5000,J$2)=0,"",SUMIFS(Datos!$E$2:$E$5000,Datos!$A$2:$A$5000,J$1,Datos!$B$2:$B$5000,$A256,Datos!$C$2:$C$5000,$B256,Datos!$D$2:$D$5000,J$2))</f>
        <v/>
      </c>
    </row>
    <row r="257">
      <c r="A257" s="8" t="inlineStr">
        <is>
          <t>Nicaragua</t>
        </is>
      </c>
      <c r="B257" s="8" t="n">
        <v>2011</v>
      </c>
      <c r="C257" s="9">
        <f>IF(COUNTIFS(Datos!$A$2:$A$5000,C$1,Datos!$B$2:$B$5000,$A257,Datos!$C$2:$C$5000,$B257,Datos!$D$2:$D$5000,C$2)=0,"",SUMIFS(Datos!$E$2:$E$5000,Datos!$A$2:$A$5000,C$1,Datos!$B$2:$B$5000,$A257,Datos!$C$2:$C$5000,$B257,Datos!$D$2:$D$5000,C$2))</f>
        <v/>
      </c>
      <c r="D257" s="9">
        <f>IF(COUNTIFS(Datos!$A$2:$A$5000,D$1,Datos!$B$2:$B$5000,$A257,Datos!$C$2:$C$5000,$B257,Datos!$D$2:$D$5000,D$2)=0,"",SUMIFS(Datos!$E$2:$E$5000,Datos!$A$2:$A$5000,D$1,Datos!$B$2:$B$5000,$A257,Datos!$C$2:$C$5000,$B257,Datos!$D$2:$D$5000,D$2))</f>
        <v/>
      </c>
      <c r="E257" s="9">
        <f>IF(COUNTIFS(Datos!$A$2:$A$5000,E$1,Datos!$B$2:$B$5000,$A257,Datos!$C$2:$C$5000,$B257,Datos!$D$2:$D$5000,E$2)=0,"",SUMIFS(Datos!$E$2:$E$5000,Datos!$A$2:$A$5000,E$1,Datos!$B$2:$B$5000,$A257,Datos!$C$2:$C$5000,$B257,Datos!$D$2:$D$5000,E$2))</f>
        <v/>
      </c>
      <c r="F257" s="9">
        <f>IF(COUNTIFS(Datos!$A$2:$A$5000,F$1,Datos!$B$2:$B$5000,$A257,Datos!$C$2:$C$5000,$B257,Datos!$D$2:$D$5000,F$2)=0,"",SUMIFS(Datos!$E$2:$E$5000,Datos!$A$2:$A$5000,F$1,Datos!$B$2:$B$5000,$A257,Datos!$C$2:$C$5000,$B257,Datos!$D$2:$D$5000,F$2))</f>
        <v/>
      </c>
      <c r="G257" s="9">
        <f>IF(COUNTIFS(Datos!$A$2:$A$5000,G$1,Datos!$B$2:$B$5000,$A257,Datos!$C$2:$C$5000,$B257,Datos!$D$2:$D$5000,G$2)=0,"",SUMIFS(Datos!$E$2:$E$5000,Datos!$A$2:$A$5000,G$1,Datos!$B$2:$B$5000,$A257,Datos!$C$2:$C$5000,$B257,Datos!$D$2:$D$5000,G$2))</f>
        <v/>
      </c>
      <c r="H257" s="9">
        <f>IF(COUNTIFS(Datos!$A$2:$A$5000,H$1,Datos!$B$2:$B$5000,$A257,Datos!$C$2:$C$5000,$B257,Datos!$D$2:$D$5000,H$2)=0,"",SUMIFS(Datos!$E$2:$E$5000,Datos!$A$2:$A$5000,H$1,Datos!$B$2:$B$5000,$A257,Datos!$C$2:$C$5000,$B257,Datos!$D$2:$D$5000,H$2))</f>
        <v/>
      </c>
      <c r="I257" s="9">
        <f>IF(COUNTIFS(Datos!$A$2:$A$5000,I$1,Datos!$B$2:$B$5000,$A257,Datos!$C$2:$C$5000,$B257,Datos!$D$2:$D$5000,I$2)=0,"",SUMIFS(Datos!$E$2:$E$5000,Datos!$A$2:$A$5000,I$1,Datos!$B$2:$B$5000,$A257,Datos!$C$2:$C$5000,$B257,Datos!$D$2:$D$5000,I$2))</f>
        <v/>
      </c>
      <c r="J257" s="9">
        <f>IF(COUNTIFS(Datos!$A$2:$A$5000,J$1,Datos!$B$2:$B$5000,$A257,Datos!$C$2:$C$5000,$B257,Datos!$D$2:$D$5000,J$2)=0,"",SUMIFS(Datos!$E$2:$E$5000,Datos!$A$2:$A$5000,J$1,Datos!$B$2:$B$5000,$A257,Datos!$C$2:$C$5000,$B257,Datos!$D$2:$D$5000,J$2))</f>
        <v/>
      </c>
    </row>
    <row r="258">
      <c r="A258" s="8" t="inlineStr">
        <is>
          <t>Nicaragua</t>
        </is>
      </c>
      <c r="B258" s="8" t="n">
        <v>2016</v>
      </c>
      <c r="C258" s="9">
        <f>IF(COUNTIFS(Datos!$A$2:$A$5000,C$1,Datos!$B$2:$B$5000,$A258,Datos!$C$2:$C$5000,$B258,Datos!$D$2:$D$5000,C$2)=0,"",SUMIFS(Datos!$E$2:$E$5000,Datos!$A$2:$A$5000,C$1,Datos!$B$2:$B$5000,$A258,Datos!$C$2:$C$5000,$B258,Datos!$D$2:$D$5000,C$2))</f>
        <v/>
      </c>
      <c r="D258" s="9">
        <f>IF(COUNTIFS(Datos!$A$2:$A$5000,D$1,Datos!$B$2:$B$5000,$A258,Datos!$C$2:$C$5000,$B258,Datos!$D$2:$D$5000,D$2)=0,"",SUMIFS(Datos!$E$2:$E$5000,Datos!$A$2:$A$5000,D$1,Datos!$B$2:$B$5000,$A258,Datos!$C$2:$C$5000,$B258,Datos!$D$2:$D$5000,D$2))</f>
        <v/>
      </c>
      <c r="E258" s="9">
        <f>IF(COUNTIFS(Datos!$A$2:$A$5000,E$1,Datos!$B$2:$B$5000,$A258,Datos!$C$2:$C$5000,$B258,Datos!$D$2:$D$5000,E$2)=0,"",SUMIFS(Datos!$E$2:$E$5000,Datos!$A$2:$A$5000,E$1,Datos!$B$2:$B$5000,$A258,Datos!$C$2:$C$5000,$B258,Datos!$D$2:$D$5000,E$2))</f>
        <v/>
      </c>
      <c r="F258" s="9">
        <f>IF(COUNTIFS(Datos!$A$2:$A$5000,F$1,Datos!$B$2:$B$5000,$A258,Datos!$C$2:$C$5000,$B258,Datos!$D$2:$D$5000,F$2)=0,"",SUMIFS(Datos!$E$2:$E$5000,Datos!$A$2:$A$5000,F$1,Datos!$B$2:$B$5000,$A258,Datos!$C$2:$C$5000,$B258,Datos!$D$2:$D$5000,F$2))</f>
        <v/>
      </c>
      <c r="G258" s="9">
        <f>IF(COUNTIFS(Datos!$A$2:$A$5000,G$1,Datos!$B$2:$B$5000,$A258,Datos!$C$2:$C$5000,$B258,Datos!$D$2:$D$5000,G$2)=0,"",SUMIFS(Datos!$E$2:$E$5000,Datos!$A$2:$A$5000,G$1,Datos!$B$2:$B$5000,$A258,Datos!$C$2:$C$5000,$B258,Datos!$D$2:$D$5000,G$2))</f>
        <v/>
      </c>
      <c r="H258" s="9">
        <f>IF(COUNTIFS(Datos!$A$2:$A$5000,H$1,Datos!$B$2:$B$5000,$A258,Datos!$C$2:$C$5000,$B258,Datos!$D$2:$D$5000,H$2)=0,"",SUMIFS(Datos!$E$2:$E$5000,Datos!$A$2:$A$5000,H$1,Datos!$B$2:$B$5000,$A258,Datos!$C$2:$C$5000,$B258,Datos!$D$2:$D$5000,H$2))</f>
        <v/>
      </c>
      <c r="I258" s="9">
        <f>IF(COUNTIFS(Datos!$A$2:$A$5000,I$1,Datos!$B$2:$B$5000,$A258,Datos!$C$2:$C$5000,$B258,Datos!$D$2:$D$5000,I$2)=0,"",SUMIFS(Datos!$E$2:$E$5000,Datos!$A$2:$A$5000,I$1,Datos!$B$2:$B$5000,$A258,Datos!$C$2:$C$5000,$B258,Datos!$D$2:$D$5000,I$2))</f>
        <v/>
      </c>
      <c r="J258" s="9">
        <f>IF(COUNTIFS(Datos!$A$2:$A$5000,J$1,Datos!$B$2:$B$5000,$A258,Datos!$C$2:$C$5000,$B258,Datos!$D$2:$D$5000,J$2)=0,"",SUMIFS(Datos!$E$2:$E$5000,Datos!$A$2:$A$5000,J$1,Datos!$B$2:$B$5000,$A258,Datos!$C$2:$C$5000,$B258,Datos!$D$2:$D$5000,J$2))</f>
        <v/>
      </c>
    </row>
    <row r="259">
      <c r="A259" s="8" t="inlineStr">
        <is>
          <t>Nicaragua</t>
        </is>
      </c>
      <c r="B259" s="8" t="n">
        <v>2017</v>
      </c>
      <c r="C259" s="9">
        <f>IF(COUNTIFS(Datos!$A$2:$A$5000,C$1,Datos!$B$2:$B$5000,$A259,Datos!$C$2:$C$5000,$B259,Datos!$D$2:$D$5000,C$2)=0,"",SUMIFS(Datos!$E$2:$E$5000,Datos!$A$2:$A$5000,C$1,Datos!$B$2:$B$5000,$A259,Datos!$C$2:$C$5000,$B259,Datos!$D$2:$D$5000,C$2))</f>
        <v/>
      </c>
      <c r="D259" s="9">
        <f>IF(COUNTIFS(Datos!$A$2:$A$5000,D$1,Datos!$B$2:$B$5000,$A259,Datos!$C$2:$C$5000,$B259,Datos!$D$2:$D$5000,D$2)=0,"",SUMIFS(Datos!$E$2:$E$5000,Datos!$A$2:$A$5000,D$1,Datos!$B$2:$B$5000,$A259,Datos!$C$2:$C$5000,$B259,Datos!$D$2:$D$5000,D$2))</f>
        <v/>
      </c>
      <c r="E259" s="9">
        <f>IF(COUNTIFS(Datos!$A$2:$A$5000,E$1,Datos!$B$2:$B$5000,$A259,Datos!$C$2:$C$5000,$B259,Datos!$D$2:$D$5000,E$2)=0,"",SUMIFS(Datos!$E$2:$E$5000,Datos!$A$2:$A$5000,E$1,Datos!$B$2:$B$5000,$A259,Datos!$C$2:$C$5000,$B259,Datos!$D$2:$D$5000,E$2))</f>
        <v/>
      </c>
      <c r="F259" s="9">
        <f>IF(COUNTIFS(Datos!$A$2:$A$5000,F$1,Datos!$B$2:$B$5000,$A259,Datos!$C$2:$C$5000,$B259,Datos!$D$2:$D$5000,F$2)=0,"",SUMIFS(Datos!$E$2:$E$5000,Datos!$A$2:$A$5000,F$1,Datos!$B$2:$B$5000,$A259,Datos!$C$2:$C$5000,$B259,Datos!$D$2:$D$5000,F$2))</f>
        <v/>
      </c>
      <c r="G259" s="9">
        <f>IF(COUNTIFS(Datos!$A$2:$A$5000,G$1,Datos!$B$2:$B$5000,$A259,Datos!$C$2:$C$5000,$B259,Datos!$D$2:$D$5000,G$2)=0,"",SUMIFS(Datos!$E$2:$E$5000,Datos!$A$2:$A$5000,G$1,Datos!$B$2:$B$5000,$A259,Datos!$C$2:$C$5000,$B259,Datos!$D$2:$D$5000,G$2))</f>
        <v/>
      </c>
      <c r="H259" s="9">
        <f>IF(COUNTIFS(Datos!$A$2:$A$5000,H$1,Datos!$B$2:$B$5000,$A259,Datos!$C$2:$C$5000,$B259,Datos!$D$2:$D$5000,H$2)=0,"",SUMIFS(Datos!$E$2:$E$5000,Datos!$A$2:$A$5000,H$1,Datos!$B$2:$B$5000,$A259,Datos!$C$2:$C$5000,$B259,Datos!$D$2:$D$5000,H$2))</f>
        <v/>
      </c>
      <c r="I259" s="9">
        <f>IF(COUNTIFS(Datos!$A$2:$A$5000,I$1,Datos!$B$2:$B$5000,$A259,Datos!$C$2:$C$5000,$B259,Datos!$D$2:$D$5000,I$2)=0,"",SUMIFS(Datos!$E$2:$E$5000,Datos!$A$2:$A$5000,I$1,Datos!$B$2:$B$5000,$A259,Datos!$C$2:$C$5000,$B259,Datos!$D$2:$D$5000,I$2))</f>
        <v/>
      </c>
      <c r="J259" s="9">
        <f>IF(COUNTIFS(Datos!$A$2:$A$5000,J$1,Datos!$B$2:$B$5000,$A259,Datos!$C$2:$C$5000,$B259,Datos!$D$2:$D$5000,J$2)=0,"",SUMIFS(Datos!$E$2:$E$5000,Datos!$A$2:$A$5000,J$1,Datos!$B$2:$B$5000,$A259,Datos!$C$2:$C$5000,$B259,Datos!$D$2:$D$5000,J$2))</f>
        <v/>
      </c>
    </row>
    <row r="260">
      <c r="A260" s="8" t="inlineStr">
        <is>
          <t>Nicaragua</t>
        </is>
      </c>
      <c r="B260" s="8" t="n">
        <v>2018</v>
      </c>
      <c r="C260" s="9">
        <f>IF(COUNTIFS(Datos!$A$2:$A$5000,C$1,Datos!$B$2:$B$5000,$A260,Datos!$C$2:$C$5000,$B260,Datos!$D$2:$D$5000,C$2)=0,"",SUMIFS(Datos!$E$2:$E$5000,Datos!$A$2:$A$5000,C$1,Datos!$B$2:$B$5000,$A260,Datos!$C$2:$C$5000,$B260,Datos!$D$2:$D$5000,C$2))</f>
        <v/>
      </c>
      <c r="D260" s="9">
        <f>IF(COUNTIFS(Datos!$A$2:$A$5000,D$1,Datos!$B$2:$B$5000,$A260,Datos!$C$2:$C$5000,$B260,Datos!$D$2:$D$5000,D$2)=0,"",SUMIFS(Datos!$E$2:$E$5000,Datos!$A$2:$A$5000,D$1,Datos!$B$2:$B$5000,$A260,Datos!$C$2:$C$5000,$B260,Datos!$D$2:$D$5000,D$2))</f>
        <v/>
      </c>
      <c r="E260" s="9">
        <f>IF(COUNTIFS(Datos!$A$2:$A$5000,E$1,Datos!$B$2:$B$5000,$A260,Datos!$C$2:$C$5000,$B260,Datos!$D$2:$D$5000,E$2)=0,"",SUMIFS(Datos!$E$2:$E$5000,Datos!$A$2:$A$5000,E$1,Datos!$B$2:$B$5000,$A260,Datos!$C$2:$C$5000,$B260,Datos!$D$2:$D$5000,E$2))</f>
        <v/>
      </c>
      <c r="F260" s="9">
        <f>IF(COUNTIFS(Datos!$A$2:$A$5000,F$1,Datos!$B$2:$B$5000,$A260,Datos!$C$2:$C$5000,$B260,Datos!$D$2:$D$5000,F$2)=0,"",SUMIFS(Datos!$E$2:$E$5000,Datos!$A$2:$A$5000,F$1,Datos!$B$2:$B$5000,$A260,Datos!$C$2:$C$5000,$B260,Datos!$D$2:$D$5000,F$2))</f>
        <v/>
      </c>
      <c r="G260" s="9">
        <f>IF(COUNTIFS(Datos!$A$2:$A$5000,G$1,Datos!$B$2:$B$5000,$A260,Datos!$C$2:$C$5000,$B260,Datos!$D$2:$D$5000,G$2)=0,"",SUMIFS(Datos!$E$2:$E$5000,Datos!$A$2:$A$5000,G$1,Datos!$B$2:$B$5000,$A260,Datos!$C$2:$C$5000,$B260,Datos!$D$2:$D$5000,G$2))</f>
        <v/>
      </c>
      <c r="H260" s="9">
        <f>IF(COUNTIFS(Datos!$A$2:$A$5000,H$1,Datos!$B$2:$B$5000,$A260,Datos!$C$2:$C$5000,$B260,Datos!$D$2:$D$5000,H$2)=0,"",SUMIFS(Datos!$E$2:$E$5000,Datos!$A$2:$A$5000,H$1,Datos!$B$2:$B$5000,$A260,Datos!$C$2:$C$5000,$B260,Datos!$D$2:$D$5000,H$2))</f>
        <v/>
      </c>
      <c r="I260" s="9">
        <f>IF(COUNTIFS(Datos!$A$2:$A$5000,I$1,Datos!$B$2:$B$5000,$A260,Datos!$C$2:$C$5000,$B260,Datos!$D$2:$D$5000,I$2)=0,"",SUMIFS(Datos!$E$2:$E$5000,Datos!$A$2:$A$5000,I$1,Datos!$B$2:$B$5000,$A260,Datos!$C$2:$C$5000,$B260,Datos!$D$2:$D$5000,I$2))</f>
        <v/>
      </c>
      <c r="J260" s="9">
        <f>IF(COUNTIFS(Datos!$A$2:$A$5000,J$1,Datos!$B$2:$B$5000,$A260,Datos!$C$2:$C$5000,$B260,Datos!$D$2:$D$5000,J$2)=0,"",SUMIFS(Datos!$E$2:$E$5000,Datos!$A$2:$A$5000,J$1,Datos!$B$2:$B$5000,$A260,Datos!$C$2:$C$5000,$B260,Datos!$D$2:$D$5000,J$2))</f>
        <v/>
      </c>
    </row>
    <row r="261">
      <c r="A261" s="8" t="inlineStr">
        <is>
          <t>Nicaragua</t>
        </is>
      </c>
      <c r="B261" s="8" t="n">
        <v>2020</v>
      </c>
      <c r="C261" s="9">
        <f>IF(COUNTIFS(Datos!$A$2:$A$5000,C$1,Datos!$B$2:$B$5000,$A261,Datos!$C$2:$C$5000,$B261,Datos!$D$2:$D$5000,C$2)=0,"",SUMIFS(Datos!$E$2:$E$5000,Datos!$A$2:$A$5000,C$1,Datos!$B$2:$B$5000,$A261,Datos!$C$2:$C$5000,$B261,Datos!$D$2:$D$5000,C$2))</f>
        <v/>
      </c>
      <c r="D261" s="9">
        <f>IF(COUNTIFS(Datos!$A$2:$A$5000,D$1,Datos!$B$2:$B$5000,$A261,Datos!$C$2:$C$5000,$B261,Datos!$D$2:$D$5000,D$2)=0,"",SUMIFS(Datos!$E$2:$E$5000,Datos!$A$2:$A$5000,D$1,Datos!$B$2:$B$5000,$A261,Datos!$C$2:$C$5000,$B261,Datos!$D$2:$D$5000,D$2))</f>
        <v/>
      </c>
      <c r="E261" s="9">
        <f>IF(COUNTIFS(Datos!$A$2:$A$5000,E$1,Datos!$B$2:$B$5000,$A261,Datos!$C$2:$C$5000,$B261,Datos!$D$2:$D$5000,E$2)=0,"",SUMIFS(Datos!$E$2:$E$5000,Datos!$A$2:$A$5000,E$1,Datos!$B$2:$B$5000,$A261,Datos!$C$2:$C$5000,$B261,Datos!$D$2:$D$5000,E$2))</f>
        <v/>
      </c>
      <c r="F261" s="9">
        <f>IF(COUNTIFS(Datos!$A$2:$A$5000,F$1,Datos!$B$2:$B$5000,$A261,Datos!$C$2:$C$5000,$B261,Datos!$D$2:$D$5000,F$2)=0,"",SUMIFS(Datos!$E$2:$E$5000,Datos!$A$2:$A$5000,F$1,Datos!$B$2:$B$5000,$A261,Datos!$C$2:$C$5000,$B261,Datos!$D$2:$D$5000,F$2))</f>
        <v/>
      </c>
      <c r="G261" s="9">
        <f>IF(COUNTIFS(Datos!$A$2:$A$5000,G$1,Datos!$B$2:$B$5000,$A261,Datos!$C$2:$C$5000,$B261,Datos!$D$2:$D$5000,G$2)=0,"",SUMIFS(Datos!$E$2:$E$5000,Datos!$A$2:$A$5000,G$1,Datos!$B$2:$B$5000,$A261,Datos!$C$2:$C$5000,$B261,Datos!$D$2:$D$5000,G$2))</f>
        <v/>
      </c>
      <c r="H261" s="9">
        <f>IF(COUNTIFS(Datos!$A$2:$A$5000,H$1,Datos!$B$2:$B$5000,$A261,Datos!$C$2:$C$5000,$B261,Datos!$D$2:$D$5000,H$2)=0,"",SUMIFS(Datos!$E$2:$E$5000,Datos!$A$2:$A$5000,H$1,Datos!$B$2:$B$5000,$A261,Datos!$C$2:$C$5000,$B261,Datos!$D$2:$D$5000,H$2))</f>
        <v/>
      </c>
      <c r="I261" s="9">
        <f>IF(COUNTIFS(Datos!$A$2:$A$5000,I$1,Datos!$B$2:$B$5000,$A261,Datos!$C$2:$C$5000,$B261,Datos!$D$2:$D$5000,I$2)=0,"",SUMIFS(Datos!$E$2:$E$5000,Datos!$A$2:$A$5000,I$1,Datos!$B$2:$B$5000,$A261,Datos!$C$2:$C$5000,$B261,Datos!$D$2:$D$5000,I$2))</f>
        <v/>
      </c>
      <c r="J261" s="9">
        <f>IF(COUNTIFS(Datos!$A$2:$A$5000,J$1,Datos!$B$2:$B$5000,$A261,Datos!$C$2:$C$5000,$B261,Datos!$D$2:$D$5000,J$2)=0,"",SUMIFS(Datos!$E$2:$E$5000,Datos!$A$2:$A$5000,J$1,Datos!$B$2:$B$5000,$A261,Datos!$C$2:$C$5000,$B261,Datos!$D$2:$D$5000,J$2))</f>
        <v/>
      </c>
    </row>
    <row r="262">
      <c r="A262" s="8" t="inlineStr">
        <is>
          <t>Panamá</t>
        </is>
      </c>
      <c r="B262" s="8" t="n">
        <v>1996</v>
      </c>
      <c r="C262" s="9">
        <f>IF(COUNTIFS(Datos!$A$2:$A$5000,C$1,Datos!$B$2:$B$5000,$A262,Datos!$C$2:$C$5000,$B262,Datos!$D$2:$D$5000,C$2)=0,"",SUMIFS(Datos!$E$2:$E$5000,Datos!$A$2:$A$5000,C$1,Datos!$B$2:$B$5000,$A262,Datos!$C$2:$C$5000,$B262,Datos!$D$2:$D$5000,C$2))</f>
        <v/>
      </c>
      <c r="D262" s="9">
        <f>IF(COUNTIFS(Datos!$A$2:$A$5000,D$1,Datos!$B$2:$B$5000,$A262,Datos!$C$2:$C$5000,$B262,Datos!$D$2:$D$5000,D$2)=0,"",SUMIFS(Datos!$E$2:$E$5000,Datos!$A$2:$A$5000,D$1,Datos!$B$2:$B$5000,$A262,Datos!$C$2:$C$5000,$B262,Datos!$D$2:$D$5000,D$2))</f>
        <v/>
      </c>
      <c r="E262" s="9">
        <f>IF(COUNTIFS(Datos!$A$2:$A$5000,E$1,Datos!$B$2:$B$5000,$A262,Datos!$C$2:$C$5000,$B262,Datos!$D$2:$D$5000,E$2)=0,"",SUMIFS(Datos!$E$2:$E$5000,Datos!$A$2:$A$5000,E$1,Datos!$B$2:$B$5000,$A262,Datos!$C$2:$C$5000,$B262,Datos!$D$2:$D$5000,E$2))</f>
        <v/>
      </c>
      <c r="F262" s="9">
        <f>IF(COUNTIFS(Datos!$A$2:$A$5000,F$1,Datos!$B$2:$B$5000,$A262,Datos!$C$2:$C$5000,$B262,Datos!$D$2:$D$5000,F$2)=0,"",SUMIFS(Datos!$E$2:$E$5000,Datos!$A$2:$A$5000,F$1,Datos!$B$2:$B$5000,$A262,Datos!$C$2:$C$5000,$B262,Datos!$D$2:$D$5000,F$2))</f>
        <v/>
      </c>
      <c r="G262" s="9">
        <f>IF(COUNTIFS(Datos!$A$2:$A$5000,G$1,Datos!$B$2:$B$5000,$A262,Datos!$C$2:$C$5000,$B262,Datos!$D$2:$D$5000,G$2)=0,"",SUMIFS(Datos!$E$2:$E$5000,Datos!$A$2:$A$5000,G$1,Datos!$B$2:$B$5000,$A262,Datos!$C$2:$C$5000,$B262,Datos!$D$2:$D$5000,G$2))</f>
        <v/>
      </c>
      <c r="H262" s="9">
        <f>IF(COUNTIFS(Datos!$A$2:$A$5000,H$1,Datos!$B$2:$B$5000,$A262,Datos!$C$2:$C$5000,$B262,Datos!$D$2:$D$5000,H$2)=0,"",SUMIFS(Datos!$E$2:$E$5000,Datos!$A$2:$A$5000,H$1,Datos!$B$2:$B$5000,$A262,Datos!$C$2:$C$5000,$B262,Datos!$D$2:$D$5000,H$2))</f>
        <v/>
      </c>
      <c r="I262" s="9">
        <f>IF(COUNTIFS(Datos!$A$2:$A$5000,I$1,Datos!$B$2:$B$5000,$A262,Datos!$C$2:$C$5000,$B262,Datos!$D$2:$D$5000,I$2)=0,"",SUMIFS(Datos!$E$2:$E$5000,Datos!$A$2:$A$5000,I$1,Datos!$B$2:$B$5000,$A262,Datos!$C$2:$C$5000,$B262,Datos!$D$2:$D$5000,I$2))</f>
        <v/>
      </c>
      <c r="J262" s="9">
        <f>IF(COUNTIFS(Datos!$A$2:$A$5000,J$1,Datos!$B$2:$B$5000,$A262,Datos!$C$2:$C$5000,$B262,Datos!$D$2:$D$5000,J$2)=0,"",SUMIFS(Datos!$E$2:$E$5000,Datos!$A$2:$A$5000,J$1,Datos!$B$2:$B$5000,$A262,Datos!$C$2:$C$5000,$B262,Datos!$D$2:$D$5000,J$2))</f>
        <v/>
      </c>
    </row>
    <row r="263">
      <c r="A263" s="8" t="inlineStr">
        <is>
          <t>Panamá</t>
        </is>
      </c>
      <c r="B263" s="8" t="n">
        <v>1997</v>
      </c>
      <c r="C263" s="9">
        <f>IF(COUNTIFS(Datos!$A$2:$A$5000,C$1,Datos!$B$2:$B$5000,$A263,Datos!$C$2:$C$5000,$B263,Datos!$D$2:$D$5000,C$2)=0,"",SUMIFS(Datos!$E$2:$E$5000,Datos!$A$2:$A$5000,C$1,Datos!$B$2:$B$5000,$A263,Datos!$C$2:$C$5000,$B263,Datos!$D$2:$D$5000,C$2))</f>
        <v/>
      </c>
      <c r="D263" s="9">
        <f>IF(COUNTIFS(Datos!$A$2:$A$5000,D$1,Datos!$B$2:$B$5000,$A263,Datos!$C$2:$C$5000,$B263,Datos!$D$2:$D$5000,D$2)=0,"",SUMIFS(Datos!$E$2:$E$5000,Datos!$A$2:$A$5000,D$1,Datos!$B$2:$B$5000,$A263,Datos!$C$2:$C$5000,$B263,Datos!$D$2:$D$5000,D$2))</f>
        <v/>
      </c>
      <c r="E263" s="9">
        <f>IF(COUNTIFS(Datos!$A$2:$A$5000,E$1,Datos!$B$2:$B$5000,$A263,Datos!$C$2:$C$5000,$B263,Datos!$D$2:$D$5000,E$2)=0,"",SUMIFS(Datos!$E$2:$E$5000,Datos!$A$2:$A$5000,E$1,Datos!$B$2:$B$5000,$A263,Datos!$C$2:$C$5000,$B263,Datos!$D$2:$D$5000,E$2))</f>
        <v/>
      </c>
      <c r="F263" s="9">
        <f>IF(COUNTIFS(Datos!$A$2:$A$5000,F$1,Datos!$B$2:$B$5000,$A263,Datos!$C$2:$C$5000,$B263,Datos!$D$2:$D$5000,F$2)=0,"",SUMIFS(Datos!$E$2:$E$5000,Datos!$A$2:$A$5000,F$1,Datos!$B$2:$B$5000,$A263,Datos!$C$2:$C$5000,$B263,Datos!$D$2:$D$5000,F$2))</f>
        <v/>
      </c>
      <c r="G263" s="9">
        <f>IF(COUNTIFS(Datos!$A$2:$A$5000,G$1,Datos!$B$2:$B$5000,$A263,Datos!$C$2:$C$5000,$B263,Datos!$D$2:$D$5000,G$2)=0,"",SUMIFS(Datos!$E$2:$E$5000,Datos!$A$2:$A$5000,G$1,Datos!$B$2:$B$5000,$A263,Datos!$C$2:$C$5000,$B263,Datos!$D$2:$D$5000,G$2))</f>
        <v/>
      </c>
      <c r="H263" s="9">
        <f>IF(COUNTIFS(Datos!$A$2:$A$5000,H$1,Datos!$B$2:$B$5000,$A263,Datos!$C$2:$C$5000,$B263,Datos!$D$2:$D$5000,H$2)=0,"",SUMIFS(Datos!$E$2:$E$5000,Datos!$A$2:$A$5000,H$1,Datos!$B$2:$B$5000,$A263,Datos!$C$2:$C$5000,$B263,Datos!$D$2:$D$5000,H$2))</f>
        <v/>
      </c>
      <c r="I263" s="9">
        <f>IF(COUNTIFS(Datos!$A$2:$A$5000,I$1,Datos!$B$2:$B$5000,$A263,Datos!$C$2:$C$5000,$B263,Datos!$D$2:$D$5000,I$2)=0,"",SUMIFS(Datos!$E$2:$E$5000,Datos!$A$2:$A$5000,I$1,Datos!$B$2:$B$5000,$A263,Datos!$C$2:$C$5000,$B263,Datos!$D$2:$D$5000,I$2))</f>
        <v/>
      </c>
      <c r="J263" s="9">
        <f>IF(COUNTIFS(Datos!$A$2:$A$5000,J$1,Datos!$B$2:$B$5000,$A263,Datos!$C$2:$C$5000,$B263,Datos!$D$2:$D$5000,J$2)=0,"",SUMIFS(Datos!$E$2:$E$5000,Datos!$A$2:$A$5000,J$1,Datos!$B$2:$B$5000,$A263,Datos!$C$2:$C$5000,$B263,Datos!$D$2:$D$5000,J$2))</f>
        <v/>
      </c>
    </row>
    <row r="264">
      <c r="A264" s="8" t="inlineStr">
        <is>
          <t>Panamá</t>
        </is>
      </c>
      <c r="B264" s="8" t="n">
        <v>1998</v>
      </c>
      <c r="C264" s="9">
        <f>IF(COUNTIFS(Datos!$A$2:$A$5000,C$1,Datos!$B$2:$B$5000,$A264,Datos!$C$2:$C$5000,$B264,Datos!$D$2:$D$5000,C$2)=0,"",SUMIFS(Datos!$E$2:$E$5000,Datos!$A$2:$A$5000,C$1,Datos!$B$2:$B$5000,$A264,Datos!$C$2:$C$5000,$B264,Datos!$D$2:$D$5000,C$2))</f>
        <v/>
      </c>
      <c r="D264" s="9">
        <f>IF(COUNTIFS(Datos!$A$2:$A$5000,D$1,Datos!$B$2:$B$5000,$A264,Datos!$C$2:$C$5000,$B264,Datos!$D$2:$D$5000,D$2)=0,"",SUMIFS(Datos!$E$2:$E$5000,Datos!$A$2:$A$5000,D$1,Datos!$B$2:$B$5000,$A264,Datos!$C$2:$C$5000,$B264,Datos!$D$2:$D$5000,D$2))</f>
        <v/>
      </c>
      <c r="E264" s="9">
        <f>IF(COUNTIFS(Datos!$A$2:$A$5000,E$1,Datos!$B$2:$B$5000,$A264,Datos!$C$2:$C$5000,$B264,Datos!$D$2:$D$5000,E$2)=0,"",SUMIFS(Datos!$E$2:$E$5000,Datos!$A$2:$A$5000,E$1,Datos!$B$2:$B$5000,$A264,Datos!$C$2:$C$5000,$B264,Datos!$D$2:$D$5000,E$2))</f>
        <v/>
      </c>
      <c r="F264" s="9">
        <f>IF(COUNTIFS(Datos!$A$2:$A$5000,F$1,Datos!$B$2:$B$5000,$A264,Datos!$C$2:$C$5000,$B264,Datos!$D$2:$D$5000,F$2)=0,"",SUMIFS(Datos!$E$2:$E$5000,Datos!$A$2:$A$5000,F$1,Datos!$B$2:$B$5000,$A264,Datos!$C$2:$C$5000,$B264,Datos!$D$2:$D$5000,F$2))</f>
        <v/>
      </c>
      <c r="G264" s="9">
        <f>IF(COUNTIFS(Datos!$A$2:$A$5000,G$1,Datos!$B$2:$B$5000,$A264,Datos!$C$2:$C$5000,$B264,Datos!$D$2:$D$5000,G$2)=0,"",SUMIFS(Datos!$E$2:$E$5000,Datos!$A$2:$A$5000,G$1,Datos!$B$2:$B$5000,$A264,Datos!$C$2:$C$5000,$B264,Datos!$D$2:$D$5000,G$2))</f>
        <v/>
      </c>
      <c r="H264" s="9">
        <f>IF(COUNTIFS(Datos!$A$2:$A$5000,H$1,Datos!$B$2:$B$5000,$A264,Datos!$C$2:$C$5000,$B264,Datos!$D$2:$D$5000,H$2)=0,"",SUMIFS(Datos!$E$2:$E$5000,Datos!$A$2:$A$5000,H$1,Datos!$B$2:$B$5000,$A264,Datos!$C$2:$C$5000,$B264,Datos!$D$2:$D$5000,H$2))</f>
        <v/>
      </c>
      <c r="I264" s="9">
        <f>IF(COUNTIFS(Datos!$A$2:$A$5000,I$1,Datos!$B$2:$B$5000,$A264,Datos!$C$2:$C$5000,$B264,Datos!$D$2:$D$5000,I$2)=0,"",SUMIFS(Datos!$E$2:$E$5000,Datos!$A$2:$A$5000,I$1,Datos!$B$2:$B$5000,$A264,Datos!$C$2:$C$5000,$B264,Datos!$D$2:$D$5000,I$2))</f>
        <v/>
      </c>
      <c r="J264" s="9">
        <f>IF(COUNTIFS(Datos!$A$2:$A$5000,J$1,Datos!$B$2:$B$5000,$A264,Datos!$C$2:$C$5000,$B264,Datos!$D$2:$D$5000,J$2)=0,"",SUMIFS(Datos!$E$2:$E$5000,Datos!$A$2:$A$5000,J$1,Datos!$B$2:$B$5000,$A264,Datos!$C$2:$C$5000,$B264,Datos!$D$2:$D$5000,J$2))</f>
        <v/>
      </c>
    </row>
    <row r="265">
      <c r="A265" s="8" t="inlineStr">
        <is>
          <t>Panamá</t>
        </is>
      </c>
      <c r="B265" s="8" t="n">
        <v>2000</v>
      </c>
      <c r="C265" s="9">
        <f>IF(COUNTIFS(Datos!$A$2:$A$5000,C$1,Datos!$B$2:$B$5000,$A265,Datos!$C$2:$C$5000,$B265,Datos!$D$2:$D$5000,C$2)=0,"",SUMIFS(Datos!$E$2:$E$5000,Datos!$A$2:$A$5000,C$1,Datos!$B$2:$B$5000,$A265,Datos!$C$2:$C$5000,$B265,Datos!$D$2:$D$5000,C$2))</f>
        <v/>
      </c>
      <c r="D265" s="9">
        <f>IF(COUNTIFS(Datos!$A$2:$A$5000,D$1,Datos!$B$2:$B$5000,$A265,Datos!$C$2:$C$5000,$B265,Datos!$D$2:$D$5000,D$2)=0,"",SUMIFS(Datos!$E$2:$E$5000,Datos!$A$2:$A$5000,D$1,Datos!$B$2:$B$5000,$A265,Datos!$C$2:$C$5000,$B265,Datos!$D$2:$D$5000,D$2))</f>
        <v/>
      </c>
      <c r="E265" s="9">
        <f>IF(COUNTIFS(Datos!$A$2:$A$5000,E$1,Datos!$B$2:$B$5000,$A265,Datos!$C$2:$C$5000,$B265,Datos!$D$2:$D$5000,E$2)=0,"",SUMIFS(Datos!$E$2:$E$5000,Datos!$A$2:$A$5000,E$1,Datos!$B$2:$B$5000,$A265,Datos!$C$2:$C$5000,$B265,Datos!$D$2:$D$5000,E$2))</f>
        <v/>
      </c>
      <c r="F265" s="9">
        <f>IF(COUNTIFS(Datos!$A$2:$A$5000,F$1,Datos!$B$2:$B$5000,$A265,Datos!$C$2:$C$5000,$B265,Datos!$D$2:$D$5000,F$2)=0,"",SUMIFS(Datos!$E$2:$E$5000,Datos!$A$2:$A$5000,F$1,Datos!$B$2:$B$5000,$A265,Datos!$C$2:$C$5000,$B265,Datos!$D$2:$D$5000,F$2))</f>
        <v/>
      </c>
      <c r="G265" s="9">
        <f>IF(COUNTIFS(Datos!$A$2:$A$5000,G$1,Datos!$B$2:$B$5000,$A265,Datos!$C$2:$C$5000,$B265,Datos!$D$2:$D$5000,G$2)=0,"",SUMIFS(Datos!$E$2:$E$5000,Datos!$A$2:$A$5000,G$1,Datos!$B$2:$B$5000,$A265,Datos!$C$2:$C$5000,$B265,Datos!$D$2:$D$5000,G$2))</f>
        <v/>
      </c>
      <c r="H265" s="9">
        <f>IF(COUNTIFS(Datos!$A$2:$A$5000,H$1,Datos!$B$2:$B$5000,$A265,Datos!$C$2:$C$5000,$B265,Datos!$D$2:$D$5000,H$2)=0,"",SUMIFS(Datos!$E$2:$E$5000,Datos!$A$2:$A$5000,H$1,Datos!$B$2:$B$5000,$A265,Datos!$C$2:$C$5000,$B265,Datos!$D$2:$D$5000,H$2))</f>
        <v/>
      </c>
      <c r="I265" s="9">
        <f>IF(COUNTIFS(Datos!$A$2:$A$5000,I$1,Datos!$B$2:$B$5000,$A265,Datos!$C$2:$C$5000,$B265,Datos!$D$2:$D$5000,I$2)=0,"",SUMIFS(Datos!$E$2:$E$5000,Datos!$A$2:$A$5000,I$1,Datos!$B$2:$B$5000,$A265,Datos!$C$2:$C$5000,$B265,Datos!$D$2:$D$5000,I$2))</f>
        <v/>
      </c>
      <c r="J265" s="9">
        <f>IF(COUNTIFS(Datos!$A$2:$A$5000,J$1,Datos!$B$2:$B$5000,$A265,Datos!$C$2:$C$5000,$B265,Datos!$D$2:$D$5000,J$2)=0,"",SUMIFS(Datos!$E$2:$E$5000,Datos!$A$2:$A$5000,J$1,Datos!$B$2:$B$5000,$A265,Datos!$C$2:$C$5000,$B265,Datos!$D$2:$D$5000,J$2))</f>
        <v/>
      </c>
    </row>
    <row r="266">
      <c r="A266" s="8" t="inlineStr">
        <is>
          <t>Panamá</t>
        </is>
      </c>
      <c r="B266" s="8" t="n">
        <v>2001</v>
      </c>
      <c r="C266" s="9">
        <f>IF(COUNTIFS(Datos!$A$2:$A$5000,C$1,Datos!$B$2:$B$5000,$A266,Datos!$C$2:$C$5000,$B266,Datos!$D$2:$D$5000,C$2)=0,"",SUMIFS(Datos!$E$2:$E$5000,Datos!$A$2:$A$5000,C$1,Datos!$B$2:$B$5000,$A266,Datos!$C$2:$C$5000,$B266,Datos!$D$2:$D$5000,C$2))</f>
        <v/>
      </c>
      <c r="D266" s="9">
        <f>IF(COUNTIFS(Datos!$A$2:$A$5000,D$1,Datos!$B$2:$B$5000,$A266,Datos!$C$2:$C$5000,$B266,Datos!$D$2:$D$5000,D$2)=0,"",SUMIFS(Datos!$E$2:$E$5000,Datos!$A$2:$A$5000,D$1,Datos!$B$2:$B$5000,$A266,Datos!$C$2:$C$5000,$B266,Datos!$D$2:$D$5000,D$2))</f>
        <v/>
      </c>
      <c r="E266" s="9">
        <f>IF(COUNTIFS(Datos!$A$2:$A$5000,E$1,Datos!$B$2:$B$5000,$A266,Datos!$C$2:$C$5000,$B266,Datos!$D$2:$D$5000,E$2)=0,"",SUMIFS(Datos!$E$2:$E$5000,Datos!$A$2:$A$5000,E$1,Datos!$B$2:$B$5000,$A266,Datos!$C$2:$C$5000,$B266,Datos!$D$2:$D$5000,E$2))</f>
        <v/>
      </c>
      <c r="F266" s="9">
        <f>IF(COUNTIFS(Datos!$A$2:$A$5000,F$1,Datos!$B$2:$B$5000,$A266,Datos!$C$2:$C$5000,$B266,Datos!$D$2:$D$5000,F$2)=0,"",SUMIFS(Datos!$E$2:$E$5000,Datos!$A$2:$A$5000,F$1,Datos!$B$2:$B$5000,$A266,Datos!$C$2:$C$5000,$B266,Datos!$D$2:$D$5000,F$2))</f>
        <v/>
      </c>
      <c r="G266" s="9">
        <f>IF(COUNTIFS(Datos!$A$2:$A$5000,G$1,Datos!$B$2:$B$5000,$A266,Datos!$C$2:$C$5000,$B266,Datos!$D$2:$D$5000,G$2)=0,"",SUMIFS(Datos!$E$2:$E$5000,Datos!$A$2:$A$5000,G$1,Datos!$B$2:$B$5000,$A266,Datos!$C$2:$C$5000,$B266,Datos!$D$2:$D$5000,G$2))</f>
        <v/>
      </c>
      <c r="H266" s="9">
        <f>IF(COUNTIFS(Datos!$A$2:$A$5000,H$1,Datos!$B$2:$B$5000,$A266,Datos!$C$2:$C$5000,$B266,Datos!$D$2:$D$5000,H$2)=0,"",SUMIFS(Datos!$E$2:$E$5000,Datos!$A$2:$A$5000,H$1,Datos!$B$2:$B$5000,$A266,Datos!$C$2:$C$5000,$B266,Datos!$D$2:$D$5000,H$2))</f>
        <v/>
      </c>
      <c r="I266" s="9">
        <f>IF(COUNTIFS(Datos!$A$2:$A$5000,I$1,Datos!$B$2:$B$5000,$A266,Datos!$C$2:$C$5000,$B266,Datos!$D$2:$D$5000,I$2)=0,"",SUMIFS(Datos!$E$2:$E$5000,Datos!$A$2:$A$5000,I$1,Datos!$B$2:$B$5000,$A266,Datos!$C$2:$C$5000,$B266,Datos!$D$2:$D$5000,I$2))</f>
        <v/>
      </c>
      <c r="J266" s="9">
        <f>IF(COUNTIFS(Datos!$A$2:$A$5000,J$1,Datos!$B$2:$B$5000,$A266,Datos!$C$2:$C$5000,$B266,Datos!$D$2:$D$5000,J$2)=0,"",SUMIFS(Datos!$E$2:$E$5000,Datos!$A$2:$A$5000,J$1,Datos!$B$2:$B$5000,$A266,Datos!$C$2:$C$5000,$B266,Datos!$D$2:$D$5000,J$2))</f>
        <v/>
      </c>
    </row>
    <row r="267">
      <c r="A267" s="8" t="inlineStr">
        <is>
          <t>Panamá</t>
        </is>
      </c>
      <c r="B267" s="8" t="n">
        <v>2002</v>
      </c>
      <c r="C267" s="9">
        <f>IF(COUNTIFS(Datos!$A$2:$A$5000,C$1,Datos!$B$2:$B$5000,$A267,Datos!$C$2:$C$5000,$B267,Datos!$D$2:$D$5000,C$2)=0,"",SUMIFS(Datos!$E$2:$E$5000,Datos!$A$2:$A$5000,C$1,Datos!$B$2:$B$5000,$A267,Datos!$C$2:$C$5000,$B267,Datos!$D$2:$D$5000,C$2))</f>
        <v/>
      </c>
      <c r="D267" s="9">
        <f>IF(COUNTIFS(Datos!$A$2:$A$5000,D$1,Datos!$B$2:$B$5000,$A267,Datos!$C$2:$C$5000,$B267,Datos!$D$2:$D$5000,D$2)=0,"",SUMIFS(Datos!$E$2:$E$5000,Datos!$A$2:$A$5000,D$1,Datos!$B$2:$B$5000,$A267,Datos!$C$2:$C$5000,$B267,Datos!$D$2:$D$5000,D$2))</f>
        <v/>
      </c>
      <c r="E267" s="9">
        <f>IF(COUNTIFS(Datos!$A$2:$A$5000,E$1,Datos!$B$2:$B$5000,$A267,Datos!$C$2:$C$5000,$B267,Datos!$D$2:$D$5000,E$2)=0,"",SUMIFS(Datos!$E$2:$E$5000,Datos!$A$2:$A$5000,E$1,Datos!$B$2:$B$5000,$A267,Datos!$C$2:$C$5000,$B267,Datos!$D$2:$D$5000,E$2))</f>
        <v/>
      </c>
      <c r="F267" s="9">
        <f>IF(COUNTIFS(Datos!$A$2:$A$5000,F$1,Datos!$B$2:$B$5000,$A267,Datos!$C$2:$C$5000,$B267,Datos!$D$2:$D$5000,F$2)=0,"",SUMIFS(Datos!$E$2:$E$5000,Datos!$A$2:$A$5000,F$1,Datos!$B$2:$B$5000,$A267,Datos!$C$2:$C$5000,$B267,Datos!$D$2:$D$5000,F$2))</f>
        <v/>
      </c>
      <c r="G267" s="9">
        <f>IF(COUNTIFS(Datos!$A$2:$A$5000,G$1,Datos!$B$2:$B$5000,$A267,Datos!$C$2:$C$5000,$B267,Datos!$D$2:$D$5000,G$2)=0,"",SUMIFS(Datos!$E$2:$E$5000,Datos!$A$2:$A$5000,G$1,Datos!$B$2:$B$5000,$A267,Datos!$C$2:$C$5000,$B267,Datos!$D$2:$D$5000,G$2))</f>
        <v/>
      </c>
      <c r="H267" s="9">
        <f>IF(COUNTIFS(Datos!$A$2:$A$5000,H$1,Datos!$B$2:$B$5000,$A267,Datos!$C$2:$C$5000,$B267,Datos!$D$2:$D$5000,H$2)=0,"",SUMIFS(Datos!$E$2:$E$5000,Datos!$A$2:$A$5000,H$1,Datos!$B$2:$B$5000,$A267,Datos!$C$2:$C$5000,$B267,Datos!$D$2:$D$5000,H$2))</f>
        <v/>
      </c>
      <c r="I267" s="9">
        <f>IF(COUNTIFS(Datos!$A$2:$A$5000,I$1,Datos!$B$2:$B$5000,$A267,Datos!$C$2:$C$5000,$B267,Datos!$D$2:$D$5000,I$2)=0,"",SUMIFS(Datos!$E$2:$E$5000,Datos!$A$2:$A$5000,I$1,Datos!$B$2:$B$5000,$A267,Datos!$C$2:$C$5000,$B267,Datos!$D$2:$D$5000,I$2))</f>
        <v/>
      </c>
      <c r="J267" s="9">
        <f>IF(COUNTIFS(Datos!$A$2:$A$5000,J$1,Datos!$B$2:$B$5000,$A267,Datos!$C$2:$C$5000,$B267,Datos!$D$2:$D$5000,J$2)=0,"",SUMIFS(Datos!$E$2:$E$5000,Datos!$A$2:$A$5000,J$1,Datos!$B$2:$B$5000,$A267,Datos!$C$2:$C$5000,$B267,Datos!$D$2:$D$5000,J$2))</f>
        <v/>
      </c>
    </row>
    <row r="268">
      <c r="A268" s="8" t="inlineStr">
        <is>
          <t>Panamá</t>
        </is>
      </c>
      <c r="B268" s="8" t="n">
        <v>2003</v>
      </c>
      <c r="C268" s="9">
        <f>IF(COUNTIFS(Datos!$A$2:$A$5000,C$1,Datos!$B$2:$B$5000,$A268,Datos!$C$2:$C$5000,$B268,Datos!$D$2:$D$5000,C$2)=0,"",SUMIFS(Datos!$E$2:$E$5000,Datos!$A$2:$A$5000,C$1,Datos!$B$2:$B$5000,$A268,Datos!$C$2:$C$5000,$B268,Datos!$D$2:$D$5000,C$2))</f>
        <v/>
      </c>
      <c r="D268" s="9">
        <f>IF(COUNTIFS(Datos!$A$2:$A$5000,D$1,Datos!$B$2:$B$5000,$A268,Datos!$C$2:$C$5000,$B268,Datos!$D$2:$D$5000,D$2)=0,"",SUMIFS(Datos!$E$2:$E$5000,Datos!$A$2:$A$5000,D$1,Datos!$B$2:$B$5000,$A268,Datos!$C$2:$C$5000,$B268,Datos!$D$2:$D$5000,D$2))</f>
        <v/>
      </c>
      <c r="E268" s="9">
        <f>IF(COUNTIFS(Datos!$A$2:$A$5000,E$1,Datos!$B$2:$B$5000,$A268,Datos!$C$2:$C$5000,$B268,Datos!$D$2:$D$5000,E$2)=0,"",SUMIFS(Datos!$E$2:$E$5000,Datos!$A$2:$A$5000,E$1,Datos!$B$2:$B$5000,$A268,Datos!$C$2:$C$5000,$B268,Datos!$D$2:$D$5000,E$2))</f>
        <v/>
      </c>
      <c r="F268" s="9">
        <f>IF(COUNTIFS(Datos!$A$2:$A$5000,F$1,Datos!$B$2:$B$5000,$A268,Datos!$C$2:$C$5000,$B268,Datos!$D$2:$D$5000,F$2)=0,"",SUMIFS(Datos!$E$2:$E$5000,Datos!$A$2:$A$5000,F$1,Datos!$B$2:$B$5000,$A268,Datos!$C$2:$C$5000,$B268,Datos!$D$2:$D$5000,F$2))</f>
        <v/>
      </c>
      <c r="G268" s="9">
        <f>IF(COUNTIFS(Datos!$A$2:$A$5000,G$1,Datos!$B$2:$B$5000,$A268,Datos!$C$2:$C$5000,$B268,Datos!$D$2:$D$5000,G$2)=0,"",SUMIFS(Datos!$E$2:$E$5000,Datos!$A$2:$A$5000,G$1,Datos!$B$2:$B$5000,$A268,Datos!$C$2:$C$5000,$B268,Datos!$D$2:$D$5000,G$2))</f>
        <v/>
      </c>
      <c r="H268" s="9">
        <f>IF(COUNTIFS(Datos!$A$2:$A$5000,H$1,Datos!$B$2:$B$5000,$A268,Datos!$C$2:$C$5000,$B268,Datos!$D$2:$D$5000,H$2)=0,"",SUMIFS(Datos!$E$2:$E$5000,Datos!$A$2:$A$5000,H$1,Datos!$B$2:$B$5000,$A268,Datos!$C$2:$C$5000,$B268,Datos!$D$2:$D$5000,H$2))</f>
        <v/>
      </c>
      <c r="I268" s="9">
        <f>IF(COUNTIFS(Datos!$A$2:$A$5000,I$1,Datos!$B$2:$B$5000,$A268,Datos!$C$2:$C$5000,$B268,Datos!$D$2:$D$5000,I$2)=0,"",SUMIFS(Datos!$E$2:$E$5000,Datos!$A$2:$A$5000,I$1,Datos!$B$2:$B$5000,$A268,Datos!$C$2:$C$5000,$B268,Datos!$D$2:$D$5000,I$2))</f>
        <v/>
      </c>
      <c r="J268" s="9">
        <f>IF(COUNTIFS(Datos!$A$2:$A$5000,J$1,Datos!$B$2:$B$5000,$A268,Datos!$C$2:$C$5000,$B268,Datos!$D$2:$D$5000,J$2)=0,"",SUMIFS(Datos!$E$2:$E$5000,Datos!$A$2:$A$5000,J$1,Datos!$B$2:$B$5000,$A268,Datos!$C$2:$C$5000,$B268,Datos!$D$2:$D$5000,J$2))</f>
        <v/>
      </c>
    </row>
    <row r="269">
      <c r="A269" s="8" t="inlineStr">
        <is>
          <t>Panamá</t>
        </is>
      </c>
      <c r="B269" s="8" t="n">
        <v>2004</v>
      </c>
      <c r="C269" s="9">
        <f>IF(COUNTIFS(Datos!$A$2:$A$5000,C$1,Datos!$B$2:$B$5000,$A269,Datos!$C$2:$C$5000,$B269,Datos!$D$2:$D$5000,C$2)=0,"",SUMIFS(Datos!$E$2:$E$5000,Datos!$A$2:$A$5000,C$1,Datos!$B$2:$B$5000,$A269,Datos!$C$2:$C$5000,$B269,Datos!$D$2:$D$5000,C$2))</f>
        <v/>
      </c>
      <c r="D269" s="9">
        <f>IF(COUNTIFS(Datos!$A$2:$A$5000,D$1,Datos!$B$2:$B$5000,$A269,Datos!$C$2:$C$5000,$B269,Datos!$D$2:$D$5000,D$2)=0,"",SUMIFS(Datos!$E$2:$E$5000,Datos!$A$2:$A$5000,D$1,Datos!$B$2:$B$5000,$A269,Datos!$C$2:$C$5000,$B269,Datos!$D$2:$D$5000,D$2))</f>
        <v/>
      </c>
      <c r="E269" s="9">
        <f>IF(COUNTIFS(Datos!$A$2:$A$5000,E$1,Datos!$B$2:$B$5000,$A269,Datos!$C$2:$C$5000,$B269,Datos!$D$2:$D$5000,E$2)=0,"",SUMIFS(Datos!$E$2:$E$5000,Datos!$A$2:$A$5000,E$1,Datos!$B$2:$B$5000,$A269,Datos!$C$2:$C$5000,$B269,Datos!$D$2:$D$5000,E$2))</f>
        <v/>
      </c>
      <c r="F269" s="9">
        <f>IF(COUNTIFS(Datos!$A$2:$A$5000,F$1,Datos!$B$2:$B$5000,$A269,Datos!$C$2:$C$5000,$B269,Datos!$D$2:$D$5000,F$2)=0,"",SUMIFS(Datos!$E$2:$E$5000,Datos!$A$2:$A$5000,F$1,Datos!$B$2:$B$5000,$A269,Datos!$C$2:$C$5000,$B269,Datos!$D$2:$D$5000,F$2))</f>
        <v/>
      </c>
      <c r="G269" s="9">
        <f>IF(COUNTIFS(Datos!$A$2:$A$5000,G$1,Datos!$B$2:$B$5000,$A269,Datos!$C$2:$C$5000,$B269,Datos!$D$2:$D$5000,G$2)=0,"",SUMIFS(Datos!$E$2:$E$5000,Datos!$A$2:$A$5000,G$1,Datos!$B$2:$B$5000,$A269,Datos!$C$2:$C$5000,$B269,Datos!$D$2:$D$5000,G$2))</f>
        <v/>
      </c>
      <c r="H269" s="9">
        <f>IF(COUNTIFS(Datos!$A$2:$A$5000,H$1,Datos!$B$2:$B$5000,$A269,Datos!$C$2:$C$5000,$B269,Datos!$D$2:$D$5000,H$2)=0,"",SUMIFS(Datos!$E$2:$E$5000,Datos!$A$2:$A$5000,H$1,Datos!$B$2:$B$5000,$A269,Datos!$C$2:$C$5000,$B269,Datos!$D$2:$D$5000,H$2))</f>
        <v/>
      </c>
      <c r="I269" s="9">
        <f>IF(COUNTIFS(Datos!$A$2:$A$5000,I$1,Datos!$B$2:$B$5000,$A269,Datos!$C$2:$C$5000,$B269,Datos!$D$2:$D$5000,I$2)=0,"",SUMIFS(Datos!$E$2:$E$5000,Datos!$A$2:$A$5000,I$1,Datos!$B$2:$B$5000,$A269,Datos!$C$2:$C$5000,$B269,Datos!$D$2:$D$5000,I$2))</f>
        <v/>
      </c>
      <c r="J269" s="9">
        <f>IF(COUNTIFS(Datos!$A$2:$A$5000,J$1,Datos!$B$2:$B$5000,$A269,Datos!$C$2:$C$5000,$B269,Datos!$D$2:$D$5000,J$2)=0,"",SUMIFS(Datos!$E$2:$E$5000,Datos!$A$2:$A$5000,J$1,Datos!$B$2:$B$5000,$A269,Datos!$C$2:$C$5000,$B269,Datos!$D$2:$D$5000,J$2))</f>
        <v/>
      </c>
    </row>
    <row r="270">
      <c r="A270" s="8" t="inlineStr">
        <is>
          <t>Panamá</t>
        </is>
      </c>
      <c r="B270" s="8" t="n">
        <v>2005</v>
      </c>
      <c r="C270" s="9">
        <f>IF(COUNTIFS(Datos!$A$2:$A$5000,C$1,Datos!$B$2:$B$5000,$A270,Datos!$C$2:$C$5000,$B270,Datos!$D$2:$D$5000,C$2)=0,"",SUMIFS(Datos!$E$2:$E$5000,Datos!$A$2:$A$5000,C$1,Datos!$B$2:$B$5000,$A270,Datos!$C$2:$C$5000,$B270,Datos!$D$2:$D$5000,C$2))</f>
        <v/>
      </c>
      <c r="D270" s="9">
        <f>IF(COUNTIFS(Datos!$A$2:$A$5000,D$1,Datos!$B$2:$B$5000,$A270,Datos!$C$2:$C$5000,$B270,Datos!$D$2:$D$5000,D$2)=0,"",SUMIFS(Datos!$E$2:$E$5000,Datos!$A$2:$A$5000,D$1,Datos!$B$2:$B$5000,$A270,Datos!$C$2:$C$5000,$B270,Datos!$D$2:$D$5000,D$2))</f>
        <v/>
      </c>
      <c r="E270" s="9">
        <f>IF(COUNTIFS(Datos!$A$2:$A$5000,E$1,Datos!$B$2:$B$5000,$A270,Datos!$C$2:$C$5000,$B270,Datos!$D$2:$D$5000,E$2)=0,"",SUMIFS(Datos!$E$2:$E$5000,Datos!$A$2:$A$5000,E$1,Datos!$B$2:$B$5000,$A270,Datos!$C$2:$C$5000,$B270,Datos!$D$2:$D$5000,E$2))</f>
        <v/>
      </c>
      <c r="F270" s="9">
        <f>IF(COUNTIFS(Datos!$A$2:$A$5000,F$1,Datos!$B$2:$B$5000,$A270,Datos!$C$2:$C$5000,$B270,Datos!$D$2:$D$5000,F$2)=0,"",SUMIFS(Datos!$E$2:$E$5000,Datos!$A$2:$A$5000,F$1,Datos!$B$2:$B$5000,$A270,Datos!$C$2:$C$5000,$B270,Datos!$D$2:$D$5000,F$2))</f>
        <v/>
      </c>
      <c r="G270" s="9">
        <f>IF(COUNTIFS(Datos!$A$2:$A$5000,G$1,Datos!$B$2:$B$5000,$A270,Datos!$C$2:$C$5000,$B270,Datos!$D$2:$D$5000,G$2)=0,"",SUMIFS(Datos!$E$2:$E$5000,Datos!$A$2:$A$5000,G$1,Datos!$B$2:$B$5000,$A270,Datos!$C$2:$C$5000,$B270,Datos!$D$2:$D$5000,G$2))</f>
        <v/>
      </c>
      <c r="H270" s="9">
        <f>IF(COUNTIFS(Datos!$A$2:$A$5000,H$1,Datos!$B$2:$B$5000,$A270,Datos!$C$2:$C$5000,$B270,Datos!$D$2:$D$5000,H$2)=0,"",SUMIFS(Datos!$E$2:$E$5000,Datos!$A$2:$A$5000,H$1,Datos!$B$2:$B$5000,$A270,Datos!$C$2:$C$5000,$B270,Datos!$D$2:$D$5000,H$2))</f>
        <v/>
      </c>
      <c r="I270" s="9">
        <f>IF(COUNTIFS(Datos!$A$2:$A$5000,I$1,Datos!$B$2:$B$5000,$A270,Datos!$C$2:$C$5000,$B270,Datos!$D$2:$D$5000,I$2)=0,"",SUMIFS(Datos!$E$2:$E$5000,Datos!$A$2:$A$5000,I$1,Datos!$B$2:$B$5000,$A270,Datos!$C$2:$C$5000,$B270,Datos!$D$2:$D$5000,I$2))</f>
        <v/>
      </c>
      <c r="J270" s="9">
        <f>IF(COUNTIFS(Datos!$A$2:$A$5000,J$1,Datos!$B$2:$B$5000,$A270,Datos!$C$2:$C$5000,$B270,Datos!$D$2:$D$5000,J$2)=0,"",SUMIFS(Datos!$E$2:$E$5000,Datos!$A$2:$A$5000,J$1,Datos!$B$2:$B$5000,$A270,Datos!$C$2:$C$5000,$B270,Datos!$D$2:$D$5000,J$2))</f>
        <v/>
      </c>
    </row>
    <row r="271">
      <c r="A271" s="8" t="inlineStr">
        <is>
          <t>Panamá</t>
        </is>
      </c>
      <c r="B271" s="8" t="n">
        <v>2006</v>
      </c>
      <c r="C271" s="9">
        <f>IF(COUNTIFS(Datos!$A$2:$A$5000,C$1,Datos!$B$2:$B$5000,$A271,Datos!$C$2:$C$5000,$B271,Datos!$D$2:$D$5000,C$2)=0,"",SUMIFS(Datos!$E$2:$E$5000,Datos!$A$2:$A$5000,C$1,Datos!$B$2:$B$5000,$A271,Datos!$C$2:$C$5000,$B271,Datos!$D$2:$D$5000,C$2))</f>
        <v/>
      </c>
      <c r="D271" s="9">
        <f>IF(COUNTIFS(Datos!$A$2:$A$5000,D$1,Datos!$B$2:$B$5000,$A271,Datos!$C$2:$C$5000,$B271,Datos!$D$2:$D$5000,D$2)=0,"",SUMIFS(Datos!$E$2:$E$5000,Datos!$A$2:$A$5000,D$1,Datos!$B$2:$B$5000,$A271,Datos!$C$2:$C$5000,$B271,Datos!$D$2:$D$5000,D$2))</f>
        <v/>
      </c>
      <c r="E271" s="9">
        <f>IF(COUNTIFS(Datos!$A$2:$A$5000,E$1,Datos!$B$2:$B$5000,$A271,Datos!$C$2:$C$5000,$B271,Datos!$D$2:$D$5000,E$2)=0,"",SUMIFS(Datos!$E$2:$E$5000,Datos!$A$2:$A$5000,E$1,Datos!$B$2:$B$5000,$A271,Datos!$C$2:$C$5000,$B271,Datos!$D$2:$D$5000,E$2))</f>
        <v/>
      </c>
      <c r="F271" s="9">
        <f>IF(COUNTIFS(Datos!$A$2:$A$5000,F$1,Datos!$B$2:$B$5000,$A271,Datos!$C$2:$C$5000,$B271,Datos!$D$2:$D$5000,F$2)=0,"",SUMIFS(Datos!$E$2:$E$5000,Datos!$A$2:$A$5000,F$1,Datos!$B$2:$B$5000,$A271,Datos!$C$2:$C$5000,$B271,Datos!$D$2:$D$5000,F$2))</f>
        <v/>
      </c>
      <c r="G271" s="9">
        <f>IF(COUNTIFS(Datos!$A$2:$A$5000,G$1,Datos!$B$2:$B$5000,$A271,Datos!$C$2:$C$5000,$B271,Datos!$D$2:$D$5000,G$2)=0,"",SUMIFS(Datos!$E$2:$E$5000,Datos!$A$2:$A$5000,G$1,Datos!$B$2:$B$5000,$A271,Datos!$C$2:$C$5000,$B271,Datos!$D$2:$D$5000,G$2))</f>
        <v/>
      </c>
      <c r="H271" s="9">
        <f>IF(COUNTIFS(Datos!$A$2:$A$5000,H$1,Datos!$B$2:$B$5000,$A271,Datos!$C$2:$C$5000,$B271,Datos!$D$2:$D$5000,H$2)=0,"",SUMIFS(Datos!$E$2:$E$5000,Datos!$A$2:$A$5000,H$1,Datos!$B$2:$B$5000,$A271,Datos!$C$2:$C$5000,$B271,Datos!$D$2:$D$5000,H$2))</f>
        <v/>
      </c>
      <c r="I271" s="9">
        <f>IF(COUNTIFS(Datos!$A$2:$A$5000,I$1,Datos!$B$2:$B$5000,$A271,Datos!$C$2:$C$5000,$B271,Datos!$D$2:$D$5000,I$2)=0,"",SUMIFS(Datos!$E$2:$E$5000,Datos!$A$2:$A$5000,I$1,Datos!$B$2:$B$5000,$A271,Datos!$C$2:$C$5000,$B271,Datos!$D$2:$D$5000,I$2))</f>
        <v/>
      </c>
      <c r="J271" s="9">
        <f>IF(COUNTIFS(Datos!$A$2:$A$5000,J$1,Datos!$B$2:$B$5000,$A271,Datos!$C$2:$C$5000,$B271,Datos!$D$2:$D$5000,J$2)=0,"",SUMIFS(Datos!$E$2:$E$5000,Datos!$A$2:$A$5000,J$1,Datos!$B$2:$B$5000,$A271,Datos!$C$2:$C$5000,$B271,Datos!$D$2:$D$5000,J$2))</f>
        <v/>
      </c>
    </row>
    <row r="272">
      <c r="A272" s="8" t="inlineStr">
        <is>
          <t>Panamá</t>
        </is>
      </c>
      <c r="B272" s="8" t="n">
        <v>2007</v>
      </c>
      <c r="C272" s="9">
        <f>IF(COUNTIFS(Datos!$A$2:$A$5000,C$1,Datos!$B$2:$B$5000,$A272,Datos!$C$2:$C$5000,$B272,Datos!$D$2:$D$5000,C$2)=0,"",SUMIFS(Datos!$E$2:$E$5000,Datos!$A$2:$A$5000,C$1,Datos!$B$2:$B$5000,$A272,Datos!$C$2:$C$5000,$B272,Datos!$D$2:$D$5000,C$2))</f>
        <v/>
      </c>
      <c r="D272" s="9">
        <f>IF(COUNTIFS(Datos!$A$2:$A$5000,D$1,Datos!$B$2:$B$5000,$A272,Datos!$C$2:$C$5000,$B272,Datos!$D$2:$D$5000,D$2)=0,"",SUMIFS(Datos!$E$2:$E$5000,Datos!$A$2:$A$5000,D$1,Datos!$B$2:$B$5000,$A272,Datos!$C$2:$C$5000,$B272,Datos!$D$2:$D$5000,D$2))</f>
        <v/>
      </c>
      <c r="E272" s="9">
        <f>IF(COUNTIFS(Datos!$A$2:$A$5000,E$1,Datos!$B$2:$B$5000,$A272,Datos!$C$2:$C$5000,$B272,Datos!$D$2:$D$5000,E$2)=0,"",SUMIFS(Datos!$E$2:$E$5000,Datos!$A$2:$A$5000,E$1,Datos!$B$2:$B$5000,$A272,Datos!$C$2:$C$5000,$B272,Datos!$D$2:$D$5000,E$2))</f>
        <v/>
      </c>
      <c r="F272" s="9">
        <f>IF(COUNTIFS(Datos!$A$2:$A$5000,F$1,Datos!$B$2:$B$5000,$A272,Datos!$C$2:$C$5000,$B272,Datos!$D$2:$D$5000,F$2)=0,"",SUMIFS(Datos!$E$2:$E$5000,Datos!$A$2:$A$5000,F$1,Datos!$B$2:$B$5000,$A272,Datos!$C$2:$C$5000,$B272,Datos!$D$2:$D$5000,F$2))</f>
        <v/>
      </c>
      <c r="G272" s="9">
        <f>IF(COUNTIFS(Datos!$A$2:$A$5000,G$1,Datos!$B$2:$B$5000,$A272,Datos!$C$2:$C$5000,$B272,Datos!$D$2:$D$5000,G$2)=0,"",SUMIFS(Datos!$E$2:$E$5000,Datos!$A$2:$A$5000,G$1,Datos!$B$2:$B$5000,$A272,Datos!$C$2:$C$5000,$B272,Datos!$D$2:$D$5000,G$2))</f>
        <v/>
      </c>
      <c r="H272" s="9">
        <f>IF(COUNTIFS(Datos!$A$2:$A$5000,H$1,Datos!$B$2:$B$5000,$A272,Datos!$C$2:$C$5000,$B272,Datos!$D$2:$D$5000,H$2)=0,"",SUMIFS(Datos!$E$2:$E$5000,Datos!$A$2:$A$5000,H$1,Datos!$B$2:$B$5000,$A272,Datos!$C$2:$C$5000,$B272,Datos!$D$2:$D$5000,H$2))</f>
        <v/>
      </c>
      <c r="I272" s="9">
        <f>IF(COUNTIFS(Datos!$A$2:$A$5000,I$1,Datos!$B$2:$B$5000,$A272,Datos!$C$2:$C$5000,$B272,Datos!$D$2:$D$5000,I$2)=0,"",SUMIFS(Datos!$E$2:$E$5000,Datos!$A$2:$A$5000,I$1,Datos!$B$2:$B$5000,$A272,Datos!$C$2:$C$5000,$B272,Datos!$D$2:$D$5000,I$2))</f>
        <v/>
      </c>
      <c r="J272" s="9">
        <f>IF(COUNTIFS(Datos!$A$2:$A$5000,J$1,Datos!$B$2:$B$5000,$A272,Datos!$C$2:$C$5000,$B272,Datos!$D$2:$D$5000,J$2)=0,"",SUMIFS(Datos!$E$2:$E$5000,Datos!$A$2:$A$5000,J$1,Datos!$B$2:$B$5000,$A272,Datos!$C$2:$C$5000,$B272,Datos!$D$2:$D$5000,J$2))</f>
        <v/>
      </c>
    </row>
    <row r="273">
      <c r="A273" s="8" t="inlineStr">
        <is>
          <t>Panamá</t>
        </is>
      </c>
      <c r="B273" s="8" t="n">
        <v>2008</v>
      </c>
      <c r="C273" s="9">
        <f>IF(COUNTIFS(Datos!$A$2:$A$5000,C$1,Datos!$B$2:$B$5000,$A273,Datos!$C$2:$C$5000,$B273,Datos!$D$2:$D$5000,C$2)=0,"",SUMIFS(Datos!$E$2:$E$5000,Datos!$A$2:$A$5000,C$1,Datos!$B$2:$B$5000,$A273,Datos!$C$2:$C$5000,$B273,Datos!$D$2:$D$5000,C$2))</f>
        <v/>
      </c>
      <c r="D273" s="9">
        <f>IF(COUNTIFS(Datos!$A$2:$A$5000,D$1,Datos!$B$2:$B$5000,$A273,Datos!$C$2:$C$5000,$B273,Datos!$D$2:$D$5000,D$2)=0,"",SUMIFS(Datos!$E$2:$E$5000,Datos!$A$2:$A$5000,D$1,Datos!$B$2:$B$5000,$A273,Datos!$C$2:$C$5000,$B273,Datos!$D$2:$D$5000,D$2))</f>
        <v/>
      </c>
      <c r="E273" s="9">
        <f>IF(COUNTIFS(Datos!$A$2:$A$5000,E$1,Datos!$B$2:$B$5000,$A273,Datos!$C$2:$C$5000,$B273,Datos!$D$2:$D$5000,E$2)=0,"",SUMIFS(Datos!$E$2:$E$5000,Datos!$A$2:$A$5000,E$1,Datos!$B$2:$B$5000,$A273,Datos!$C$2:$C$5000,$B273,Datos!$D$2:$D$5000,E$2))</f>
        <v/>
      </c>
      <c r="F273" s="9">
        <f>IF(COUNTIFS(Datos!$A$2:$A$5000,F$1,Datos!$B$2:$B$5000,$A273,Datos!$C$2:$C$5000,$B273,Datos!$D$2:$D$5000,F$2)=0,"",SUMIFS(Datos!$E$2:$E$5000,Datos!$A$2:$A$5000,F$1,Datos!$B$2:$B$5000,$A273,Datos!$C$2:$C$5000,$B273,Datos!$D$2:$D$5000,F$2))</f>
        <v/>
      </c>
      <c r="G273" s="9">
        <f>IF(COUNTIFS(Datos!$A$2:$A$5000,G$1,Datos!$B$2:$B$5000,$A273,Datos!$C$2:$C$5000,$B273,Datos!$D$2:$D$5000,G$2)=0,"",SUMIFS(Datos!$E$2:$E$5000,Datos!$A$2:$A$5000,G$1,Datos!$B$2:$B$5000,$A273,Datos!$C$2:$C$5000,$B273,Datos!$D$2:$D$5000,G$2))</f>
        <v/>
      </c>
      <c r="H273" s="9">
        <f>IF(COUNTIFS(Datos!$A$2:$A$5000,H$1,Datos!$B$2:$B$5000,$A273,Datos!$C$2:$C$5000,$B273,Datos!$D$2:$D$5000,H$2)=0,"",SUMIFS(Datos!$E$2:$E$5000,Datos!$A$2:$A$5000,H$1,Datos!$B$2:$B$5000,$A273,Datos!$C$2:$C$5000,$B273,Datos!$D$2:$D$5000,H$2))</f>
        <v/>
      </c>
      <c r="I273" s="9">
        <f>IF(COUNTIFS(Datos!$A$2:$A$5000,I$1,Datos!$B$2:$B$5000,$A273,Datos!$C$2:$C$5000,$B273,Datos!$D$2:$D$5000,I$2)=0,"",SUMIFS(Datos!$E$2:$E$5000,Datos!$A$2:$A$5000,I$1,Datos!$B$2:$B$5000,$A273,Datos!$C$2:$C$5000,$B273,Datos!$D$2:$D$5000,I$2))</f>
        <v/>
      </c>
      <c r="J273" s="9">
        <f>IF(COUNTIFS(Datos!$A$2:$A$5000,J$1,Datos!$B$2:$B$5000,$A273,Datos!$C$2:$C$5000,$B273,Datos!$D$2:$D$5000,J$2)=0,"",SUMIFS(Datos!$E$2:$E$5000,Datos!$A$2:$A$5000,J$1,Datos!$B$2:$B$5000,$A273,Datos!$C$2:$C$5000,$B273,Datos!$D$2:$D$5000,J$2))</f>
        <v/>
      </c>
    </row>
    <row r="274">
      <c r="A274" s="8" t="inlineStr">
        <is>
          <t>Panamá</t>
        </is>
      </c>
      <c r="B274" s="8" t="n">
        <v>2009</v>
      </c>
      <c r="C274" s="9">
        <f>IF(COUNTIFS(Datos!$A$2:$A$5000,C$1,Datos!$B$2:$B$5000,$A274,Datos!$C$2:$C$5000,$B274,Datos!$D$2:$D$5000,C$2)=0,"",SUMIFS(Datos!$E$2:$E$5000,Datos!$A$2:$A$5000,C$1,Datos!$B$2:$B$5000,$A274,Datos!$C$2:$C$5000,$B274,Datos!$D$2:$D$5000,C$2))</f>
        <v/>
      </c>
      <c r="D274" s="9">
        <f>IF(COUNTIFS(Datos!$A$2:$A$5000,D$1,Datos!$B$2:$B$5000,$A274,Datos!$C$2:$C$5000,$B274,Datos!$D$2:$D$5000,D$2)=0,"",SUMIFS(Datos!$E$2:$E$5000,Datos!$A$2:$A$5000,D$1,Datos!$B$2:$B$5000,$A274,Datos!$C$2:$C$5000,$B274,Datos!$D$2:$D$5000,D$2))</f>
        <v/>
      </c>
      <c r="E274" s="9">
        <f>IF(COUNTIFS(Datos!$A$2:$A$5000,E$1,Datos!$B$2:$B$5000,$A274,Datos!$C$2:$C$5000,$B274,Datos!$D$2:$D$5000,E$2)=0,"",SUMIFS(Datos!$E$2:$E$5000,Datos!$A$2:$A$5000,E$1,Datos!$B$2:$B$5000,$A274,Datos!$C$2:$C$5000,$B274,Datos!$D$2:$D$5000,E$2))</f>
        <v/>
      </c>
      <c r="F274" s="9">
        <f>IF(COUNTIFS(Datos!$A$2:$A$5000,F$1,Datos!$B$2:$B$5000,$A274,Datos!$C$2:$C$5000,$B274,Datos!$D$2:$D$5000,F$2)=0,"",SUMIFS(Datos!$E$2:$E$5000,Datos!$A$2:$A$5000,F$1,Datos!$B$2:$B$5000,$A274,Datos!$C$2:$C$5000,$B274,Datos!$D$2:$D$5000,F$2))</f>
        <v/>
      </c>
      <c r="G274" s="9">
        <f>IF(COUNTIFS(Datos!$A$2:$A$5000,G$1,Datos!$B$2:$B$5000,$A274,Datos!$C$2:$C$5000,$B274,Datos!$D$2:$D$5000,G$2)=0,"",SUMIFS(Datos!$E$2:$E$5000,Datos!$A$2:$A$5000,G$1,Datos!$B$2:$B$5000,$A274,Datos!$C$2:$C$5000,$B274,Datos!$D$2:$D$5000,G$2))</f>
        <v/>
      </c>
      <c r="H274" s="9">
        <f>IF(COUNTIFS(Datos!$A$2:$A$5000,H$1,Datos!$B$2:$B$5000,$A274,Datos!$C$2:$C$5000,$B274,Datos!$D$2:$D$5000,H$2)=0,"",SUMIFS(Datos!$E$2:$E$5000,Datos!$A$2:$A$5000,H$1,Datos!$B$2:$B$5000,$A274,Datos!$C$2:$C$5000,$B274,Datos!$D$2:$D$5000,H$2))</f>
        <v/>
      </c>
      <c r="I274" s="9">
        <f>IF(COUNTIFS(Datos!$A$2:$A$5000,I$1,Datos!$B$2:$B$5000,$A274,Datos!$C$2:$C$5000,$B274,Datos!$D$2:$D$5000,I$2)=0,"",SUMIFS(Datos!$E$2:$E$5000,Datos!$A$2:$A$5000,I$1,Datos!$B$2:$B$5000,$A274,Datos!$C$2:$C$5000,$B274,Datos!$D$2:$D$5000,I$2))</f>
        <v/>
      </c>
      <c r="J274" s="9">
        <f>IF(COUNTIFS(Datos!$A$2:$A$5000,J$1,Datos!$B$2:$B$5000,$A274,Datos!$C$2:$C$5000,$B274,Datos!$D$2:$D$5000,J$2)=0,"",SUMIFS(Datos!$E$2:$E$5000,Datos!$A$2:$A$5000,J$1,Datos!$B$2:$B$5000,$A274,Datos!$C$2:$C$5000,$B274,Datos!$D$2:$D$5000,J$2))</f>
        <v/>
      </c>
    </row>
    <row r="275">
      <c r="A275" s="8" t="inlineStr">
        <is>
          <t>Panamá</t>
        </is>
      </c>
      <c r="B275" s="8" t="n">
        <v>2010</v>
      </c>
      <c r="C275" s="9">
        <f>IF(COUNTIFS(Datos!$A$2:$A$5000,C$1,Datos!$B$2:$B$5000,$A275,Datos!$C$2:$C$5000,$B275,Datos!$D$2:$D$5000,C$2)=0,"",SUMIFS(Datos!$E$2:$E$5000,Datos!$A$2:$A$5000,C$1,Datos!$B$2:$B$5000,$A275,Datos!$C$2:$C$5000,$B275,Datos!$D$2:$D$5000,C$2))</f>
        <v/>
      </c>
      <c r="D275" s="9">
        <f>IF(COUNTIFS(Datos!$A$2:$A$5000,D$1,Datos!$B$2:$B$5000,$A275,Datos!$C$2:$C$5000,$B275,Datos!$D$2:$D$5000,D$2)=0,"",SUMIFS(Datos!$E$2:$E$5000,Datos!$A$2:$A$5000,D$1,Datos!$B$2:$B$5000,$A275,Datos!$C$2:$C$5000,$B275,Datos!$D$2:$D$5000,D$2))</f>
        <v/>
      </c>
      <c r="E275" s="9">
        <f>IF(COUNTIFS(Datos!$A$2:$A$5000,E$1,Datos!$B$2:$B$5000,$A275,Datos!$C$2:$C$5000,$B275,Datos!$D$2:$D$5000,E$2)=0,"",SUMIFS(Datos!$E$2:$E$5000,Datos!$A$2:$A$5000,E$1,Datos!$B$2:$B$5000,$A275,Datos!$C$2:$C$5000,$B275,Datos!$D$2:$D$5000,E$2))</f>
        <v/>
      </c>
      <c r="F275" s="9">
        <f>IF(COUNTIFS(Datos!$A$2:$A$5000,F$1,Datos!$B$2:$B$5000,$A275,Datos!$C$2:$C$5000,$B275,Datos!$D$2:$D$5000,F$2)=0,"",SUMIFS(Datos!$E$2:$E$5000,Datos!$A$2:$A$5000,F$1,Datos!$B$2:$B$5000,$A275,Datos!$C$2:$C$5000,$B275,Datos!$D$2:$D$5000,F$2))</f>
        <v/>
      </c>
      <c r="G275" s="9">
        <f>IF(COUNTIFS(Datos!$A$2:$A$5000,G$1,Datos!$B$2:$B$5000,$A275,Datos!$C$2:$C$5000,$B275,Datos!$D$2:$D$5000,G$2)=0,"",SUMIFS(Datos!$E$2:$E$5000,Datos!$A$2:$A$5000,G$1,Datos!$B$2:$B$5000,$A275,Datos!$C$2:$C$5000,$B275,Datos!$D$2:$D$5000,G$2))</f>
        <v/>
      </c>
      <c r="H275" s="9">
        <f>IF(COUNTIFS(Datos!$A$2:$A$5000,H$1,Datos!$B$2:$B$5000,$A275,Datos!$C$2:$C$5000,$B275,Datos!$D$2:$D$5000,H$2)=0,"",SUMIFS(Datos!$E$2:$E$5000,Datos!$A$2:$A$5000,H$1,Datos!$B$2:$B$5000,$A275,Datos!$C$2:$C$5000,$B275,Datos!$D$2:$D$5000,H$2))</f>
        <v/>
      </c>
      <c r="I275" s="9">
        <f>IF(COUNTIFS(Datos!$A$2:$A$5000,I$1,Datos!$B$2:$B$5000,$A275,Datos!$C$2:$C$5000,$B275,Datos!$D$2:$D$5000,I$2)=0,"",SUMIFS(Datos!$E$2:$E$5000,Datos!$A$2:$A$5000,I$1,Datos!$B$2:$B$5000,$A275,Datos!$C$2:$C$5000,$B275,Datos!$D$2:$D$5000,I$2))</f>
        <v/>
      </c>
      <c r="J275" s="9">
        <f>IF(COUNTIFS(Datos!$A$2:$A$5000,J$1,Datos!$B$2:$B$5000,$A275,Datos!$C$2:$C$5000,$B275,Datos!$D$2:$D$5000,J$2)=0,"",SUMIFS(Datos!$E$2:$E$5000,Datos!$A$2:$A$5000,J$1,Datos!$B$2:$B$5000,$A275,Datos!$C$2:$C$5000,$B275,Datos!$D$2:$D$5000,J$2))</f>
        <v/>
      </c>
    </row>
    <row r="276">
      <c r="A276" s="8" t="inlineStr">
        <is>
          <t>Panamá</t>
        </is>
      </c>
      <c r="B276" s="8" t="n">
        <v>2011</v>
      </c>
      <c r="C276" s="9">
        <f>IF(COUNTIFS(Datos!$A$2:$A$5000,C$1,Datos!$B$2:$B$5000,$A276,Datos!$C$2:$C$5000,$B276,Datos!$D$2:$D$5000,C$2)=0,"",SUMIFS(Datos!$E$2:$E$5000,Datos!$A$2:$A$5000,C$1,Datos!$B$2:$B$5000,$A276,Datos!$C$2:$C$5000,$B276,Datos!$D$2:$D$5000,C$2))</f>
        <v/>
      </c>
      <c r="D276" s="9">
        <f>IF(COUNTIFS(Datos!$A$2:$A$5000,D$1,Datos!$B$2:$B$5000,$A276,Datos!$C$2:$C$5000,$B276,Datos!$D$2:$D$5000,D$2)=0,"",SUMIFS(Datos!$E$2:$E$5000,Datos!$A$2:$A$5000,D$1,Datos!$B$2:$B$5000,$A276,Datos!$C$2:$C$5000,$B276,Datos!$D$2:$D$5000,D$2))</f>
        <v/>
      </c>
      <c r="E276" s="9">
        <f>IF(COUNTIFS(Datos!$A$2:$A$5000,E$1,Datos!$B$2:$B$5000,$A276,Datos!$C$2:$C$5000,$B276,Datos!$D$2:$D$5000,E$2)=0,"",SUMIFS(Datos!$E$2:$E$5000,Datos!$A$2:$A$5000,E$1,Datos!$B$2:$B$5000,$A276,Datos!$C$2:$C$5000,$B276,Datos!$D$2:$D$5000,E$2))</f>
        <v/>
      </c>
      <c r="F276" s="9">
        <f>IF(COUNTIFS(Datos!$A$2:$A$5000,F$1,Datos!$B$2:$B$5000,$A276,Datos!$C$2:$C$5000,$B276,Datos!$D$2:$D$5000,F$2)=0,"",SUMIFS(Datos!$E$2:$E$5000,Datos!$A$2:$A$5000,F$1,Datos!$B$2:$B$5000,$A276,Datos!$C$2:$C$5000,$B276,Datos!$D$2:$D$5000,F$2))</f>
        <v/>
      </c>
      <c r="G276" s="9">
        <f>IF(COUNTIFS(Datos!$A$2:$A$5000,G$1,Datos!$B$2:$B$5000,$A276,Datos!$C$2:$C$5000,$B276,Datos!$D$2:$D$5000,G$2)=0,"",SUMIFS(Datos!$E$2:$E$5000,Datos!$A$2:$A$5000,G$1,Datos!$B$2:$B$5000,$A276,Datos!$C$2:$C$5000,$B276,Datos!$D$2:$D$5000,G$2))</f>
        <v/>
      </c>
      <c r="H276" s="9">
        <f>IF(COUNTIFS(Datos!$A$2:$A$5000,H$1,Datos!$B$2:$B$5000,$A276,Datos!$C$2:$C$5000,$B276,Datos!$D$2:$D$5000,H$2)=0,"",SUMIFS(Datos!$E$2:$E$5000,Datos!$A$2:$A$5000,H$1,Datos!$B$2:$B$5000,$A276,Datos!$C$2:$C$5000,$B276,Datos!$D$2:$D$5000,H$2))</f>
        <v/>
      </c>
      <c r="I276" s="9">
        <f>IF(COUNTIFS(Datos!$A$2:$A$5000,I$1,Datos!$B$2:$B$5000,$A276,Datos!$C$2:$C$5000,$B276,Datos!$D$2:$D$5000,I$2)=0,"",SUMIFS(Datos!$E$2:$E$5000,Datos!$A$2:$A$5000,I$1,Datos!$B$2:$B$5000,$A276,Datos!$C$2:$C$5000,$B276,Datos!$D$2:$D$5000,I$2))</f>
        <v/>
      </c>
      <c r="J276" s="9">
        <f>IF(COUNTIFS(Datos!$A$2:$A$5000,J$1,Datos!$B$2:$B$5000,$A276,Datos!$C$2:$C$5000,$B276,Datos!$D$2:$D$5000,J$2)=0,"",SUMIFS(Datos!$E$2:$E$5000,Datos!$A$2:$A$5000,J$1,Datos!$B$2:$B$5000,$A276,Datos!$C$2:$C$5000,$B276,Datos!$D$2:$D$5000,J$2))</f>
        <v/>
      </c>
    </row>
    <row r="277">
      <c r="A277" s="8" t="inlineStr">
        <is>
          <t>Panamá</t>
        </is>
      </c>
      <c r="B277" s="8" t="n">
        <v>2016</v>
      </c>
      <c r="C277" s="9">
        <f>IF(COUNTIFS(Datos!$A$2:$A$5000,C$1,Datos!$B$2:$B$5000,$A277,Datos!$C$2:$C$5000,$B277,Datos!$D$2:$D$5000,C$2)=0,"",SUMIFS(Datos!$E$2:$E$5000,Datos!$A$2:$A$5000,C$1,Datos!$B$2:$B$5000,$A277,Datos!$C$2:$C$5000,$B277,Datos!$D$2:$D$5000,C$2))</f>
        <v/>
      </c>
      <c r="D277" s="9">
        <f>IF(COUNTIFS(Datos!$A$2:$A$5000,D$1,Datos!$B$2:$B$5000,$A277,Datos!$C$2:$C$5000,$B277,Datos!$D$2:$D$5000,D$2)=0,"",SUMIFS(Datos!$E$2:$E$5000,Datos!$A$2:$A$5000,D$1,Datos!$B$2:$B$5000,$A277,Datos!$C$2:$C$5000,$B277,Datos!$D$2:$D$5000,D$2))</f>
        <v/>
      </c>
      <c r="E277" s="9">
        <f>IF(COUNTIFS(Datos!$A$2:$A$5000,E$1,Datos!$B$2:$B$5000,$A277,Datos!$C$2:$C$5000,$B277,Datos!$D$2:$D$5000,E$2)=0,"",SUMIFS(Datos!$E$2:$E$5000,Datos!$A$2:$A$5000,E$1,Datos!$B$2:$B$5000,$A277,Datos!$C$2:$C$5000,$B277,Datos!$D$2:$D$5000,E$2))</f>
        <v/>
      </c>
      <c r="F277" s="9">
        <f>IF(COUNTIFS(Datos!$A$2:$A$5000,F$1,Datos!$B$2:$B$5000,$A277,Datos!$C$2:$C$5000,$B277,Datos!$D$2:$D$5000,F$2)=0,"",SUMIFS(Datos!$E$2:$E$5000,Datos!$A$2:$A$5000,F$1,Datos!$B$2:$B$5000,$A277,Datos!$C$2:$C$5000,$B277,Datos!$D$2:$D$5000,F$2))</f>
        <v/>
      </c>
      <c r="G277" s="9">
        <f>IF(COUNTIFS(Datos!$A$2:$A$5000,G$1,Datos!$B$2:$B$5000,$A277,Datos!$C$2:$C$5000,$B277,Datos!$D$2:$D$5000,G$2)=0,"",SUMIFS(Datos!$E$2:$E$5000,Datos!$A$2:$A$5000,G$1,Datos!$B$2:$B$5000,$A277,Datos!$C$2:$C$5000,$B277,Datos!$D$2:$D$5000,G$2))</f>
        <v/>
      </c>
      <c r="H277" s="9">
        <f>IF(COUNTIFS(Datos!$A$2:$A$5000,H$1,Datos!$B$2:$B$5000,$A277,Datos!$C$2:$C$5000,$B277,Datos!$D$2:$D$5000,H$2)=0,"",SUMIFS(Datos!$E$2:$E$5000,Datos!$A$2:$A$5000,H$1,Datos!$B$2:$B$5000,$A277,Datos!$C$2:$C$5000,$B277,Datos!$D$2:$D$5000,H$2))</f>
        <v/>
      </c>
      <c r="I277" s="9">
        <f>IF(COUNTIFS(Datos!$A$2:$A$5000,I$1,Datos!$B$2:$B$5000,$A277,Datos!$C$2:$C$5000,$B277,Datos!$D$2:$D$5000,I$2)=0,"",SUMIFS(Datos!$E$2:$E$5000,Datos!$A$2:$A$5000,I$1,Datos!$B$2:$B$5000,$A277,Datos!$C$2:$C$5000,$B277,Datos!$D$2:$D$5000,I$2))</f>
        <v/>
      </c>
      <c r="J277" s="9">
        <f>IF(COUNTIFS(Datos!$A$2:$A$5000,J$1,Datos!$B$2:$B$5000,$A277,Datos!$C$2:$C$5000,$B277,Datos!$D$2:$D$5000,J$2)=0,"",SUMIFS(Datos!$E$2:$E$5000,Datos!$A$2:$A$5000,J$1,Datos!$B$2:$B$5000,$A277,Datos!$C$2:$C$5000,$B277,Datos!$D$2:$D$5000,J$2))</f>
        <v/>
      </c>
    </row>
    <row r="278">
      <c r="A278" s="8" t="inlineStr">
        <is>
          <t>Panamá</t>
        </is>
      </c>
      <c r="B278" s="8" t="n">
        <v>2017</v>
      </c>
      <c r="C278" s="9">
        <f>IF(COUNTIFS(Datos!$A$2:$A$5000,C$1,Datos!$B$2:$B$5000,$A278,Datos!$C$2:$C$5000,$B278,Datos!$D$2:$D$5000,C$2)=0,"",SUMIFS(Datos!$E$2:$E$5000,Datos!$A$2:$A$5000,C$1,Datos!$B$2:$B$5000,$A278,Datos!$C$2:$C$5000,$B278,Datos!$D$2:$D$5000,C$2))</f>
        <v/>
      </c>
      <c r="D278" s="9">
        <f>IF(COUNTIFS(Datos!$A$2:$A$5000,D$1,Datos!$B$2:$B$5000,$A278,Datos!$C$2:$C$5000,$B278,Datos!$D$2:$D$5000,D$2)=0,"",SUMIFS(Datos!$E$2:$E$5000,Datos!$A$2:$A$5000,D$1,Datos!$B$2:$B$5000,$A278,Datos!$C$2:$C$5000,$B278,Datos!$D$2:$D$5000,D$2))</f>
        <v/>
      </c>
      <c r="E278" s="9">
        <f>IF(COUNTIFS(Datos!$A$2:$A$5000,E$1,Datos!$B$2:$B$5000,$A278,Datos!$C$2:$C$5000,$B278,Datos!$D$2:$D$5000,E$2)=0,"",SUMIFS(Datos!$E$2:$E$5000,Datos!$A$2:$A$5000,E$1,Datos!$B$2:$B$5000,$A278,Datos!$C$2:$C$5000,$B278,Datos!$D$2:$D$5000,E$2))</f>
        <v/>
      </c>
      <c r="F278" s="9">
        <f>IF(COUNTIFS(Datos!$A$2:$A$5000,F$1,Datos!$B$2:$B$5000,$A278,Datos!$C$2:$C$5000,$B278,Datos!$D$2:$D$5000,F$2)=0,"",SUMIFS(Datos!$E$2:$E$5000,Datos!$A$2:$A$5000,F$1,Datos!$B$2:$B$5000,$A278,Datos!$C$2:$C$5000,$B278,Datos!$D$2:$D$5000,F$2))</f>
        <v/>
      </c>
      <c r="G278" s="9">
        <f>IF(COUNTIFS(Datos!$A$2:$A$5000,G$1,Datos!$B$2:$B$5000,$A278,Datos!$C$2:$C$5000,$B278,Datos!$D$2:$D$5000,G$2)=0,"",SUMIFS(Datos!$E$2:$E$5000,Datos!$A$2:$A$5000,G$1,Datos!$B$2:$B$5000,$A278,Datos!$C$2:$C$5000,$B278,Datos!$D$2:$D$5000,G$2))</f>
        <v/>
      </c>
      <c r="H278" s="9">
        <f>IF(COUNTIFS(Datos!$A$2:$A$5000,H$1,Datos!$B$2:$B$5000,$A278,Datos!$C$2:$C$5000,$B278,Datos!$D$2:$D$5000,H$2)=0,"",SUMIFS(Datos!$E$2:$E$5000,Datos!$A$2:$A$5000,H$1,Datos!$B$2:$B$5000,$A278,Datos!$C$2:$C$5000,$B278,Datos!$D$2:$D$5000,H$2))</f>
        <v/>
      </c>
      <c r="I278" s="9">
        <f>IF(COUNTIFS(Datos!$A$2:$A$5000,I$1,Datos!$B$2:$B$5000,$A278,Datos!$C$2:$C$5000,$B278,Datos!$D$2:$D$5000,I$2)=0,"",SUMIFS(Datos!$E$2:$E$5000,Datos!$A$2:$A$5000,I$1,Datos!$B$2:$B$5000,$A278,Datos!$C$2:$C$5000,$B278,Datos!$D$2:$D$5000,I$2))</f>
        <v/>
      </c>
      <c r="J278" s="9">
        <f>IF(COUNTIFS(Datos!$A$2:$A$5000,J$1,Datos!$B$2:$B$5000,$A278,Datos!$C$2:$C$5000,$B278,Datos!$D$2:$D$5000,J$2)=0,"",SUMIFS(Datos!$E$2:$E$5000,Datos!$A$2:$A$5000,J$1,Datos!$B$2:$B$5000,$A278,Datos!$C$2:$C$5000,$B278,Datos!$D$2:$D$5000,J$2))</f>
        <v/>
      </c>
    </row>
    <row r="279">
      <c r="A279" s="8" t="inlineStr">
        <is>
          <t>Panamá</t>
        </is>
      </c>
      <c r="B279" s="8" t="n">
        <v>2018</v>
      </c>
      <c r="C279" s="9">
        <f>IF(COUNTIFS(Datos!$A$2:$A$5000,C$1,Datos!$B$2:$B$5000,$A279,Datos!$C$2:$C$5000,$B279,Datos!$D$2:$D$5000,C$2)=0,"",SUMIFS(Datos!$E$2:$E$5000,Datos!$A$2:$A$5000,C$1,Datos!$B$2:$B$5000,$A279,Datos!$C$2:$C$5000,$B279,Datos!$D$2:$D$5000,C$2))</f>
        <v/>
      </c>
      <c r="D279" s="9">
        <f>IF(COUNTIFS(Datos!$A$2:$A$5000,D$1,Datos!$B$2:$B$5000,$A279,Datos!$C$2:$C$5000,$B279,Datos!$D$2:$D$5000,D$2)=0,"",SUMIFS(Datos!$E$2:$E$5000,Datos!$A$2:$A$5000,D$1,Datos!$B$2:$B$5000,$A279,Datos!$C$2:$C$5000,$B279,Datos!$D$2:$D$5000,D$2))</f>
        <v/>
      </c>
      <c r="E279" s="9">
        <f>IF(COUNTIFS(Datos!$A$2:$A$5000,E$1,Datos!$B$2:$B$5000,$A279,Datos!$C$2:$C$5000,$B279,Datos!$D$2:$D$5000,E$2)=0,"",SUMIFS(Datos!$E$2:$E$5000,Datos!$A$2:$A$5000,E$1,Datos!$B$2:$B$5000,$A279,Datos!$C$2:$C$5000,$B279,Datos!$D$2:$D$5000,E$2))</f>
        <v/>
      </c>
      <c r="F279" s="9">
        <f>IF(COUNTIFS(Datos!$A$2:$A$5000,F$1,Datos!$B$2:$B$5000,$A279,Datos!$C$2:$C$5000,$B279,Datos!$D$2:$D$5000,F$2)=0,"",SUMIFS(Datos!$E$2:$E$5000,Datos!$A$2:$A$5000,F$1,Datos!$B$2:$B$5000,$A279,Datos!$C$2:$C$5000,$B279,Datos!$D$2:$D$5000,F$2))</f>
        <v/>
      </c>
      <c r="G279" s="9">
        <f>IF(COUNTIFS(Datos!$A$2:$A$5000,G$1,Datos!$B$2:$B$5000,$A279,Datos!$C$2:$C$5000,$B279,Datos!$D$2:$D$5000,G$2)=0,"",SUMIFS(Datos!$E$2:$E$5000,Datos!$A$2:$A$5000,G$1,Datos!$B$2:$B$5000,$A279,Datos!$C$2:$C$5000,$B279,Datos!$D$2:$D$5000,G$2))</f>
        <v/>
      </c>
      <c r="H279" s="9">
        <f>IF(COUNTIFS(Datos!$A$2:$A$5000,H$1,Datos!$B$2:$B$5000,$A279,Datos!$C$2:$C$5000,$B279,Datos!$D$2:$D$5000,H$2)=0,"",SUMIFS(Datos!$E$2:$E$5000,Datos!$A$2:$A$5000,H$1,Datos!$B$2:$B$5000,$A279,Datos!$C$2:$C$5000,$B279,Datos!$D$2:$D$5000,H$2))</f>
        <v/>
      </c>
      <c r="I279" s="9">
        <f>IF(COUNTIFS(Datos!$A$2:$A$5000,I$1,Datos!$B$2:$B$5000,$A279,Datos!$C$2:$C$5000,$B279,Datos!$D$2:$D$5000,I$2)=0,"",SUMIFS(Datos!$E$2:$E$5000,Datos!$A$2:$A$5000,I$1,Datos!$B$2:$B$5000,$A279,Datos!$C$2:$C$5000,$B279,Datos!$D$2:$D$5000,I$2))</f>
        <v/>
      </c>
      <c r="J279" s="9">
        <f>IF(COUNTIFS(Datos!$A$2:$A$5000,J$1,Datos!$B$2:$B$5000,$A279,Datos!$C$2:$C$5000,$B279,Datos!$D$2:$D$5000,J$2)=0,"",SUMIFS(Datos!$E$2:$E$5000,Datos!$A$2:$A$5000,J$1,Datos!$B$2:$B$5000,$A279,Datos!$C$2:$C$5000,$B279,Datos!$D$2:$D$5000,J$2))</f>
        <v/>
      </c>
    </row>
    <row r="280">
      <c r="A280" s="8" t="inlineStr">
        <is>
          <t>Panamá</t>
        </is>
      </c>
      <c r="B280" s="8" t="n">
        <v>2020</v>
      </c>
      <c r="C280" s="9">
        <f>IF(COUNTIFS(Datos!$A$2:$A$5000,C$1,Datos!$B$2:$B$5000,$A280,Datos!$C$2:$C$5000,$B280,Datos!$D$2:$D$5000,C$2)=0,"",SUMIFS(Datos!$E$2:$E$5000,Datos!$A$2:$A$5000,C$1,Datos!$B$2:$B$5000,$A280,Datos!$C$2:$C$5000,$B280,Datos!$D$2:$D$5000,C$2))</f>
        <v/>
      </c>
      <c r="D280" s="9">
        <f>IF(COUNTIFS(Datos!$A$2:$A$5000,D$1,Datos!$B$2:$B$5000,$A280,Datos!$C$2:$C$5000,$B280,Datos!$D$2:$D$5000,D$2)=0,"",SUMIFS(Datos!$E$2:$E$5000,Datos!$A$2:$A$5000,D$1,Datos!$B$2:$B$5000,$A280,Datos!$C$2:$C$5000,$B280,Datos!$D$2:$D$5000,D$2))</f>
        <v/>
      </c>
      <c r="E280" s="9">
        <f>IF(COUNTIFS(Datos!$A$2:$A$5000,E$1,Datos!$B$2:$B$5000,$A280,Datos!$C$2:$C$5000,$B280,Datos!$D$2:$D$5000,E$2)=0,"",SUMIFS(Datos!$E$2:$E$5000,Datos!$A$2:$A$5000,E$1,Datos!$B$2:$B$5000,$A280,Datos!$C$2:$C$5000,$B280,Datos!$D$2:$D$5000,E$2))</f>
        <v/>
      </c>
      <c r="F280" s="9">
        <f>IF(COUNTIFS(Datos!$A$2:$A$5000,F$1,Datos!$B$2:$B$5000,$A280,Datos!$C$2:$C$5000,$B280,Datos!$D$2:$D$5000,F$2)=0,"",SUMIFS(Datos!$E$2:$E$5000,Datos!$A$2:$A$5000,F$1,Datos!$B$2:$B$5000,$A280,Datos!$C$2:$C$5000,$B280,Datos!$D$2:$D$5000,F$2))</f>
        <v/>
      </c>
      <c r="G280" s="9">
        <f>IF(COUNTIFS(Datos!$A$2:$A$5000,G$1,Datos!$B$2:$B$5000,$A280,Datos!$C$2:$C$5000,$B280,Datos!$D$2:$D$5000,G$2)=0,"",SUMIFS(Datos!$E$2:$E$5000,Datos!$A$2:$A$5000,G$1,Datos!$B$2:$B$5000,$A280,Datos!$C$2:$C$5000,$B280,Datos!$D$2:$D$5000,G$2))</f>
        <v/>
      </c>
      <c r="H280" s="9">
        <f>IF(COUNTIFS(Datos!$A$2:$A$5000,H$1,Datos!$B$2:$B$5000,$A280,Datos!$C$2:$C$5000,$B280,Datos!$D$2:$D$5000,H$2)=0,"",SUMIFS(Datos!$E$2:$E$5000,Datos!$A$2:$A$5000,H$1,Datos!$B$2:$B$5000,$A280,Datos!$C$2:$C$5000,$B280,Datos!$D$2:$D$5000,H$2))</f>
        <v/>
      </c>
      <c r="I280" s="9">
        <f>IF(COUNTIFS(Datos!$A$2:$A$5000,I$1,Datos!$B$2:$B$5000,$A280,Datos!$C$2:$C$5000,$B280,Datos!$D$2:$D$5000,I$2)=0,"",SUMIFS(Datos!$E$2:$E$5000,Datos!$A$2:$A$5000,I$1,Datos!$B$2:$B$5000,$A280,Datos!$C$2:$C$5000,$B280,Datos!$D$2:$D$5000,I$2))</f>
        <v/>
      </c>
      <c r="J280" s="9">
        <f>IF(COUNTIFS(Datos!$A$2:$A$5000,J$1,Datos!$B$2:$B$5000,$A280,Datos!$C$2:$C$5000,$B280,Datos!$D$2:$D$5000,J$2)=0,"",SUMIFS(Datos!$E$2:$E$5000,Datos!$A$2:$A$5000,J$1,Datos!$B$2:$B$5000,$A280,Datos!$C$2:$C$5000,$B280,Datos!$D$2:$D$5000,J$2))</f>
        <v/>
      </c>
    </row>
    <row r="281">
      <c r="A281" s="8" t="inlineStr">
        <is>
          <t>Panamá</t>
        </is>
      </c>
      <c r="B281" s="8" t="n">
        <v>2024</v>
      </c>
      <c r="C281" s="9">
        <f>IF(COUNTIFS(Datos!$A$2:$A$5000,C$1,Datos!$B$2:$B$5000,$A281,Datos!$C$2:$C$5000,$B281,Datos!$D$2:$D$5000,C$2)=0,"",SUMIFS(Datos!$E$2:$E$5000,Datos!$A$2:$A$5000,C$1,Datos!$B$2:$B$5000,$A281,Datos!$C$2:$C$5000,$B281,Datos!$D$2:$D$5000,C$2))</f>
        <v/>
      </c>
      <c r="D281" s="9">
        <f>IF(COUNTIFS(Datos!$A$2:$A$5000,D$1,Datos!$B$2:$B$5000,$A281,Datos!$C$2:$C$5000,$B281,Datos!$D$2:$D$5000,D$2)=0,"",SUMIFS(Datos!$E$2:$E$5000,Datos!$A$2:$A$5000,D$1,Datos!$B$2:$B$5000,$A281,Datos!$C$2:$C$5000,$B281,Datos!$D$2:$D$5000,D$2))</f>
        <v/>
      </c>
      <c r="E281" s="9">
        <f>IF(COUNTIFS(Datos!$A$2:$A$5000,E$1,Datos!$B$2:$B$5000,$A281,Datos!$C$2:$C$5000,$B281,Datos!$D$2:$D$5000,E$2)=0,"",SUMIFS(Datos!$E$2:$E$5000,Datos!$A$2:$A$5000,E$1,Datos!$B$2:$B$5000,$A281,Datos!$C$2:$C$5000,$B281,Datos!$D$2:$D$5000,E$2))</f>
        <v/>
      </c>
      <c r="F281" s="9">
        <f>IF(COUNTIFS(Datos!$A$2:$A$5000,F$1,Datos!$B$2:$B$5000,$A281,Datos!$C$2:$C$5000,$B281,Datos!$D$2:$D$5000,F$2)=0,"",SUMIFS(Datos!$E$2:$E$5000,Datos!$A$2:$A$5000,F$1,Datos!$B$2:$B$5000,$A281,Datos!$C$2:$C$5000,$B281,Datos!$D$2:$D$5000,F$2))</f>
        <v/>
      </c>
      <c r="G281" s="9">
        <f>IF(COUNTIFS(Datos!$A$2:$A$5000,G$1,Datos!$B$2:$B$5000,$A281,Datos!$C$2:$C$5000,$B281,Datos!$D$2:$D$5000,G$2)=0,"",SUMIFS(Datos!$E$2:$E$5000,Datos!$A$2:$A$5000,G$1,Datos!$B$2:$B$5000,$A281,Datos!$C$2:$C$5000,$B281,Datos!$D$2:$D$5000,G$2))</f>
        <v/>
      </c>
      <c r="H281" s="9">
        <f>IF(COUNTIFS(Datos!$A$2:$A$5000,H$1,Datos!$B$2:$B$5000,$A281,Datos!$C$2:$C$5000,$B281,Datos!$D$2:$D$5000,H$2)=0,"",SUMIFS(Datos!$E$2:$E$5000,Datos!$A$2:$A$5000,H$1,Datos!$B$2:$B$5000,$A281,Datos!$C$2:$C$5000,$B281,Datos!$D$2:$D$5000,H$2))</f>
        <v/>
      </c>
      <c r="I281" s="9">
        <f>IF(COUNTIFS(Datos!$A$2:$A$5000,I$1,Datos!$B$2:$B$5000,$A281,Datos!$C$2:$C$5000,$B281,Datos!$D$2:$D$5000,I$2)=0,"",SUMIFS(Datos!$E$2:$E$5000,Datos!$A$2:$A$5000,I$1,Datos!$B$2:$B$5000,$A281,Datos!$C$2:$C$5000,$B281,Datos!$D$2:$D$5000,I$2))</f>
        <v/>
      </c>
      <c r="J281" s="9">
        <f>IF(COUNTIFS(Datos!$A$2:$A$5000,J$1,Datos!$B$2:$B$5000,$A281,Datos!$C$2:$C$5000,$B281,Datos!$D$2:$D$5000,J$2)=0,"",SUMIFS(Datos!$E$2:$E$5000,Datos!$A$2:$A$5000,J$1,Datos!$B$2:$B$5000,$A281,Datos!$C$2:$C$5000,$B281,Datos!$D$2:$D$5000,J$2))</f>
        <v/>
      </c>
    </row>
    <row r="282">
      <c r="A282" s="8" t="inlineStr">
        <is>
          <t>Paraguay</t>
        </is>
      </c>
      <c r="B282" s="8" t="n">
        <v>1995</v>
      </c>
      <c r="C282" s="9">
        <f>IF(COUNTIFS(Datos!$A$2:$A$5000,C$1,Datos!$B$2:$B$5000,$A282,Datos!$C$2:$C$5000,$B282,Datos!$D$2:$D$5000,C$2)=0,"",SUMIFS(Datos!$E$2:$E$5000,Datos!$A$2:$A$5000,C$1,Datos!$B$2:$B$5000,$A282,Datos!$C$2:$C$5000,$B282,Datos!$D$2:$D$5000,C$2))</f>
        <v/>
      </c>
      <c r="D282" s="9">
        <f>IF(COUNTIFS(Datos!$A$2:$A$5000,D$1,Datos!$B$2:$B$5000,$A282,Datos!$C$2:$C$5000,$B282,Datos!$D$2:$D$5000,D$2)=0,"",SUMIFS(Datos!$E$2:$E$5000,Datos!$A$2:$A$5000,D$1,Datos!$B$2:$B$5000,$A282,Datos!$C$2:$C$5000,$B282,Datos!$D$2:$D$5000,D$2))</f>
        <v/>
      </c>
      <c r="E282" s="9">
        <f>IF(COUNTIFS(Datos!$A$2:$A$5000,E$1,Datos!$B$2:$B$5000,$A282,Datos!$C$2:$C$5000,$B282,Datos!$D$2:$D$5000,E$2)=0,"",SUMIFS(Datos!$E$2:$E$5000,Datos!$A$2:$A$5000,E$1,Datos!$B$2:$B$5000,$A282,Datos!$C$2:$C$5000,$B282,Datos!$D$2:$D$5000,E$2))</f>
        <v/>
      </c>
      <c r="F282" s="9">
        <f>IF(COUNTIFS(Datos!$A$2:$A$5000,F$1,Datos!$B$2:$B$5000,$A282,Datos!$C$2:$C$5000,$B282,Datos!$D$2:$D$5000,F$2)=0,"",SUMIFS(Datos!$E$2:$E$5000,Datos!$A$2:$A$5000,F$1,Datos!$B$2:$B$5000,$A282,Datos!$C$2:$C$5000,$B282,Datos!$D$2:$D$5000,F$2))</f>
        <v/>
      </c>
      <c r="G282" s="9">
        <f>IF(COUNTIFS(Datos!$A$2:$A$5000,G$1,Datos!$B$2:$B$5000,$A282,Datos!$C$2:$C$5000,$B282,Datos!$D$2:$D$5000,G$2)=0,"",SUMIFS(Datos!$E$2:$E$5000,Datos!$A$2:$A$5000,G$1,Datos!$B$2:$B$5000,$A282,Datos!$C$2:$C$5000,$B282,Datos!$D$2:$D$5000,G$2))</f>
        <v/>
      </c>
      <c r="H282" s="9">
        <f>IF(COUNTIFS(Datos!$A$2:$A$5000,H$1,Datos!$B$2:$B$5000,$A282,Datos!$C$2:$C$5000,$B282,Datos!$D$2:$D$5000,H$2)=0,"",SUMIFS(Datos!$E$2:$E$5000,Datos!$A$2:$A$5000,H$1,Datos!$B$2:$B$5000,$A282,Datos!$C$2:$C$5000,$B282,Datos!$D$2:$D$5000,H$2))</f>
        <v/>
      </c>
      <c r="I282" s="9">
        <f>IF(COUNTIFS(Datos!$A$2:$A$5000,I$1,Datos!$B$2:$B$5000,$A282,Datos!$C$2:$C$5000,$B282,Datos!$D$2:$D$5000,I$2)=0,"",SUMIFS(Datos!$E$2:$E$5000,Datos!$A$2:$A$5000,I$1,Datos!$B$2:$B$5000,$A282,Datos!$C$2:$C$5000,$B282,Datos!$D$2:$D$5000,I$2))</f>
        <v/>
      </c>
      <c r="J282" s="9">
        <f>IF(COUNTIFS(Datos!$A$2:$A$5000,J$1,Datos!$B$2:$B$5000,$A282,Datos!$C$2:$C$5000,$B282,Datos!$D$2:$D$5000,J$2)=0,"",SUMIFS(Datos!$E$2:$E$5000,Datos!$A$2:$A$5000,J$1,Datos!$B$2:$B$5000,$A282,Datos!$C$2:$C$5000,$B282,Datos!$D$2:$D$5000,J$2))</f>
        <v/>
      </c>
    </row>
    <row r="283">
      <c r="A283" s="8" t="inlineStr">
        <is>
          <t>Paraguay</t>
        </is>
      </c>
      <c r="B283" s="8" t="n">
        <v>1996</v>
      </c>
      <c r="C283" s="9">
        <f>IF(COUNTIFS(Datos!$A$2:$A$5000,C$1,Datos!$B$2:$B$5000,$A283,Datos!$C$2:$C$5000,$B283,Datos!$D$2:$D$5000,C$2)=0,"",SUMIFS(Datos!$E$2:$E$5000,Datos!$A$2:$A$5000,C$1,Datos!$B$2:$B$5000,$A283,Datos!$C$2:$C$5000,$B283,Datos!$D$2:$D$5000,C$2))</f>
        <v/>
      </c>
      <c r="D283" s="9">
        <f>IF(COUNTIFS(Datos!$A$2:$A$5000,D$1,Datos!$B$2:$B$5000,$A283,Datos!$C$2:$C$5000,$B283,Datos!$D$2:$D$5000,D$2)=0,"",SUMIFS(Datos!$E$2:$E$5000,Datos!$A$2:$A$5000,D$1,Datos!$B$2:$B$5000,$A283,Datos!$C$2:$C$5000,$B283,Datos!$D$2:$D$5000,D$2))</f>
        <v/>
      </c>
      <c r="E283" s="9">
        <f>IF(COUNTIFS(Datos!$A$2:$A$5000,E$1,Datos!$B$2:$B$5000,$A283,Datos!$C$2:$C$5000,$B283,Datos!$D$2:$D$5000,E$2)=0,"",SUMIFS(Datos!$E$2:$E$5000,Datos!$A$2:$A$5000,E$1,Datos!$B$2:$B$5000,$A283,Datos!$C$2:$C$5000,$B283,Datos!$D$2:$D$5000,E$2))</f>
        <v/>
      </c>
      <c r="F283" s="9">
        <f>IF(COUNTIFS(Datos!$A$2:$A$5000,F$1,Datos!$B$2:$B$5000,$A283,Datos!$C$2:$C$5000,$B283,Datos!$D$2:$D$5000,F$2)=0,"",SUMIFS(Datos!$E$2:$E$5000,Datos!$A$2:$A$5000,F$1,Datos!$B$2:$B$5000,$A283,Datos!$C$2:$C$5000,$B283,Datos!$D$2:$D$5000,F$2))</f>
        <v/>
      </c>
      <c r="G283" s="9">
        <f>IF(COUNTIFS(Datos!$A$2:$A$5000,G$1,Datos!$B$2:$B$5000,$A283,Datos!$C$2:$C$5000,$B283,Datos!$D$2:$D$5000,G$2)=0,"",SUMIFS(Datos!$E$2:$E$5000,Datos!$A$2:$A$5000,G$1,Datos!$B$2:$B$5000,$A283,Datos!$C$2:$C$5000,$B283,Datos!$D$2:$D$5000,G$2))</f>
        <v/>
      </c>
      <c r="H283" s="9">
        <f>IF(COUNTIFS(Datos!$A$2:$A$5000,H$1,Datos!$B$2:$B$5000,$A283,Datos!$C$2:$C$5000,$B283,Datos!$D$2:$D$5000,H$2)=0,"",SUMIFS(Datos!$E$2:$E$5000,Datos!$A$2:$A$5000,H$1,Datos!$B$2:$B$5000,$A283,Datos!$C$2:$C$5000,$B283,Datos!$D$2:$D$5000,H$2))</f>
        <v/>
      </c>
      <c r="I283" s="9">
        <f>IF(COUNTIFS(Datos!$A$2:$A$5000,I$1,Datos!$B$2:$B$5000,$A283,Datos!$C$2:$C$5000,$B283,Datos!$D$2:$D$5000,I$2)=0,"",SUMIFS(Datos!$E$2:$E$5000,Datos!$A$2:$A$5000,I$1,Datos!$B$2:$B$5000,$A283,Datos!$C$2:$C$5000,$B283,Datos!$D$2:$D$5000,I$2))</f>
        <v/>
      </c>
      <c r="J283" s="9">
        <f>IF(COUNTIFS(Datos!$A$2:$A$5000,J$1,Datos!$B$2:$B$5000,$A283,Datos!$C$2:$C$5000,$B283,Datos!$D$2:$D$5000,J$2)=0,"",SUMIFS(Datos!$E$2:$E$5000,Datos!$A$2:$A$5000,J$1,Datos!$B$2:$B$5000,$A283,Datos!$C$2:$C$5000,$B283,Datos!$D$2:$D$5000,J$2))</f>
        <v/>
      </c>
    </row>
    <row r="284">
      <c r="A284" s="8" t="inlineStr">
        <is>
          <t>Paraguay</t>
        </is>
      </c>
      <c r="B284" s="8" t="n">
        <v>1997</v>
      </c>
      <c r="C284" s="9">
        <f>IF(COUNTIFS(Datos!$A$2:$A$5000,C$1,Datos!$B$2:$B$5000,$A284,Datos!$C$2:$C$5000,$B284,Datos!$D$2:$D$5000,C$2)=0,"",SUMIFS(Datos!$E$2:$E$5000,Datos!$A$2:$A$5000,C$1,Datos!$B$2:$B$5000,$A284,Datos!$C$2:$C$5000,$B284,Datos!$D$2:$D$5000,C$2))</f>
        <v/>
      </c>
      <c r="D284" s="9">
        <f>IF(COUNTIFS(Datos!$A$2:$A$5000,D$1,Datos!$B$2:$B$5000,$A284,Datos!$C$2:$C$5000,$B284,Datos!$D$2:$D$5000,D$2)=0,"",SUMIFS(Datos!$E$2:$E$5000,Datos!$A$2:$A$5000,D$1,Datos!$B$2:$B$5000,$A284,Datos!$C$2:$C$5000,$B284,Datos!$D$2:$D$5000,D$2))</f>
        <v/>
      </c>
      <c r="E284" s="9">
        <f>IF(COUNTIFS(Datos!$A$2:$A$5000,E$1,Datos!$B$2:$B$5000,$A284,Datos!$C$2:$C$5000,$B284,Datos!$D$2:$D$5000,E$2)=0,"",SUMIFS(Datos!$E$2:$E$5000,Datos!$A$2:$A$5000,E$1,Datos!$B$2:$B$5000,$A284,Datos!$C$2:$C$5000,$B284,Datos!$D$2:$D$5000,E$2))</f>
        <v/>
      </c>
      <c r="F284" s="9">
        <f>IF(COUNTIFS(Datos!$A$2:$A$5000,F$1,Datos!$B$2:$B$5000,$A284,Datos!$C$2:$C$5000,$B284,Datos!$D$2:$D$5000,F$2)=0,"",SUMIFS(Datos!$E$2:$E$5000,Datos!$A$2:$A$5000,F$1,Datos!$B$2:$B$5000,$A284,Datos!$C$2:$C$5000,$B284,Datos!$D$2:$D$5000,F$2))</f>
        <v/>
      </c>
      <c r="G284" s="9">
        <f>IF(COUNTIFS(Datos!$A$2:$A$5000,G$1,Datos!$B$2:$B$5000,$A284,Datos!$C$2:$C$5000,$B284,Datos!$D$2:$D$5000,G$2)=0,"",SUMIFS(Datos!$E$2:$E$5000,Datos!$A$2:$A$5000,G$1,Datos!$B$2:$B$5000,$A284,Datos!$C$2:$C$5000,$B284,Datos!$D$2:$D$5000,G$2))</f>
        <v/>
      </c>
      <c r="H284" s="9">
        <f>IF(COUNTIFS(Datos!$A$2:$A$5000,H$1,Datos!$B$2:$B$5000,$A284,Datos!$C$2:$C$5000,$B284,Datos!$D$2:$D$5000,H$2)=0,"",SUMIFS(Datos!$E$2:$E$5000,Datos!$A$2:$A$5000,H$1,Datos!$B$2:$B$5000,$A284,Datos!$C$2:$C$5000,$B284,Datos!$D$2:$D$5000,H$2))</f>
        <v/>
      </c>
      <c r="I284" s="9">
        <f>IF(COUNTIFS(Datos!$A$2:$A$5000,I$1,Datos!$B$2:$B$5000,$A284,Datos!$C$2:$C$5000,$B284,Datos!$D$2:$D$5000,I$2)=0,"",SUMIFS(Datos!$E$2:$E$5000,Datos!$A$2:$A$5000,I$1,Datos!$B$2:$B$5000,$A284,Datos!$C$2:$C$5000,$B284,Datos!$D$2:$D$5000,I$2))</f>
        <v/>
      </c>
      <c r="J284" s="9">
        <f>IF(COUNTIFS(Datos!$A$2:$A$5000,J$1,Datos!$B$2:$B$5000,$A284,Datos!$C$2:$C$5000,$B284,Datos!$D$2:$D$5000,J$2)=0,"",SUMIFS(Datos!$E$2:$E$5000,Datos!$A$2:$A$5000,J$1,Datos!$B$2:$B$5000,$A284,Datos!$C$2:$C$5000,$B284,Datos!$D$2:$D$5000,J$2))</f>
        <v/>
      </c>
    </row>
    <row r="285">
      <c r="A285" s="8" t="inlineStr">
        <is>
          <t>Paraguay</t>
        </is>
      </c>
      <c r="B285" s="8" t="n">
        <v>1998</v>
      </c>
      <c r="C285" s="9">
        <f>IF(COUNTIFS(Datos!$A$2:$A$5000,C$1,Datos!$B$2:$B$5000,$A285,Datos!$C$2:$C$5000,$B285,Datos!$D$2:$D$5000,C$2)=0,"",SUMIFS(Datos!$E$2:$E$5000,Datos!$A$2:$A$5000,C$1,Datos!$B$2:$B$5000,$A285,Datos!$C$2:$C$5000,$B285,Datos!$D$2:$D$5000,C$2))</f>
        <v/>
      </c>
      <c r="D285" s="9">
        <f>IF(COUNTIFS(Datos!$A$2:$A$5000,D$1,Datos!$B$2:$B$5000,$A285,Datos!$C$2:$C$5000,$B285,Datos!$D$2:$D$5000,D$2)=0,"",SUMIFS(Datos!$E$2:$E$5000,Datos!$A$2:$A$5000,D$1,Datos!$B$2:$B$5000,$A285,Datos!$C$2:$C$5000,$B285,Datos!$D$2:$D$5000,D$2))</f>
        <v/>
      </c>
      <c r="E285" s="9">
        <f>IF(COUNTIFS(Datos!$A$2:$A$5000,E$1,Datos!$B$2:$B$5000,$A285,Datos!$C$2:$C$5000,$B285,Datos!$D$2:$D$5000,E$2)=0,"",SUMIFS(Datos!$E$2:$E$5000,Datos!$A$2:$A$5000,E$1,Datos!$B$2:$B$5000,$A285,Datos!$C$2:$C$5000,$B285,Datos!$D$2:$D$5000,E$2))</f>
        <v/>
      </c>
      <c r="F285" s="9">
        <f>IF(COUNTIFS(Datos!$A$2:$A$5000,F$1,Datos!$B$2:$B$5000,$A285,Datos!$C$2:$C$5000,$B285,Datos!$D$2:$D$5000,F$2)=0,"",SUMIFS(Datos!$E$2:$E$5000,Datos!$A$2:$A$5000,F$1,Datos!$B$2:$B$5000,$A285,Datos!$C$2:$C$5000,$B285,Datos!$D$2:$D$5000,F$2))</f>
        <v/>
      </c>
      <c r="G285" s="9">
        <f>IF(COUNTIFS(Datos!$A$2:$A$5000,G$1,Datos!$B$2:$B$5000,$A285,Datos!$C$2:$C$5000,$B285,Datos!$D$2:$D$5000,G$2)=0,"",SUMIFS(Datos!$E$2:$E$5000,Datos!$A$2:$A$5000,G$1,Datos!$B$2:$B$5000,$A285,Datos!$C$2:$C$5000,$B285,Datos!$D$2:$D$5000,G$2))</f>
        <v/>
      </c>
      <c r="H285" s="9">
        <f>IF(COUNTIFS(Datos!$A$2:$A$5000,H$1,Datos!$B$2:$B$5000,$A285,Datos!$C$2:$C$5000,$B285,Datos!$D$2:$D$5000,H$2)=0,"",SUMIFS(Datos!$E$2:$E$5000,Datos!$A$2:$A$5000,H$1,Datos!$B$2:$B$5000,$A285,Datos!$C$2:$C$5000,$B285,Datos!$D$2:$D$5000,H$2))</f>
        <v/>
      </c>
      <c r="I285" s="9">
        <f>IF(COUNTIFS(Datos!$A$2:$A$5000,I$1,Datos!$B$2:$B$5000,$A285,Datos!$C$2:$C$5000,$B285,Datos!$D$2:$D$5000,I$2)=0,"",SUMIFS(Datos!$E$2:$E$5000,Datos!$A$2:$A$5000,I$1,Datos!$B$2:$B$5000,$A285,Datos!$C$2:$C$5000,$B285,Datos!$D$2:$D$5000,I$2))</f>
        <v/>
      </c>
      <c r="J285" s="9">
        <f>IF(COUNTIFS(Datos!$A$2:$A$5000,J$1,Datos!$B$2:$B$5000,$A285,Datos!$C$2:$C$5000,$B285,Datos!$D$2:$D$5000,J$2)=0,"",SUMIFS(Datos!$E$2:$E$5000,Datos!$A$2:$A$5000,J$1,Datos!$B$2:$B$5000,$A285,Datos!$C$2:$C$5000,$B285,Datos!$D$2:$D$5000,J$2))</f>
        <v/>
      </c>
    </row>
    <row r="286">
      <c r="A286" s="8" t="inlineStr">
        <is>
          <t>Paraguay</t>
        </is>
      </c>
      <c r="B286" s="8" t="n">
        <v>2000</v>
      </c>
      <c r="C286" s="9">
        <f>IF(COUNTIFS(Datos!$A$2:$A$5000,C$1,Datos!$B$2:$B$5000,$A286,Datos!$C$2:$C$5000,$B286,Datos!$D$2:$D$5000,C$2)=0,"",SUMIFS(Datos!$E$2:$E$5000,Datos!$A$2:$A$5000,C$1,Datos!$B$2:$B$5000,$A286,Datos!$C$2:$C$5000,$B286,Datos!$D$2:$D$5000,C$2))</f>
        <v/>
      </c>
      <c r="D286" s="9">
        <f>IF(COUNTIFS(Datos!$A$2:$A$5000,D$1,Datos!$B$2:$B$5000,$A286,Datos!$C$2:$C$5000,$B286,Datos!$D$2:$D$5000,D$2)=0,"",SUMIFS(Datos!$E$2:$E$5000,Datos!$A$2:$A$5000,D$1,Datos!$B$2:$B$5000,$A286,Datos!$C$2:$C$5000,$B286,Datos!$D$2:$D$5000,D$2))</f>
        <v/>
      </c>
      <c r="E286" s="9">
        <f>IF(COUNTIFS(Datos!$A$2:$A$5000,E$1,Datos!$B$2:$B$5000,$A286,Datos!$C$2:$C$5000,$B286,Datos!$D$2:$D$5000,E$2)=0,"",SUMIFS(Datos!$E$2:$E$5000,Datos!$A$2:$A$5000,E$1,Datos!$B$2:$B$5000,$A286,Datos!$C$2:$C$5000,$B286,Datos!$D$2:$D$5000,E$2))</f>
        <v/>
      </c>
      <c r="F286" s="9">
        <f>IF(COUNTIFS(Datos!$A$2:$A$5000,F$1,Datos!$B$2:$B$5000,$A286,Datos!$C$2:$C$5000,$B286,Datos!$D$2:$D$5000,F$2)=0,"",SUMIFS(Datos!$E$2:$E$5000,Datos!$A$2:$A$5000,F$1,Datos!$B$2:$B$5000,$A286,Datos!$C$2:$C$5000,$B286,Datos!$D$2:$D$5000,F$2))</f>
        <v/>
      </c>
      <c r="G286" s="9">
        <f>IF(COUNTIFS(Datos!$A$2:$A$5000,G$1,Datos!$B$2:$B$5000,$A286,Datos!$C$2:$C$5000,$B286,Datos!$D$2:$D$5000,G$2)=0,"",SUMIFS(Datos!$E$2:$E$5000,Datos!$A$2:$A$5000,G$1,Datos!$B$2:$B$5000,$A286,Datos!$C$2:$C$5000,$B286,Datos!$D$2:$D$5000,G$2))</f>
        <v/>
      </c>
      <c r="H286" s="9">
        <f>IF(COUNTIFS(Datos!$A$2:$A$5000,H$1,Datos!$B$2:$B$5000,$A286,Datos!$C$2:$C$5000,$B286,Datos!$D$2:$D$5000,H$2)=0,"",SUMIFS(Datos!$E$2:$E$5000,Datos!$A$2:$A$5000,H$1,Datos!$B$2:$B$5000,$A286,Datos!$C$2:$C$5000,$B286,Datos!$D$2:$D$5000,H$2))</f>
        <v/>
      </c>
      <c r="I286" s="9">
        <f>IF(COUNTIFS(Datos!$A$2:$A$5000,I$1,Datos!$B$2:$B$5000,$A286,Datos!$C$2:$C$5000,$B286,Datos!$D$2:$D$5000,I$2)=0,"",SUMIFS(Datos!$E$2:$E$5000,Datos!$A$2:$A$5000,I$1,Datos!$B$2:$B$5000,$A286,Datos!$C$2:$C$5000,$B286,Datos!$D$2:$D$5000,I$2))</f>
        <v/>
      </c>
      <c r="J286" s="9">
        <f>IF(COUNTIFS(Datos!$A$2:$A$5000,J$1,Datos!$B$2:$B$5000,$A286,Datos!$C$2:$C$5000,$B286,Datos!$D$2:$D$5000,J$2)=0,"",SUMIFS(Datos!$E$2:$E$5000,Datos!$A$2:$A$5000,J$1,Datos!$B$2:$B$5000,$A286,Datos!$C$2:$C$5000,$B286,Datos!$D$2:$D$5000,J$2))</f>
        <v/>
      </c>
    </row>
    <row r="287">
      <c r="A287" s="8" t="inlineStr">
        <is>
          <t>Paraguay</t>
        </is>
      </c>
      <c r="B287" s="8" t="n">
        <v>2001</v>
      </c>
      <c r="C287" s="9">
        <f>IF(COUNTIFS(Datos!$A$2:$A$5000,C$1,Datos!$B$2:$B$5000,$A287,Datos!$C$2:$C$5000,$B287,Datos!$D$2:$D$5000,C$2)=0,"",SUMIFS(Datos!$E$2:$E$5000,Datos!$A$2:$A$5000,C$1,Datos!$B$2:$B$5000,$A287,Datos!$C$2:$C$5000,$B287,Datos!$D$2:$D$5000,C$2))</f>
        <v/>
      </c>
      <c r="D287" s="9">
        <f>IF(COUNTIFS(Datos!$A$2:$A$5000,D$1,Datos!$B$2:$B$5000,$A287,Datos!$C$2:$C$5000,$B287,Datos!$D$2:$D$5000,D$2)=0,"",SUMIFS(Datos!$E$2:$E$5000,Datos!$A$2:$A$5000,D$1,Datos!$B$2:$B$5000,$A287,Datos!$C$2:$C$5000,$B287,Datos!$D$2:$D$5000,D$2))</f>
        <v/>
      </c>
      <c r="E287" s="9">
        <f>IF(COUNTIFS(Datos!$A$2:$A$5000,E$1,Datos!$B$2:$B$5000,$A287,Datos!$C$2:$C$5000,$B287,Datos!$D$2:$D$5000,E$2)=0,"",SUMIFS(Datos!$E$2:$E$5000,Datos!$A$2:$A$5000,E$1,Datos!$B$2:$B$5000,$A287,Datos!$C$2:$C$5000,$B287,Datos!$D$2:$D$5000,E$2))</f>
        <v/>
      </c>
      <c r="F287" s="9">
        <f>IF(COUNTIFS(Datos!$A$2:$A$5000,F$1,Datos!$B$2:$B$5000,$A287,Datos!$C$2:$C$5000,$B287,Datos!$D$2:$D$5000,F$2)=0,"",SUMIFS(Datos!$E$2:$E$5000,Datos!$A$2:$A$5000,F$1,Datos!$B$2:$B$5000,$A287,Datos!$C$2:$C$5000,$B287,Datos!$D$2:$D$5000,F$2))</f>
        <v/>
      </c>
      <c r="G287" s="9">
        <f>IF(COUNTIFS(Datos!$A$2:$A$5000,G$1,Datos!$B$2:$B$5000,$A287,Datos!$C$2:$C$5000,$B287,Datos!$D$2:$D$5000,G$2)=0,"",SUMIFS(Datos!$E$2:$E$5000,Datos!$A$2:$A$5000,G$1,Datos!$B$2:$B$5000,$A287,Datos!$C$2:$C$5000,$B287,Datos!$D$2:$D$5000,G$2))</f>
        <v/>
      </c>
      <c r="H287" s="9">
        <f>IF(COUNTIFS(Datos!$A$2:$A$5000,H$1,Datos!$B$2:$B$5000,$A287,Datos!$C$2:$C$5000,$B287,Datos!$D$2:$D$5000,H$2)=0,"",SUMIFS(Datos!$E$2:$E$5000,Datos!$A$2:$A$5000,H$1,Datos!$B$2:$B$5000,$A287,Datos!$C$2:$C$5000,$B287,Datos!$D$2:$D$5000,H$2))</f>
        <v/>
      </c>
      <c r="I287" s="9">
        <f>IF(COUNTIFS(Datos!$A$2:$A$5000,I$1,Datos!$B$2:$B$5000,$A287,Datos!$C$2:$C$5000,$B287,Datos!$D$2:$D$5000,I$2)=0,"",SUMIFS(Datos!$E$2:$E$5000,Datos!$A$2:$A$5000,I$1,Datos!$B$2:$B$5000,$A287,Datos!$C$2:$C$5000,$B287,Datos!$D$2:$D$5000,I$2))</f>
        <v/>
      </c>
      <c r="J287" s="9">
        <f>IF(COUNTIFS(Datos!$A$2:$A$5000,J$1,Datos!$B$2:$B$5000,$A287,Datos!$C$2:$C$5000,$B287,Datos!$D$2:$D$5000,J$2)=0,"",SUMIFS(Datos!$E$2:$E$5000,Datos!$A$2:$A$5000,J$1,Datos!$B$2:$B$5000,$A287,Datos!$C$2:$C$5000,$B287,Datos!$D$2:$D$5000,J$2))</f>
        <v/>
      </c>
    </row>
    <row r="288">
      <c r="A288" s="8" t="inlineStr">
        <is>
          <t>Paraguay</t>
        </is>
      </c>
      <c r="B288" s="8" t="n">
        <v>2002</v>
      </c>
      <c r="C288" s="9">
        <f>IF(COUNTIFS(Datos!$A$2:$A$5000,C$1,Datos!$B$2:$B$5000,$A288,Datos!$C$2:$C$5000,$B288,Datos!$D$2:$D$5000,C$2)=0,"",SUMIFS(Datos!$E$2:$E$5000,Datos!$A$2:$A$5000,C$1,Datos!$B$2:$B$5000,$A288,Datos!$C$2:$C$5000,$B288,Datos!$D$2:$D$5000,C$2))</f>
        <v/>
      </c>
      <c r="D288" s="9">
        <f>IF(COUNTIFS(Datos!$A$2:$A$5000,D$1,Datos!$B$2:$B$5000,$A288,Datos!$C$2:$C$5000,$B288,Datos!$D$2:$D$5000,D$2)=0,"",SUMIFS(Datos!$E$2:$E$5000,Datos!$A$2:$A$5000,D$1,Datos!$B$2:$B$5000,$A288,Datos!$C$2:$C$5000,$B288,Datos!$D$2:$D$5000,D$2))</f>
        <v/>
      </c>
      <c r="E288" s="9">
        <f>IF(COUNTIFS(Datos!$A$2:$A$5000,E$1,Datos!$B$2:$B$5000,$A288,Datos!$C$2:$C$5000,$B288,Datos!$D$2:$D$5000,E$2)=0,"",SUMIFS(Datos!$E$2:$E$5000,Datos!$A$2:$A$5000,E$1,Datos!$B$2:$B$5000,$A288,Datos!$C$2:$C$5000,$B288,Datos!$D$2:$D$5000,E$2))</f>
        <v/>
      </c>
      <c r="F288" s="9">
        <f>IF(COUNTIFS(Datos!$A$2:$A$5000,F$1,Datos!$B$2:$B$5000,$A288,Datos!$C$2:$C$5000,$B288,Datos!$D$2:$D$5000,F$2)=0,"",SUMIFS(Datos!$E$2:$E$5000,Datos!$A$2:$A$5000,F$1,Datos!$B$2:$B$5000,$A288,Datos!$C$2:$C$5000,$B288,Datos!$D$2:$D$5000,F$2))</f>
        <v/>
      </c>
      <c r="G288" s="9">
        <f>IF(COUNTIFS(Datos!$A$2:$A$5000,G$1,Datos!$B$2:$B$5000,$A288,Datos!$C$2:$C$5000,$B288,Datos!$D$2:$D$5000,G$2)=0,"",SUMIFS(Datos!$E$2:$E$5000,Datos!$A$2:$A$5000,G$1,Datos!$B$2:$B$5000,$A288,Datos!$C$2:$C$5000,$B288,Datos!$D$2:$D$5000,G$2))</f>
        <v/>
      </c>
      <c r="H288" s="9">
        <f>IF(COUNTIFS(Datos!$A$2:$A$5000,H$1,Datos!$B$2:$B$5000,$A288,Datos!$C$2:$C$5000,$B288,Datos!$D$2:$D$5000,H$2)=0,"",SUMIFS(Datos!$E$2:$E$5000,Datos!$A$2:$A$5000,H$1,Datos!$B$2:$B$5000,$A288,Datos!$C$2:$C$5000,$B288,Datos!$D$2:$D$5000,H$2))</f>
        <v/>
      </c>
      <c r="I288" s="9">
        <f>IF(COUNTIFS(Datos!$A$2:$A$5000,I$1,Datos!$B$2:$B$5000,$A288,Datos!$C$2:$C$5000,$B288,Datos!$D$2:$D$5000,I$2)=0,"",SUMIFS(Datos!$E$2:$E$5000,Datos!$A$2:$A$5000,I$1,Datos!$B$2:$B$5000,$A288,Datos!$C$2:$C$5000,$B288,Datos!$D$2:$D$5000,I$2))</f>
        <v/>
      </c>
      <c r="J288" s="9">
        <f>IF(COUNTIFS(Datos!$A$2:$A$5000,J$1,Datos!$B$2:$B$5000,$A288,Datos!$C$2:$C$5000,$B288,Datos!$D$2:$D$5000,J$2)=0,"",SUMIFS(Datos!$E$2:$E$5000,Datos!$A$2:$A$5000,J$1,Datos!$B$2:$B$5000,$A288,Datos!$C$2:$C$5000,$B288,Datos!$D$2:$D$5000,J$2))</f>
        <v/>
      </c>
    </row>
    <row r="289">
      <c r="A289" s="8" t="inlineStr">
        <is>
          <t>Paraguay</t>
        </is>
      </c>
      <c r="B289" s="8" t="n">
        <v>2003</v>
      </c>
      <c r="C289" s="9">
        <f>IF(COUNTIFS(Datos!$A$2:$A$5000,C$1,Datos!$B$2:$B$5000,$A289,Datos!$C$2:$C$5000,$B289,Datos!$D$2:$D$5000,C$2)=0,"",SUMIFS(Datos!$E$2:$E$5000,Datos!$A$2:$A$5000,C$1,Datos!$B$2:$B$5000,$A289,Datos!$C$2:$C$5000,$B289,Datos!$D$2:$D$5000,C$2))</f>
        <v/>
      </c>
      <c r="D289" s="9">
        <f>IF(COUNTIFS(Datos!$A$2:$A$5000,D$1,Datos!$B$2:$B$5000,$A289,Datos!$C$2:$C$5000,$B289,Datos!$D$2:$D$5000,D$2)=0,"",SUMIFS(Datos!$E$2:$E$5000,Datos!$A$2:$A$5000,D$1,Datos!$B$2:$B$5000,$A289,Datos!$C$2:$C$5000,$B289,Datos!$D$2:$D$5000,D$2))</f>
        <v/>
      </c>
      <c r="E289" s="9">
        <f>IF(COUNTIFS(Datos!$A$2:$A$5000,E$1,Datos!$B$2:$B$5000,$A289,Datos!$C$2:$C$5000,$B289,Datos!$D$2:$D$5000,E$2)=0,"",SUMIFS(Datos!$E$2:$E$5000,Datos!$A$2:$A$5000,E$1,Datos!$B$2:$B$5000,$A289,Datos!$C$2:$C$5000,$B289,Datos!$D$2:$D$5000,E$2))</f>
        <v/>
      </c>
      <c r="F289" s="9">
        <f>IF(COUNTIFS(Datos!$A$2:$A$5000,F$1,Datos!$B$2:$B$5000,$A289,Datos!$C$2:$C$5000,$B289,Datos!$D$2:$D$5000,F$2)=0,"",SUMIFS(Datos!$E$2:$E$5000,Datos!$A$2:$A$5000,F$1,Datos!$B$2:$B$5000,$A289,Datos!$C$2:$C$5000,$B289,Datos!$D$2:$D$5000,F$2))</f>
        <v/>
      </c>
      <c r="G289" s="9">
        <f>IF(COUNTIFS(Datos!$A$2:$A$5000,G$1,Datos!$B$2:$B$5000,$A289,Datos!$C$2:$C$5000,$B289,Datos!$D$2:$D$5000,G$2)=0,"",SUMIFS(Datos!$E$2:$E$5000,Datos!$A$2:$A$5000,G$1,Datos!$B$2:$B$5000,$A289,Datos!$C$2:$C$5000,$B289,Datos!$D$2:$D$5000,G$2))</f>
        <v/>
      </c>
      <c r="H289" s="9">
        <f>IF(COUNTIFS(Datos!$A$2:$A$5000,H$1,Datos!$B$2:$B$5000,$A289,Datos!$C$2:$C$5000,$B289,Datos!$D$2:$D$5000,H$2)=0,"",SUMIFS(Datos!$E$2:$E$5000,Datos!$A$2:$A$5000,H$1,Datos!$B$2:$B$5000,$A289,Datos!$C$2:$C$5000,$B289,Datos!$D$2:$D$5000,H$2))</f>
        <v/>
      </c>
      <c r="I289" s="9">
        <f>IF(COUNTIFS(Datos!$A$2:$A$5000,I$1,Datos!$B$2:$B$5000,$A289,Datos!$C$2:$C$5000,$B289,Datos!$D$2:$D$5000,I$2)=0,"",SUMIFS(Datos!$E$2:$E$5000,Datos!$A$2:$A$5000,I$1,Datos!$B$2:$B$5000,$A289,Datos!$C$2:$C$5000,$B289,Datos!$D$2:$D$5000,I$2))</f>
        <v/>
      </c>
      <c r="J289" s="9">
        <f>IF(COUNTIFS(Datos!$A$2:$A$5000,J$1,Datos!$B$2:$B$5000,$A289,Datos!$C$2:$C$5000,$B289,Datos!$D$2:$D$5000,J$2)=0,"",SUMIFS(Datos!$E$2:$E$5000,Datos!$A$2:$A$5000,J$1,Datos!$B$2:$B$5000,$A289,Datos!$C$2:$C$5000,$B289,Datos!$D$2:$D$5000,J$2))</f>
        <v/>
      </c>
    </row>
    <row r="290">
      <c r="A290" s="8" t="inlineStr">
        <is>
          <t>Paraguay</t>
        </is>
      </c>
      <c r="B290" s="8" t="n">
        <v>2004</v>
      </c>
      <c r="C290" s="9">
        <f>IF(COUNTIFS(Datos!$A$2:$A$5000,C$1,Datos!$B$2:$B$5000,$A290,Datos!$C$2:$C$5000,$B290,Datos!$D$2:$D$5000,C$2)=0,"",SUMIFS(Datos!$E$2:$E$5000,Datos!$A$2:$A$5000,C$1,Datos!$B$2:$B$5000,$A290,Datos!$C$2:$C$5000,$B290,Datos!$D$2:$D$5000,C$2))</f>
        <v/>
      </c>
      <c r="D290" s="9">
        <f>IF(COUNTIFS(Datos!$A$2:$A$5000,D$1,Datos!$B$2:$B$5000,$A290,Datos!$C$2:$C$5000,$B290,Datos!$D$2:$D$5000,D$2)=0,"",SUMIFS(Datos!$E$2:$E$5000,Datos!$A$2:$A$5000,D$1,Datos!$B$2:$B$5000,$A290,Datos!$C$2:$C$5000,$B290,Datos!$D$2:$D$5000,D$2))</f>
        <v/>
      </c>
      <c r="E290" s="9">
        <f>IF(COUNTIFS(Datos!$A$2:$A$5000,E$1,Datos!$B$2:$B$5000,$A290,Datos!$C$2:$C$5000,$B290,Datos!$D$2:$D$5000,E$2)=0,"",SUMIFS(Datos!$E$2:$E$5000,Datos!$A$2:$A$5000,E$1,Datos!$B$2:$B$5000,$A290,Datos!$C$2:$C$5000,$B290,Datos!$D$2:$D$5000,E$2))</f>
        <v/>
      </c>
      <c r="F290" s="9">
        <f>IF(COUNTIFS(Datos!$A$2:$A$5000,F$1,Datos!$B$2:$B$5000,$A290,Datos!$C$2:$C$5000,$B290,Datos!$D$2:$D$5000,F$2)=0,"",SUMIFS(Datos!$E$2:$E$5000,Datos!$A$2:$A$5000,F$1,Datos!$B$2:$B$5000,$A290,Datos!$C$2:$C$5000,$B290,Datos!$D$2:$D$5000,F$2))</f>
        <v/>
      </c>
      <c r="G290" s="9">
        <f>IF(COUNTIFS(Datos!$A$2:$A$5000,G$1,Datos!$B$2:$B$5000,$A290,Datos!$C$2:$C$5000,$B290,Datos!$D$2:$D$5000,G$2)=0,"",SUMIFS(Datos!$E$2:$E$5000,Datos!$A$2:$A$5000,G$1,Datos!$B$2:$B$5000,$A290,Datos!$C$2:$C$5000,$B290,Datos!$D$2:$D$5000,G$2))</f>
        <v/>
      </c>
      <c r="H290" s="9">
        <f>IF(COUNTIFS(Datos!$A$2:$A$5000,H$1,Datos!$B$2:$B$5000,$A290,Datos!$C$2:$C$5000,$B290,Datos!$D$2:$D$5000,H$2)=0,"",SUMIFS(Datos!$E$2:$E$5000,Datos!$A$2:$A$5000,H$1,Datos!$B$2:$B$5000,$A290,Datos!$C$2:$C$5000,$B290,Datos!$D$2:$D$5000,H$2))</f>
        <v/>
      </c>
      <c r="I290" s="9">
        <f>IF(COUNTIFS(Datos!$A$2:$A$5000,I$1,Datos!$B$2:$B$5000,$A290,Datos!$C$2:$C$5000,$B290,Datos!$D$2:$D$5000,I$2)=0,"",SUMIFS(Datos!$E$2:$E$5000,Datos!$A$2:$A$5000,I$1,Datos!$B$2:$B$5000,$A290,Datos!$C$2:$C$5000,$B290,Datos!$D$2:$D$5000,I$2))</f>
        <v/>
      </c>
      <c r="J290" s="9">
        <f>IF(COUNTIFS(Datos!$A$2:$A$5000,J$1,Datos!$B$2:$B$5000,$A290,Datos!$C$2:$C$5000,$B290,Datos!$D$2:$D$5000,J$2)=0,"",SUMIFS(Datos!$E$2:$E$5000,Datos!$A$2:$A$5000,J$1,Datos!$B$2:$B$5000,$A290,Datos!$C$2:$C$5000,$B290,Datos!$D$2:$D$5000,J$2))</f>
        <v/>
      </c>
    </row>
    <row r="291">
      <c r="A291" s="8" t="inlineStr">
        <is>
          <t>Paraguay</t>
        </is>
      </c>
      <c r="B291" s="8" t="n">
        <v>2005</v>
      </c>
      <c r="C291" s="9">
        <f>IF(COUNTIFS(Datos!$A$2:$A$5000,C$1,Datos!$B$2:$B$5000,$A291,Datos!$C$2:$C$5000,$B291,Datos!$D$2:$D$5000,C$2)=0,"",SUMIFS(Datos!$E$2:$E$5000,Datos!$A$2:$A$5000,C$1,Datos!$B$2:$B$5000,$A291,Datos!$C$2:$C$5000,$B291,Datos!$D$2:$D$5000,C$2))</f>
        <v/>
      </c>
      <c r="D291" s="9">
        <f>IF(COUNTIFS(Datos!$A$2:$A$5000,D$1,Datos!$B$2:$B$5000,$A291,Datos!$C$2:$C$5000,$B291,Datos!$D$2:$D$5000,D$2)=0,"",SUMIFS(Datos!$E$2:$E$5000,Datos!$A$2:$A$5000,D$1,Datos!$B$2:$B$5000,$A291,Datos!$C$2:$C$5000,$B291,Datos!$D$2:$D$5000,D$2))</f>
        <v/>
      </c>
      <c r="E291" s="9">
        <f>IF(COUNTIFS(Datos!$A$2:$A$5000,E$1,Datos!$B$2:$B$5000,$A291,Datos!$C$2:$C$5000,$B291,Datos!$D$2:$D$5000,E$2)=0,"",SUMIFS(Datos!$E$2:$E$5000,Datos!$A$2:$A$5000,E$1,Datos!$B$2:$B$5000,$A291,Datos!$C$2:$C$5000,$B291,Datos!$D$2:$D$5000,E$2))</f>
        <v/>
      </c>
      <c r="F291" s="9">
        <f>IF(COUNTIFS(Datos!$A$2:$A$5000,F$1,Datos!$B$2:$B$5000,$A291,Datos!$C$2:$C$5000,$B291,Datos!$D$2:$D$5000,F$2)=0,"",SUMIFS(Datos!$E$2:$E$5000,Datos!$A$2:$A$5000,F$1,Datos!$B$2:$B$5000,$A291,Datos!$C$2:$C$5000,$B291,Datos!$D$2:$D$5000,F$2))</f>
        <v/>
      </c>
      <c r="G291" s="9">
        <f>IF(COUNTIFS(Datos!$A$2:$A$5000,G$1,Datos!$B$2:$B$5000,$A291,Datos!$C$2:$C$5000,$B291,Datos!$D$2:$D$5000,G$2)=0,"",SUMIFS(Datos!$E$2:$E$5000,Datos!$A$2:$A$5000,G$1,Datos!$B$2:$B$5000,$A291,Datos!$C$2:$C$5000,$B291,Datos!$D$2:$D$5000,G$2))</f>
        <v/>
      </c>
      <c r="H291" s="9">
        <f>IF(COUNTIFS(Datos!$A$2:$A$5000,H$1,Datos!$B$2:$B$5000,$A291,Datos!$C$2:$C$5000,$B291,Datos!$D$2:$D$5000,H$2)=0,"",SUMIFS(Datos!$E$2:$E$5000,Datos!$A$2:$A$5000,H$1,Datos!$B$2:$B$5000,$A291,Datos!$C$2:$C$5000,$B291,Datos!$D$2:$D$5000,H$2))</f>
        <v/>
      </c>
      <c r="I291" s="9">
        <f>IF(COUNTIFS(Datos!$A$2:$A$5000,I$1,Datos!$B$2:$B$5000,$A291,Datos!$C$2:$C$5000,$B291,Datos!$D$2:$D$5000,I$2)=0,"",SUMIFS(Datos!$E$2:$E$5000,Datos!$A$2:$A$5000,I$1,Datos!$B$2:$B$5000,$A291,Datos!$C$2:$C$5000,$B291,Datos!$D$2:$D$5000,I$2))</f>
        <v/>
      </c>
      <c r="J291" s="9">
        <f>IF(COUNTIFS(Datos!$A$2:$A$5000,J$1,Datos!$B$2:$B$5000,$A291,Datos!$C$2:$C$5000,$B291,Datos!$D$2:$D$5000,J$2)=0,"",SUMIFS(Datos!$E$2:$E$5000,Datos!$A$2:$A$5000,J$1,Datos!$B$2:$B$5000,$A291,Datos!$C$2:$C$5000,$B291,Datos!$D$2:$D$5000,J$2))</f>
        <v/>
      </c>
    </row>
    <row r="292">
      <c r="A292" s="8" t="inlineStr">
        <is>
          <t>Paraguay</t>
        </is>
      </c>
      <c r="B292" s="8" t="n">
        <v>2006</v>
      </c>
      <c r="C292" s="9">
        <f>IF(COUNTIFS(Datos!$A$2:$A$5000,C$1,Datos!$B$2:$B$5000,$A292,Datos!$C$2:$C$5000,$B292,Datos!$D$2:$D$5000,C$2)=0,"",SUMIFS(Datos!$E$2:$E$5000,Datos!$A$2:$A$5000,C$1,Datos!$B$2:$B$5000,$A292,Datos!$C$2:$C$5000,$B292,Datos!$D$2:$D$5000,C$2))</f>
        <v/>
      </c>
      <c r="D292" s="9">
        <f>IF(COUNTIFS(Datos!$A$2:$A$5000,D$1,Datos!$B$2:$B$5000,$A292,Datos!$C$2:$C$5000,$B292,Datos!$D$2:$D$5000,D$2)=0,"",SUMIFS(Datos!$E$2:$E$5000,Datos!$A$2:$A$5000,D$1,Datos!$B$2:$B$5000,$A292,Datos!$C$2:$C$5000,$B292,Datos!$D$2:$D$5000,D$2))</f>
        <v/>
      </c>
      <c r="E292" s="9">
        <f>IF(COUNTIFS(Datos!$A$2:$A$5000,E$1,Datos!$B$2:$B$5000,$A292,Datos!$C$2:$C$5000,$B292,Datos!$D$2:$D$5000,E$2)=0,"",SUMIFS(Datos!$E$2:$E$5000,Datos!$A$2:$A$5000,E$1,Datos!$B$2:$B$5000,$A292,Datos!$C$2:$C$5000,$B292,Datos!$D$2:$D$5000,E$2))</f>
        <v/>
      </c>
      <c r="F292" s="9">
        <f>IF(COUNTIFS(Datos!$A$2:$A$5000,F$1,Datos!$B$2:$B$5000,$A292,Datos!$C$2:$C$5000,$B292,Datos!$D$2:$D$5000,F$2)=0,"",SUMIFS(Datos!$E$2:$E$5000,Datos!$A$2:$A$5000,F$1,Datos!$B$2:$B$5000,$A292,Datos!$C$2:$C$5000,$B292,Datos!$D$2:$D$5000,F$2))</f>
        <v/>
      </c>
      <c r="G292" s="9">
        <f>IF(COUNTIFS(Datos!$A$2:$A$5000,G$1,Datos!$B$2:$B$5000,$A292,Datos!$C$2:$C$5000,$B292,Datos!$D$2:$D$5000,G$2)=0,"",SUMIFS(Datos!$E$2:$E$5000,Datos!$A$2:$A$5000,G$1,Datos!$B$2:$B$5000,$A292,Datos!$C$2:$C$5000,$B292,Datos!$D$2:$D$5000,G$2))</f>
        <v/>
      </c>
      <c r="H292" s="9">
        <f>IF(COUNTIFS(Datos!$A$2:$A$5000,H$1,Datos!$B$2:$B$5000,$A292,Datos!$C$2:$C$5000,$B292,Datos!$D$2:$D$5000,H$2)=0,"",SUMIFS(Datos!$E$2:$E$5000,Datos!$A$2:$A$5000,H$1,Datos!$B$2:$B$5000,$A292,Datos!$C$2:$C$5000,$B292,Datos!$D$2:$D$5000,H$2))</f>
        <v/>
      </c>
      <c r="I292" s="9">
        <f>IF(COUNTIFS(Datos!$A$2:$A$5000,I$1,Datos!$B$2:$B$5000,$A292,Datos!$C$2:$C$5000,$B292,Datos!$D$2:$D$5000,I$2)=0,"",SUMIFS(Datos!$E$2:$E$5000,Datos!$A$2:$A$5000,I$1,Datos!$B$2:$B$5000,$A292,Datos!$C$2:$C$5000,$B292,Datos!$D$2:$D$5000,I$2))</f>
        <v/>
      </c>
      <c r="J292" s="9">
        <f>IF(COUNTIFS(Datos!$A$2:$A$5000,J$1,Datos!$B$2:$B$5000,$A292,Datos!$C$2:$C$5000,$B292,Datos!$D$2:$D$5000,J$2)=0,"",SUMIFS(Datos!$E$2:$E$5000,Datos!$A$2:$A$5000,J$1,Datos!$B$2:$B$5000,$A292,Datos!$C$2:$C$5000,$B292,Datos!$D$2:$D$5000,J$2))</f>
        <v/>
      </c>
    </row>
    <row r="293">
      <c r="A293" s="8" t="inlineStr">
        <is>
          <t>Paraguay</t>
        </is>
      </c>
      <c r="B293" s="8" t="n">
        <v>2007</v>
      </c>
      <c r="C293" s="9">
        <f>IF(COUNTIFS(Datos!$A$2:$A$5000,C$1,Datos!$B$2:$B$5000,$A293,Datos!$C$2:$C$5000,$B293,Datos!$D$2:$D$5000,C$2)=0,"",SUMIFS(Datos!$E$2:$E$5000,Datos!$A$2:$A$5000,C$1,Datos!$B$2:$B$5000,$A293,Datos!$C$2:$C$5000,$B293,Datos!$D$2:$D$5000,C$2))</f>
        <v/>
      </c>
      <c r="D293" s="9">
        <f>IF(COUNTIFS(Datos!$A$2:$A$5000,D$1,Datos!$B$2:$B$5000,$A293,Datos!$C$2:$C$5000,$B293,Datos!$D$2:$D$5000,D$2)=0,"",SUMIFS(Datos!$E$2:$E$5000,Datos!$A$2:$A$5000,D$1,Datos!$B$2:$B$5000,$A293,Datos!$C$2:$C$5000,$B293,Datos!$D$2:$D$5000,D$2))</f>
        <v/>
      </c>
      <c r="E293" s="9">
        <f>IF(COUNTIFS(Datos!$A$2:$A$5000,E$1,Datos!$B$2:$B$5000,$A293,Datos!$C$2:$C$5000,$B293,Datos!$D$2:$D$5000,E$2)=0,"",SUMIFS(Datos!$E$2:$E$5000,Datos!$A$2:$A$5000,E$1,Datos!$B$2:$B$5000,$A293,Datos!$C$2:$C$5000,$B293,Datos!$D$2:$D$5000,E$2))</f>
        <v/>
      </c>
      <c r="F293" s="9">
        <f>IF(COUNTIFS(Datos!$A$2:$A$5000,F$1,Datos!$B$2:$B$5000,$A293,Datos!$C$2:$C$5000,$B293,Datos!$D$2:$D$5000,F$2)=0,"",SUMIFS(Datos!$E$2:$E$5000,Datos!$A$2:$A$5000,F$1,Datos!$B$2:$B$5000,$A293,Datos!$C$2:$C$5000,$B293,Datos!$D$2:$D$5000,F$2))</f>
        <v/>
      </c>
      <c r="G293" s="9">
        <f>IF(COUNTIFS(Datos!$A$2:$A$5000,G$1,Datos!$B$2:$B$5000,$A293,Datos!$C$2:$C$5000,$B293,Datos!$D$2:$D$5000,G$2)=0,"",SUMIFS(Datos!$E$2:$E$5000,Datos!$A$2:$A$5000,G$1,Datos!$B$2:$B$5000,$A293,Datos!$C$2:$C$5000,$B293,Datos!$D$2:$D$5000,G$2))</f>
        <v/>
      </c>
      <c r="H293" s="9">
        <f>IF(COUNTIFS(Datos!$A$2:$A$5000,H$1,Datos!$B$2:$B$5000,$A293,Datos!$C$2:$C$5000,$B293,Datos!$D$2:$D$5000,H$2)=0,"",SUMIFS(Datos!$E$2:$E$5000,Datos!$A$2:$A$5000,H$1,Datos!$B$2:$B$5000,$A293,Datos!$C$2:$C$5000,$B293,Datos!$D$2:$D$5000,H$2))</f>
        <v/>
      </c>
      <c r="I293" s="9">
        <f>IF(COUNTIFS(Datos!$A$2:$A$5000,I$1,Datos!$B$2:$B$5000,$A293,Datos!$C$2:$C$5000,$B293,Datos!$D$2:$D$5000,I$2)=0,"",SUMIFS(Datos!$E$2:$E$5000,Datos!$A$2:$A$5000,I$1,Datos!$B$2:$B$5000,$A293,Datos!$C$2:$C$5000,$B293,Datos!$D$2:$D$5000,I$2))</f>
        <v/>
      </c>
      <c r="J293" s="9">
        <f>IF(COUNTIFS(Datos!$A$2:$A$5000,J$1,Datos!$B$2:$B$5000,$A293,Datos!$C$2:$C$5000,$B293,Datos!$D$2:$D$5000,J$2)=0,"",SUMIFS(Datos!$E$2:$E$5000,Datos!$A$2:$A$5000,J$1,Datos!$B$2:$B$5000,$A293,Datos!$C$2:$C$5000,$B293,Datos!$D$2:$D$5000,J$2))</f>
        <v/>
      </c>
    </row>
    <row r="294">
      <c r="A294" s="8" t="inlineStr">
        <is>
          <t>Paraguay</t>
        </is>
      </c>
      <c r="B294" s="8" t="n">
        <v>2008</v>
      </c>
      <c r="C294" s="9">
        <f>IF(COUNTIFS(Datos!$A$2:$A$5000,C$1,Datos!$B$2:$B$5000,$A294,Datos!$C$2:$C$5000,$B294,Datos!$D$2:$D$5000,C$2)=0,"",SUMIFS(Datos!$E$2:$E$5000,Datos!$A$2:$A$5000,C$1,Datos!$B$2:$B$5000,$A294,Datos!$C$2:$C$5000,$B294,Datos!$D$2:$D$5000,C$2))</f>
        <v/>
      </c>
      <c r="D294" s="9">
        <f>IF(COUNTIFS(Datos!$A$2:$A$5000,D$1,Datos!$B$2:$B$5000,$A294,Datos!$C$2:$C$5000,$B294,Datos!$D$2:$D$5000,D$2)=0,"",SUMIFS(Datos!$E$2:$E$5000,Datos!$A$2:$A$5000,D$1,Datos!$B$2:$B$5000,$A294,Datos!$C$2:$C$5000,$B294,Datos!$D$2:$D$5000,D$2))</f>
        <v/>
      </c>
      <c r="E294" s="9">
        <f>IF(COUNTIFS(Datos!$A$2:$A$5000,E$1,Datos!$B$2:$B$5000,$A294,Datos!$C$2:$C$5000,$B294,Datos!$D$2:$D$5000,E$2)=0,"",SUMIFS(Datos!$E$2:$E$5000,Datos!$A$2:$A$5000,E$1,Datos!$B$2:$B$5000,$A294,Datos!$C$2:$C$5000,$B294,Datos!$D$2:$D$5000,E$2))</f>
        <v/>
      </c>
      <c r="F294" s="9">
        <f>IF(COUNTIFS(Datos!$A$2:$A$5000,F$1,Datos!$B$2:$B$5000,$A294,Datos!$C$2:$C$5000,$B294,Datos!$D$2:$D$5000,F$2)=0,"",SUMIFS(Datos!$E$2:$E$5000,Datos!$A$2:$A$5000,F$1,Datos!$B$2:$B$5000,$A294,Datos!$C$2:$C$5000,$B294,Datos!$D$2:$D$5000,F$2))</f>
        <v/>
      </c>
      <c r="G294" s="9">
        <f>IF(COUNTIFS(Datos!$A$2:$A$5000,G$1,Datos!$B$2:$B$5000,$A294,Datos!$C$2:$C$5000,$B294,Datos!$D$2:$D$5000,G$2)=0,"",SUMIFS(Datos!$E$2:$E$5000,Datos!$A$2:$A$5000,G$1,Datos!$B$2:$B$5000,$A294,Datos!$C$2:$C$5000,$B294,Datos!$D$2:$D$5000,G$2))</f>
        <v/>
      </c>
      <c r="H294" s="9">
        <f>IF(COUNTIFS(Datos!$A$2:$A$5000,H$1,Datos!$B$2:$B$5000,$A294,Datos!$C$2:$C$5000,$B294,Datos!$D$2:$D$5000,H$2)=0,"",SUMIFS(Datos!$E$2:$E$5000,Datos!$A$2:$A$5000,H$1,Datos!$B$2:$B$5000,$A294,Datos!$C$2:$C$5000,$B294,Datos!$D$2:$D$5000,H$2))</f>
        <v/>
      </c>
      <c r="I294" s="9">
        <f>IF(COUNTIFS(Datos!$A$2:$A$5000,I$1,Datos!$B$2:$B$5000,$A294,Datos!$C$2:$C$5000,$B294,Datos!$D$2:$D$5000,I$2)=0,"",SUMIFS(Datos!$E$2:$E$5000,Datos!$A$2:$A$5000,I$1,Datos!$B$2:$B$5000,$A294,Datos!$C$2:$C$5000,$B294,Datos!$D$2:$D$5000,I$2))</f>
        <v/>
      </c>
      <c r="J294" s="9">
        <f>IF(COUNTIFS(Datos!$A$2:$A$5000,J$1,Datos!$B$2:$B$5000,$A294,Datos!$C$2:$C$5000,$B294,Datos!$D$2:$D$5000,J$2)=0,"",SUMIFS(Datos!$E$2:$E$5000,Datos!$A$2:$A$5000,J$1,Datos!$B$2:$B$5000,$A294,Datos!$C$2:$C$5000,$B294,Datos!$D$2:$D$5000,J$2))</f>
        <v/>
      </c>
    </row>
    <row r="295">
      <c r="A295" s="8" t="inlineStr">
        <is>
          <t>Paraguay</t>
        </is>
      </c>
      <c r="B295" s="8" t="n">
        <v>2009</v>
      </c>
      <c r="C295" s="9">
        <f>IF(COUNTIFS(Datos!$A$2:$A$5000,C$1,Datos!$B$2:$B$5000,$A295,Datos!$C$2:$C$5000,$B295,Datos!$D$2:$D$5000,C$2)=0,"",SUMIFS(Datos!$E$2:$E$5000,Datos!$A$2:$A$5000,C$1,Datos!$B$2:$B$5000,$A295,Datos!$C$2:$C$5000,$B295,Datos!$D$2:$D$5000,C$2))</f>
        <v/>
      </c>
      <c r="D295" s="9">
        <f>IF(COUNTIFS(Datos!$A$2:$A$5000,D$1,Datos!$B$2:$B$5000,$A295,Datos!$C$2:$C$5000,$B295,Datos!$D$2:$D$5000,D$2)=0,"",SUMIFS(Datos!$E$2:$E$5000,Datos!$A$2:$A$5000,D$1,Datos!$B$2:$B$5000,$A295,Datos!$C$2:$C$5000,$B295,Datos!$D$2:$D$5000,D$2))</f>
        <v/>
      </c>
      <c r="E295" s="9">
        <f>IF(COUNTIFS(Datos!$A$2:$A$5000,E$1,Datos!$B$2:$B$5000,$A295,Datos!$C$2:$C$5000,$B295,Datos!$D$2:$D$5000,E$2)=0,"",SUMIFS(Datos!$E$2:$E$5000,Datos!$A$2:$A$5000,E$1,Datos!$B$2:$B$5000,$A295,Datos!$C$2:$C$5000,$B295,Datos!$D$2:$D$5000,E$2))</f>
        <v/>
      </c>
      <c r="F295" s="9">
        <f>IF(COUNTIFS(Datos!$A$2:$A$5000,F$1,Datos!$B$2:$B$5000,$A295,Datos!$C$2:$C$5000,$B295,Datos!$D$2:$D$5000,F$2)=0,"",SUMIFS(Datos!$E$2:$E$5000,Datos!$A$2:$A$5000,F$1,Datos!$B$2:$B$5000,$A295,Datos!$C$2:$C$5000,$B295,Datos!$D$2:$D$5000,F$2))</f>
        <v/>
      </c>
      <c r="G295" s="9">
        <f>IF(COUNTIFS(Datos!$A$2:$A$5000,G$1,Datos!$B$2:$B$5000,$A295,Datos!$C$2:$C$5000,$B295,Datos!$D$2:$D$5000,G$2)=0,"",SUMIFS(Datos!$E$2:$E$5000,Datos!$A$2:$A$5000,G$1,Datos!$B$2:$B$5000,$A295,Datos!$C$2:$C$5000,$B295,Datos!$D$2:$D$5000,G$2))</f>
        <v/>
      </c>
      <c r="H295" s="9">
        <f>IF(COUNTIFS(Datos!$A$2:$A$5000,H$1,Datos!$B$2:$B$5000,$A295,Datos!$C$2:$C$5000,$B295,Datos!$D$2:$D$5000,H$2)=0,"",SUMIFS(Datos!$E$2:$E$5000,Datos!$A$2:$A$5000,H$1,Datos!$B$2:$B$5000,$A295,Datos!$C$2:$C$5000,$B295,Datos!$D$2:$D$5000,H$2))</f>
        <v/>
      </c>
      <c r="I295" s="9">
        <f>IF(COUNTIFS(Datos!$A$2:$A$5000,I$1,Datos!$B$2:$B$5000,$A295,Datos!$C$2:$C$5000,$B295,Datos!$D$2:$D$5000,I$2)=0,"",SUMIFS(Datos!$E$2:$E$5000,Datos!$A$2:$A$5000,I$1,Datos!$B$2:$B$5000,$A295,Datos!$C$2:$C$5000,$B295,Datos!$D$2:$D$5000,I$2))</f>
        <v/>
      </c>
      <c r="J295" s="9">
        <f>IF(COUNTIFS(Datos!$A$2:$A$5000,J$1,Datos!$B$2:$B$5000,$A295,Datos!$C$2:$C$5000,$B295,Datos!$D$2:$D$5000,J$2)=0,"",SUMIFS(Datos!$E$2:$E$5000,Datos!$A$2:$A$5000,J$1,Datos!$B$2:$B$5000,$A295,Datos!$C$2:$C$5000,$B295,Datos!$D$2:$D$5000,J$2))</f>
        <v/>
      </c>
    </row>
    <row r="296">
      <c r="A296" s="8" t="inlineStr">
        <is>
          <t>Paraguay</t>
        </is>
      </c>
      <c r="B296" s="8" t="n">
        <v>2010</v>
      </c>
      <c r="C296" s="9">
        <f>IF(COUNTIFS(Datos!$A$2:$A$5000,C$1,Datos!$B$2:$B$5000,$A296,Datos!$C$2:$C$5000,$B296,Datos!$D$2:$D$5000,C$2)=0,"",SUMIFS(Datos!$E$2:$E$5000,Datos!$A$2:$A$5000,C$1,Datos!$B$2:$B$5000,$A296,Datos!$C$2:$C$5000,$B296,Datos!$D$2:$D$5000,C$2))</f>
        <v/>
      </c>
      <c r="D296" s="9">
        <f>IF(COUNTIFS(Datos!$A$2:$A$5000,D$1,Datos!$B$2:$B$5000,$A296,Datos!$C$2:$C$5000,$B296,Datos!$D$2:$D$5000,D$2)=0,"",SUMIFS(Datos!$E$2:$E$5000,Datos!$A$2:$A$5000,D$1,Datos!$B$2:$B$5000,$A296,Datos!$C$2:$C$5000,$B296,Datos!$D$2:$D$5000,D$2))</f>
        <v/>
      </c>
      <c r="E296" s="9">
        <f>IF(COUNTIFS(Datos!$A$2:$A$5000,E$1,Datos!$B$2:$B$5000,$A296,Datos!$C$2:$C$5000,$B296,Datos!$D$2:$D$5000,E$2)=0,"",SUMIFS(Datos!$E$2:$E$5000,Datos!$A$2:$A$5000,E$1,Datos!$B$2:$B$5000,$A296,Datos!$C$2:$C$5000,$B296,Datos!$D$2:$D$5000,E$2))</f>
        <v/>
      </c>
      <c r="F296" s="9">
        <f>IF(COUNTIFS(Datos!$A$2:$A$5000,F$1,Datos!$B$2:$B$5000,$A296,Datos!$C$2:$C$5000,$B296,Datos!$D$2:$D$5000,F$2)=0,"",SUMIFS(Datos!$E$2:$E$5000,Datos!$A$2:$A$5000,F$1,Datos!$B$2:$B$5000,$A296,Datos!$C$2:$C$5000,$B296,Datos!$D$2:$D$5000,F$2))</f>
        <v/>
      </c>
      <c r="G296" s="9">
        <f>IF(COUNTIFS(Datos!$A$2:$A$5000,G$1,Datos!$B$2:$B$5000,$A296,Datos!$C$2:$C$5000,$B296,Datos!$D$2:$D$5000,G$2)=0,"",SUMIFS(Datos!$E$2:$E$5000,Datos!$A$2:$A$5000,G$1,Datos!$B$2:$B$5000,$A296,Datos!$C$2:$C$5000,$B296,Datos!$D$2:$D$5000,G$2))</f>
        <v/>
      </c>
      <c r="H296" s="9">
        <f>IF(COUNTIFS(Datos!$A$2:$A$5000,H$1,Datos!$B$2:$B$5000,$A296,Datos!$C$2:$C$5000,$B296,Datos!$D$2:$D$5000,H$2)=0,"",SUMIFS(Datos!$E$2:$E$5000,Datos!$A$2:$A$5000,H$1,Datos!$B$2:$B$5000,$A296,Datos!$C$2:$C$5000,$B296,Datos!$D$2:$D$5000,H$2))</f>
        <v/>
      </c>
      <c r="I296" s="9">
        <f>IF(COUNTIFS(Datos!$A$2:$A$5000,I$1,Datos!$B$2:$B$5000,$A296,Datos!$C$2:$C$5000,$B296,Datos!$D$2:$D$5000,I$2)=0,"",SUMIFS(Datos!$E$2:$E$5000,Datos!$A$2:$A$5000,I$1,Datos!$B$2:$B$5000,$A296,Datos!$C$2:$C$5000,$B296,Datos!$D$2:$D$5000,I$2))</f>
        <v/>
      </c>
      <c r="J296" s="9">
        <f>IF(COUNTIFS(Datos!$A$2:$A$5000,J$1,Datos!$B$2:$B$5000,$A296,Datos!$C$2:$C$5000,$B296,Datos!$D$2:$D$5000,J$2)=0,"",SUMIFS(Datos!$E$2:$E$5000,Datos!$A$2:$A$5000,J$1,Datos!$B$2:$B$5000,$A296,Datos!$C$2:$C$5000,$B296,Datos!$D$2:$D$5000,J$2))</f>
        <v/>
      </c>
    </row>
    <row r="297">
      <c r="A297" s="8" t="inlineStr">
        <is>
          <t>Paraguay</t>
        </is>
      </c>
      <c r="B297" s="8" t="n">
        <v>2011</v>
      </c>
      <c r="C297" s="9">
        <f>IF(COUNTIFS(Datos!$A$2:$A$5000,C$1,Datos!$B$2:$B$5000,$A297,Datos!$C$2:$C$5000,$B297,Datos!$D$2:$D$5000,C$2)=0,"",SUMIFS(Datos!$E$2:$E$5000,Datos!$A$2:$A$5000,C$1,Datos!$B$2:$B$5000,$A297,Datos!$C$2:$C$5000,$B297,Datos!$D$2:$D$5000,C$2))</f>
        <v/>
      </c>
      <c r="D297" s="9">
        <f>IF(COUNTIFS(Datos!$A$2:$A$5000,D$1,Datos!$B$2:$B$5000,$A297,Datos!$C$2:$C$5000,$B297,Datos!$D$2:$D$5000,D$2)=0,"",SUMIFS(Datos!$E$2:$E$5000,Datos!$A$2:$A$5000,D$1,Datos!$B$2:$B$5000,$A297,Datos!$C$2:$C$5000,$B297,Datos!$D$2:$D$5000,D$2))</f>
        <v/>
      </c>
      <c r="E297" s="9">
        <f>IF(COUNTIFS(Datos!$A$2:$A$5000,E$1,Datos!$B$2:$B$5000,$A297,Datos!$C$2:$C$5000,$B297,Datos!$D$2:$D$5000,E$2)=0,"",SUMIFS(Datos!$E$2:$E$5000,Datos!$A$2:$A$5000,E$1,Datos!$B$2:$B$5000,$A297,Datos!$C$2:$C$5000,$B297,Datos!$D$2:$D$5000,E$2))</f>
        <v/>
      </c>
      <c r="F297" s="9">
        <f>IF(COUNTIFS(Datos!$A$2:$A$5000,F$1,Datos!$B$2:$B$5000,$A297,Datos!$C$2:$C$5000,$B297,Datos!$D$2:$D$5000,F$2)=0,"",SUMIFS(Datos!$E$2:$E$5000,Datos!$A$2:$A$5000,F$1,Datos!$B$2:$B$5000,$A297,Datos!$C$2:$C$5000,$B297,Datos!$D$2:$D$5000,F$2))</f>
        <v/>
      </c>
      <c r="G297" s="9">
        <f>IF(COUNTIFS(Datos!$A$2:$A$5000,G$1,Datos!$B$2:$B$5000,$A297,Datos!$C$2:$C$5000,$B297,Datos!$D$2:$D$5000,G$2)=0,"",SUMIFS(Datos!$E$2:$E$5000,Datos!$A$2:$A$5000,G$1,Datos!$B$2:$B$5000,$A297,Datos!$C$2:$C$5000,$B297,Datos!$D$2:$D$5000,G$2))</f>
        <v/>
      </c>
      <c r="H297" s="9">
        <f>IF(COUNTIFS(Datos!$A$2:$A$5000,H$1,Datos!$B$2:$B$5000,$A297,Datos!$C$2:$C$5000,$B297,Datos!$D$2:$D$5000,H$2)=0,"",SUMIFS(Datos!$E$2:$E$5000,Datos!$A$2:$A$5000,H$1,Datos!$B$2:$B$5000,$A297,Datos!$C$2:$C$5000,$B297,Datos!$D$2:$D$5000,H$2))</f>
        <v/>
      </c>
      <c r="I297" s="9">
        <f>IF(COUNTIFS(Datos!$A$2:$A$5000,I$1,Datos!$B$2:$B$5000,$A297,Datos!$C$2:$C$5000,$B297,Datos!$D$2:$D$5000,I$2)=0,"",SUMIFS(Datos!$E$2:$E$5000,Datos!$A$2:$A$5000,I$1,Datos!$B$2:$B$5000,$A297,Datos!$C$2:$C$5000,$B297,Datos!$D$2:$D$5000,I$2))</f>
        <v/>
      </c>
      <c r="J297" s="9">
        <f>IF(COUNTIFS(Datos!$A$2:$A$5000,J$1,Datos!$B$2:$B$5000,$A297,Datos!$C$2:$C$5000,$B297,Datos!$D$2:$D$5000,J$2)=0,"",SUMIFS(Datos!$E$2:$E$5000,Datos!$A$2:$A$5000,J$1,Datos!$B$2:$B$5000,$A297,Datos!$C$2:$C$5000,$B297,Datos!$D$2:$D$5000,J$2))</f>
        <v/>
      </c>
    </row>
    <row r="298">
      <c r="A298" s="8" t="inlineStr">
        <is>
          <t>Paraguay</t>
        </is>
      </c>
      <c r="B298" s="8" t="n">
        <v>2016</v>
      </c>
      <c r="C298" s="9">
        <f>IF(COUNTIFS(Datos!$A$2:$A$5000,C$1,Datos!$B$2:$B$5000,$A298,Datos!$C$2:$C$5000,$B298,Datos!$D$2:$D$5000,C$2)=0,"",SUMIFS(Datos!$E$2:$E$5000,Datos!$A$2:$A$5000,C$1,Datos!$B$2:$B$5000,$A298,Datos!$C$2:$C$5000,$B298,Datos!$D$2:$D$5000,C$2))</f>
        <v/>
      </c>
      <c r="D298" s="9">
        <f>IF(COUNTIFS(Datos!$A$2:$A$5000,D$1,Datos!$B$2:$B$5000,$A298,Datos!$C$2:$C$5000,$B298,Datos!$D$2:$D$5000,D$2)=0,"",SUMIFS(Datos!$E$2:$E$5000,Datos!$A$2:$A$5000,D$1,Datos!$B$2:$B$5000,$A298,Datos!$C$2:$C$5000,$B298,Datos!$D$2:$D$5000,D$2))</f>
        <v/>
      </c>
      <c r="E298" s="9">
        <f>IF(COUNTIFS(Datos!$A$2:$A$5000,E$1,Datos!$B$2:$B$5000,$A298,Datos!$C$2:$C$5000,$B298,Datos!$D$2:$D$5000,E$2)=0,"",SUMIFS(Datos!$E$2:$E$5000,Datos!$A$2:$A$5000,E$1,Datos!$B$2:$B$5000,$A298,Datos!$C$2:$C$5000,$B298,Datos!$D$2:$D$5000,E$2))</f>
        <v/>
      </c>
      <c r="F298" s="9">
        <f>IF(COUNTIFS(Datos!$A$2:$A$5000,F$1,Datos!$B$2:$B$5000,$A298,Datos!$C$2:$C$5000,$B298,Datos!$D$2:$D$5000,F$2)=0,"",SUMIFS(Datos!$E$2:$E$5000,Datos!$A$2:$A$5000,F$1,Datos!$B$2:$B$5000,$A298,Datos!$C$2:$C$5000,$B298,Datos!$D$2:$D$5000,F$2))</f>
        <v/>
      </c>
      <c r="G298" s="9">
        <f>IF(COUNTIFS(Datos!$A$2:$A$5000,G$1,Datos!$B$2:$B$5000,$A298,Datos!$C$2:$C$5000,$B298,Datos!$D$2:$D$5000,G$2)=0,"",SUMIFS(Datos!$E$2:$E$5000,Datos!$A$2:$A$5000,G$1,Datos!$B$2:$B$5000,$A298,Datos!$C$2:$C$5000,$B298,Datos!$D$2:$D$5000,G$2))</f>
        <v/>
      </c>
      <c r="H298" s="9">
        <f>IF(COUNTIFS(Datos!$A$2:$A$5000,H$1,Datos!$B$2:$B$5000,$A298,Datos!$C$2:$C$5000,$B298,Datos!$D$2:$D$5000,H$2)=0,"",SUMIFS(Datos!$E$2:$E$5000,Datos!$A$2:$A$5000,H$1,Datos!$B$2:$B$5000,$A298,Datos!$C$2:$C$5000,$B298,Datos!$D$2:$D$5000,H$2))</f>
        <v/>
      </c>
      <c r="I298" s="9">
        <f>IF(COUNTIFS(Datos!$A$2:$A$5000,I$1,Datos!$B$2:$B$5000,$A298,Datos!$C$2:$C$5000,$B298,Datos!$D$2:$D$5000,I$2)=0,"",SUMIFS(Datos!$E$2:$E$5000,Datos!$A$2:$A$5000,I$1,Datos!$B$2:$B$5000,$A298,Datos!$C$2:$C$5000,$B298,Datos!$D$2:$D$5000,I$2))</f>
        <v/>
      </c>
      <c r="J298" s="9">
        <f>IF(COUNTIFS(Datos!$A$2:$A$5000,J$1,Datos!$B$2:$B$5000,$A298,Datos!$C$2:$C$5000,$B298,Datos!$D$2:$D$5000,J$2)=0,"",SUMIFS(Datos!$E$2:$E$5000,Datos!$A$2:$A$5000,J$1,Datos!$B$2:$B$5000,$A298,Datos!$C$2:$C$5000,$B298,Datos!$D$2:$D$5000,J$2))</f>
        <v/>
      </c>
    </row>
    <row r="299">
      <c r="A299" s="8" t="inlineStr">
        <is>
          <t>Paraguay</t>
        </is>
      </c>
      <c r="B299" s="8" t="n">
        <v>2017</v>
      </c>
      <c r="C299" s="9">
        <f>IF(COUNTIFS(Datos!$A$2:$A$5000,C$1,Datos!$B$2:$B$5000,$A299,Datos!$C$2:$C$5000,$B299,Datos!$D$2:$D$5000,C$2)=0,"",SUMIFS(Datos!$E$2:$E$5000,Datos!$A$2:$A$5000,C$1,Datos!$B$2:$B$5000,$A299,Datos!$C$2:$C$5000,$B299,Datos!$D$2:$D$5000,C$2))</f>
        <v/>
      </c>
      <c r="D299" s="9">
        <f>IF(COUNTIFS(Datos!$A$2:$A$5000,D$1,Datos!$B$2:$B$5000,$A299,Datos!$C$2:$C$5000,$B299,Datos!$D$2:$D$5000,D$2)=0,"",SUMIFS(Datos!$E$2:$E$5000,Datos!$A$2:$A$5000,D$1,Datos!$B$2:$B$5000,$A299,Datos!$C$2:$C$5000,$B299,Datos!$D$2:$D$5000,D$2))</f>
        <v/>
      </c>
      <c r="E299" s="9">
        <f>IF(COUNTIFS(Datos!$A$2:$A$5000,E$1,Datos!$B$2:$B$5000,$A299,Datos!$C$2:$C$5000,$B299,Datos!$D$2:$D$5000,E$2)=0,"",SUMIFS(Datos!$E$2:$E$5000,Datos!$A$2:$A$5000,E$1,Datos!$B$2:$B$5000,$A299,Datos!$C$2:$C$5000,$B299,Datos!$D$2:$D$5000,E$2))</f>
        <v/>
      </c>
      <c r="F299" s="9">
        <f>IF(COUNTIFS(Datos!$A$2:$A$5000,F$1,Datos!$B$2:$B$5000,$A299,Datos!$C$2:$C$5000,$B299,Datos!$D$2:$D$5000,F$2)=0,"",SUMIFS(Datos!$E$2:$E$5000,Datos!$A$2:$A$5000,F$1,Datos!$B$2:$B$5000,$A299,Datos!$C$2:$C$5000,$B299,Datos!$D$2:$D$5000,F$2))</f>
        <v/>
      </c>
      <c r="G299" s="9">
        <f>IF(COUNTIFS(Datos!$A$2:$A$5000,G$1,Datos!$B$2:$B$5000,$A299,Datos!$C$2:$C$5000,$B299,Datos!$D$2:$D$5000,G$2)=0,"",SUMIFS(Datos!$E$2:$E$5000,Datos!$A$2:$A$5000,G$1,Datos!$B$2:$B$5000,$A299,Datos!$C$2:$C$5000,$B299,Datos!$D$2:$D$5000,G$2))</f>
        <v/>
      </c>
      <c r="H299" s="9">
        <f>IF(COUNTIFS(Datos!$A$2:$A$5000,H$1,Datos!$B$2:$B$5000,$A299,Datos!$C$2:$C$5000,$B299,Datos!$D$2:$D$5000,H$2)=0,"",SUMIFS(Datos!$E$2:$E$5000,Datos!$A$2:$A$5000,H$1,Datos!$B$2:$B$5000,$A299,Datos!$C$2:$C$5000,$B299,Datos!$D$2:$D$5000,H$2))</f>
        <v/>
      </c>
      <c r="I299" s="9">
        <f>IF(COUNTIFS(Datos!$A$2:$A$5000,I$1,Datos!$B$2:$B$5000,$A299,Datos!$C$2:$C$5000,$B299,Datos!$D$2:$D$5000,I$2)=0,"",SUMIFS(Datos!$E$2:$E$5000,Datos!$A$2:$A$5000,I$1,Datos!$B$2:$B$5000,$A299,Datos!$C$2:$C$5000,$B299,Datos!$D$2:$D$5000,I$2))</f>
        <v/>
      </c>
      <c r="J299" s="9">
        <f>IF(COUNTIFS(Datos!$A$2:$A$5000,J$1,Datos!$B$2:$B$5000,$A299,Datos!$C$2:$C$5000,$B299,Datos!$D$2:$D$5000,J$2)=0,"",SUMIFS(Datos!$E$2:$E$5000,Datos!$A$2:$A$5000,J$1,Datos!$B$2:$B$5000,$A299,Datos!$C$2:$C$5000,$B299,Datos!$D$2:$D$5000,J$2))</f>
        <v/>
      </c>
    </row>
    <row r="300">
      <c r="A300" s="8" t="inlineStr">
        <is>
          <t>Paraguay</t>
        </is>
      </c>
      <c r="B300" s="8" t="n">
        <v>2018</v>
      </c>
      <c r="C300" s="9">
        <f>IF(COUNTIFS(Datos!$A$2:$A$5000,C$1,Datos!$B$2:$B$5000,$A300,Datos!$C$2:$C$5000,$B300,Datos!$D$2:$D$5000,C$2)=0,"",SUMIFS(Datos!$E$2:$E$5000,Datos!$A$2:$A$5000,C$1,Datos!$B$2:$B$5000,$A300,Datos!$C$2:$C$5000,$B300,Datos!$D$2:$D$5000,C$2))</f>
        <v/>
      </c>
      <c r="D300" s="9">
        <f>IF(COUNTIFS(Datos!$A$2:$A$5000,D$1,Datos!$B$2:$B$5000,$A300,Datos!$C$2:$C$5000,$B300,Datos!$D$2:$D$5000,D$2)=0,"",SUMIFS(Datos!$E$2:$E$5000,Datos!$A$2:$A$5000,D$1,Datos!$B$2:$B$5000,$A300,Datos!$C$2:$C$5000,$B300,Datos!$D$2:$D$5000,D$2))</f>
        <v/>
      </c>
      <c r="E300" s="9">
        <f>IF(COUNTIFS(Datos!$A$2:$A$5000,E$1,Datos!$B$2:$B$5000,$A300,Datos!$C$2:$C$5000,$B300,Datos!$D$2:$D$5000,E$2)=0,"",SUMIFS(Datos!$E$2:$E$5000,Datos!$A$2:$A$5000,E$1,Datos!$B$2:$B$5000,$A300,Datos!$C$2:$C$5000,$B300,Datos!$D$2:$D$5000,E$2))</f>
        <v/>
      </c>
      <c r="F300" s="9">
        <f>IF(COUNTIFS(Datos!$A$2:$A$5000,F$1,Datos!$B$2:$B$5000,$A300,Datos!$C$2:$C$5000,$B300,Datos!$D$2:$D$5000,F$2)=0,"",SUMIFS(Datos!$E$2:$E$5000,Datos!$A$2:$A$5000,F$1,Datos!$B$2:$B$5000,$A300,Datos!$C$2:$C$5000,$B300,Datos!$D$2:$D$5000,F$2))</f>
        <v/>
      </c>
      <c r="G300" s="9">
        <f>IF(COUNTIFS(Datos!$A$2:$A$5000,G$1,Datos!$B$2:$B$5000,$A300,Datos!$C$2:$C$5000,$B300,Datos!$D$2:$D$5000,G$2)=0,"",SUMIFS(Datos!$E$2:$E$5000,Datos!$A$2:$A$5000,G$1,Datos!$B$2:$B$5000,$A300,Datos!$C$2:$C$5000,$B300,Datos!$D$2:$D$5000,G$2))</f>
        <v/>
      </c>
      <c r="H300" s="9">
        <f>IF(COUNTIFS(Datos!$A$2:$A$5000,H$1,Datos!$B$2:$B$5000,$A300,Datos!$C$2:$C$5000,$B300,Datos!$D$2:$D$5000,H$2)=0,"",SUMIFS(Datos!$E$2:$E$5000,Datos!$A$2:$A$5000,H$1,Datos!$B$2:$B$5000,$A300,Datos!$C$2:$C$5000,$B300,Datos!$D$2:$D$5000,H$2))</f>
        <v/>
      </c>
      <c r="I300" s="9">
        <f>IF(COUNTIFS(Datos!$A$2:$A$5000,I$1,Datos!$B$2:$B$5000,$A300,Datos!$C$2:$C$5000,$B300,Datos!$D$2:$D$5000,I$2)=0,"",SUMIFS(Datos!$E$2:$E$5000,Datos!$A$2:$A$5000,I$1,Datos!$B$2:$B$5000,$A300,Datos!$C$2:$C$5000,$B300,Datos!$D$2:$D$5000,I$2))</f>
        <v/>
      </c>
      <c r="J300" s="9">
        <f>IF(COUNTIFS(Datos!$A$2:$A$5000,J$1,Datos!$B$2:$B$5000,$A300,Datos!$C$2:$C$5000,$B300,Datos!$D$2:$D$5000,J$2)=0,"",SUMIFS(Datos!$E$2:$E$5000,Datos!$A$2:$A$5000,J$1,Datos!$B$2:$B$5000,$A300,Datos!$C$2:$C$5000,$B300,Datos!$D$2:$D$5000,J$2))</f>
        <v/>
      </c>
    </row>
    <row r="301">
      <c r="A301" s="8" t="inlineStr">
        <is>
          <t>Paraguay</t>
        </is>
      </c>
      <c r="B301" s="8" t="n">
        <v>2020</v>
      </c>
      <c r="C301" s="9">
        <f>IF(COUNTIFS(Datos!$A$2:$A$5000,C$1,Datos!$B$2:$B$5000,$A301,Datos!$C$2:$C$5000,$B301,Datos!$D$2:$D$5000,C$2)=0,"",SUMIFS(Datos!$E$2:$E$5000,Datos!$A$2:$A$5000,C$1,Datos!$B$2:$B$5000,$A301,Datos!$C$2:$C$5000,$B301,Datos!$D$2:$D$5000,C$2))</f>
        <v/>
      </c>
      <c r="D301" s="9">
        <f>IF(COUNTIFS(Datos!$A$2:$A$5000,D$1,Datos!$B$2:$B$5000,$A301,Datos!$C$2:$C$5000,$B301,Datos!$D$2:$D$5000,D$2)=0,"",SUMIFS(Datos!$E$2:$E$5000,Datos!$A$2:$A$5000,D$1,Datos!$B$2:$B$5000,$A301,Datos!$C$2:$C$5000,$B301,Datos!$D$2:$D$5000,D$2))</f>
        <v/>
      </c>
      <c r="E301" s="9">
        <f>IF(COUNTIFS(Datos!$A$2:$A$5000,E$1,Datos!$B$2:$B$5000,$A301,Datos!$C$2:$C$5000,$B301,Datos!$D$2:$D$5000,E$2)=0,"",SUMIFS(Datos!$E$2:$E$5000,Datos!$A$2:$A$5000,E$1,Datos!$B$2:$B$5000,$A301,Datos!$C$2:$C$5000,$B301,Datos!$D$2:$D$5000,E$2))</f>
        <v/>
      </c>
      <c r="F301" s="9">
        <f>IF(COUNTIFS(Datos!$A$2:$A$5000,F$1,Datos!$B$2:$B$5000,$A301,Datos!$C$2:$C$5000,$B301,Datos!$D$2:$D$5000,F$2)=0,"",SUMIFS(Datos!$E$2:$E$5000,Datos!$A$2:$A$5000,F$1,Datos!$B$2:$B$5000,$A301,Datos!$C$2:$C$5000,$B301,Datos!$D$2:$D$5000,F$2))</f>
        <v/>
      </c>
      <c r="G301" s="9">
        <f>IF(COUNTIFS(Datos!$A$2:$A$5000,G$1,Datos!$B$2:$B$5000,$A301,Datos!$C$2:$C$5000,$B301,Datos!$D$2:$D$5000,G$2)=0,"",SUMIFS(Datos!$E$2:$E$5000,Datos!$A$2:$A$5000,G$1,Datos!$B$2:$B$5000,$A301,Datos!$C$2:$C$5000,$B301,Datos!$D$2:$D$5000,G$2))</f>
        <v/>
      </c>
      <c r="H301" s="9">
        <f>IF(COUNTIFS(Datos!$A$2:$A$5000,H$1,Datos!$B$2:$B$5000,$A301,Datos!$C$2:$C$5000,$B301,Datos!$D$2:$D$5000,H$2)=0,"",SUMIFS(Datos!$E$2:$E$5000,Datos!$A$2:$A$5000,H$1,Datos!$B$2:$B$5000,$A301,Datos!$C$2:$C$5000,$B301,Datos!$D$2:$D$5000,H$2))</f>
        <v/>
      </c>
      <c r="I301" s="9">
        <f>IF(COUNTIFS(Datos!$A$2:$A$5000,I$1,Datos!$B$2:$B$5000,$A301,Datos!$C$2:$C$5000,$B301,Datos!$D$2:$D$5000,I$2)=0,"",SUMIFS(Datos!$E$2:$E$5000,Datos!$A$2:$A$5000,I$1,Datos!$B$2:$B$5000,$A301,Datos!$C$2:$C$5000,$B301,Datos!$D$2:$D$5000,I$2))</f>
        <v/>
      </c>
      <c r="J301" s="9">
        <f>IF(COUNTIFS(Datos!$A$2:$A$5000,J$1,Datos!$B$2:$B$5000,$A301,Datos!$C$2:$C$5000,$B301,Datos!$D$2:$D$5000,J$2)=0,"",SUMIFS(Datos!$E$2:$E$5000,Datos!$A$2:$A$5000,J$1,Datos!$B$2:$B$5000,$A301,Datos!$C$2:$C$5000,$B301,Datos!$D$2:$D$5000,J$2))</f>
        <v/>
      </c>
    </row>
    <row r="302">
      <c r="A302" s="8" t="inlineStr">
        <is>
          <t>Paraguay</t>
        </is>
      </c>
      <c r="B302" s="8" t="n">
        <v>2024</v>
      </c>
      <c r="C302" s="9">
        <f>IF(COUNTIFS(Datos!$A$2:$A$5000,C$1,Datos!$B$2:$B$5000,$A302,Datos!$C$2:$C$5000,$B302,Datos!$D$2:$D$5000,C$2)=0,"",SUMIFS(Datos!$E$2:$E$5000,Datos!$A$2:$A$5000,C$1,Datos!$B$2:$B$5000,$A302,Datos!$C$2:$C$5000,$B302,Datos!$D$2:$D$5000,C$2))</f>
        <v/>
      </c>
      <c r="D302" s="9">
        <f>IF(COUNTIFS(Datos!$A$2:$A$5000,D$1,Datos!$B$2:$B$5000,$A302,Datos!$C$2:$C$5000,$B302,Datos!$D$2:$D$5000,D$2)=0,"",SUMIFS(Datos!$E$2:$E$5000,Datos!$A$2:$A$5000,D$1,Datos!$B$2:$B$5000,$A302,Datos!$C$2:$C$5000,$B302,Datos!$D$2:$D$5000,D$2))</f>
        <v/>
      </c>
      <c r="E302" s="9">
        <f>IF(COUNTIFS(Datos!$A$2:$A$5000,E$1,Datos!$B$2:$B$5000,$A302,Datos!$C$2:$C$5000,$B302,Datos!$D$2:$D$5000,E$2)=0,"",SUMIFS(Datos!$E$2:$E$5000,Datos!$A$2:$A$5000,E$1,Datos!$B$2:$B$5000,$A302,Datos!$C$2:$C$5000,$B302,Datos!$D$2:$D$5000,E$2))</f>
        <v/>
      </c>
      <c r="F302" s="9">
        <f>IF(COUNTIFS(Datos!$A$2:$A$5000,F$1,Datos!$B$2:$B$5000,$A302,Datos!$C$2:$C$5000,$B302,Datos!$D$2:$D$5000,F$2)=0,"",SUMIFS(Datos!$E$2:$E$5000,Datos!$A$2:$A$5000,F$1,Datos!$B$2:$B$5000,$A302,Datos!$C$2:$C$5000,$B302,Datos!$D$2:$D$5000,F$2))</f>
        <v/>
      </c>
      <c r="G302" s="9">
        <f>IF(COUNTIFS(Datos!$A$2:$A$5000,G$1,Datos!$B$2:$B$5000,$A302,Datos!$C$2:$C$5000,$B302,Datos!$D$2:$D$5000,G$2)=0,"",SUMIFS(Datos!$E$2:$E$5000,Datos!$A$2:$A$5000,G$1,Datos!$B$2:$B$5000,$A302,Datos!$C$2:$C$5000,$B302,Datos!$D$2:$D$5000,G$2))</f>
        <v/>
      </c>
      <c r="H302" s="9">
        <f>IF(COUNTIFS(Datos!$A$2:$A$5000,H$1,Datos!$B$2:$B$5000,$A302,Datos!$C$2:$C$5000,$B302,Datos!$D$2:$D$5000,H$2)=0,"",SUMIFS(Datos!$E$2:$E$5000,Datos!$A$2:$A$5000,H$1,Datos!$B$2:$B$5000,$A302,Datos!$C$2:$C$5000,$B302,Datos!$D$2:$D$5000,H$2))</f>
        <v/>
      </c>
      <c r="I302" s="9">
        <f>IF(COUNTIFS(Datos!$A$2:$A$5000,I$1,Datos!$B$2:$B$5000,$A302,Datos!$C$2:$C$5000,$B302,Datos!$D$2:$D$5000,I$2)=0,"",SUMIFS(Datos!$E$2:$E$5000,Datos!$A$2:$A$5000,I$1,Datos!$B$2:$B$5000,$A302,Datos!$C$2:$C$5000,$B302,Datos!$D$2:$D$5000,I$2))</f>
        <v/>
      </c>
      <c r="J302" s="9">
        <f>IF(COUNTIFS(Datos!$A$2:$A$5000,J$1,Datos!$B$2:$B$5000,$A302,Datos!$C$2:$C$5000,$B302,Datos!$D$2:$D$5000,J$2)=0,"",SUMIFS(Datos!$E$2:$E$5000,Datos!$A$2:$A$5000,J$1,Datos!$B$2:$B$5000,$A302,Datos!$C$2:$C$5000,$B302,Datos!$D$2:$D$5000,J$2))</f>
        <v/>
      </c>
    </row>
    <row r="303">
      <c r="A303" s="8" t="inlineStr">
        <is>
          <t>Perú</t>
        </is>
      </c>
      <c r="B303" s="8" t="n">
        <v>1995</v>
      </c>
      <c r="C303" s="9">
        <f>IF(COUNTIFS(Datos!$A$2:$A$5000,C$1,Datos!$B$2:$B$5000,$A303,Datos!$C$2:$C$5000,$B303,Datos!$D$2:$D$5000,C$2)=0,"",SUMIFS(Datos!$E$2:$E$5000,Datos!$A$2:$A$5000,C$1,Datos!$B$2:$B$5000,$A303,Datos!$C$2:$C$5000,$B303,Datos!$D$2:$D$5000,C$2))</f>
        <v/>
      </c>
      <c r="D303" s="9">
        <f>IF(COUNTIFS(Datos!$A$2:$A$5000,D$1,Datos!$B$2:$B$5000,$A303,Datos!$C$2:$C$5000,$B303,Datos!$D$2:$D$5000,D$2)=0,"",SUMIFS(Datos!$E$2:$E$5000,Datos!$A$2:$A$5000,D$1,Datos!$B$2:$B$5000,$A303,Datos!$C$2:$C$5000,$B303,Datos!$D$2:$D$5000,D$2))</f>
        <v/>
      </c>
      <c r="E303" s="9">
        <f>IF(COUNTIFS(Datos!$A$2:$A$5000,E$1,Datos!$B$2:$B$5000,$A303,Datos!$C$2:$C$5000,$B303,Datos!$D$2:$D$5000,E$2)=0,"",SUMIFS(Datos!$E$2:$E$5000,Datos!$A$2:$A$5000,E$1,Datos!$B$2:$B$5000,$A303,Datos!$C$2:$C$5000,$B303,Datos!$D$2:$D$5000,E$2))</f>
        <v/>
      </c>
      <c r="F303" s="9">
        <f>IF(COUNTIFS(Datos!$A$2:$A$5000,F$1,Datos!$B$2:$B$5000,$A303,Datos!$C$2:$C$5000,$B303,Datos!$D$2:$D$5000,F$2)=0,"",SUMIFS(Datos!$E$2:$E$5000,Datos!$A$2:$A$5000,F$1,Datos!$B$2:$B$5000,$A303,Datos!$C$2:$C$5000,$B303,Datos!$D$2:$D$5000,F$2))</f>
        <v/>
      </c>
      <c r="G303" s="9">
        <f>IF(COUNTIFS(Datos!$A$2:$A$5000,G$1,Datos!$B$2:$B$5000,$A303,Datos!$C$2:$C$5000,$B303,Datos!$D$2:$D$5000,G$2)=0,"",SUMIFS(Datos!$E$2:$E$5000,Datos!$A$2:$A$5000,G$1,Datos!$B$2:$B$5000,$A303,Datos!$C$2:$C$5000,$B303,Datos!$D$2:$D$5000,G$2))</f>
        <v/>
      </c>
      <c r="H303" s="9">
        <f>IF(COUNTIFS(Datos!$A$2:$A$5000,H$1,Datos!$B$2:$B$5000,$A303,Datos!$C$2:$C$5000,$B303,Datos!$D$2:$D$5000,H$2)=0,"",SUMIFS(Datos!$E$2:$E$5000,Datos!$A$2:$A$5000,H$1,Datos!$B$2:$B$5000,$A303,Datos!$C$2:$C$5000,$B303,Datos!$D$2:$D$5000,H$2))</f>
        <v/>
      </c>
      <c r="I303" s="9">
        <f>IF(COUNTIFS(Datos!$A$2:$A$5000,I$1,Datos!$B$2:$B$5000,$A303,Datos!$C$2:$C$5000,$B303,Datos!$D$2:$D$5000,I$2)=0,"",SUMIFS(Datos!$E$2:$E$5000,Datos!$A$2:$A$5000,I$1,Datos!$B$2:$B$5000,$A303,Datos!$C$2:$C$5000,$B303,Datos!$D$2:$D$5000,I$2))</f>
        <v/>
      </c>
      <c r="J303" s="9">
        <f>IF(COUNTIFS(Datos!$A$2:$A$5000,J$1,Datos!$B$2:$B$5000,$A303,Datos!$C$2:$C$5000,$B303,Datos!$D$2:$D$5000,J$2)=0,"",SUMIFS(Datos!$E$2:$E$5000,Datos!$A$2:$A$5000,J$1,Datos!$B$2:$B$5000,$A303,Datos!$C$2:$C$5000,$B303,Datos!$D$2:$D$5000,J$2))</f>
        <v/>
      </c>
    </row>
    <row r="304">
      <c r="A304" s="8" t="inlineStr">
        <is>
          <t>Perú</t>
        </is>
      </c>
      <c r="B304" s="8" t="n">
        <v>1996</v>
      </c>
      <c r="C304" s="9">
        <f>IF(COUNTIFS(Datos!$A$2:$A$5000,C$1,Datos!$B$2:$B$5000,$A304,Datos!$C$2:$C$5000,$B304,Datos!$D$2:$D$5000,C$2)=0,"",SUMIFS(Datos!$E$2:$E$5000,Datos!$A$2:$A$5000,C$1,Datos!$B$2:$B$5000,$A304,Datos!$C$2:$C$5000,$B304,Datos!$D$2:$D$5000,C$2))</f>
        <v/>
      </c>
      <c r="D304" s="9">
        <f>IF(COUNTIFS(Datos!$A$2:$A$5000,D$1,Datos!$B$2:$B$5000,$A304,Datos!$C$2:$C$5000,$B304,Datos!$D$2:$D$5000,D$2)=0,"",SUMIFS(Datos!$E$2:$E$5000,Datos!$A$2:$A$5000,D$1,Datos!$B$2:$B$5000,$A304,Datos!$C$2:$C$5000,$B304,Datos!$D$2:$D$5000,D$2))</f>
        <v/>
      </c>
      <c r="E304" s="9">
        <f>IF(COUNTIFS(Datos!$A$2:$A$5000,E$1,Datos!$B$2:$B$5000,$A304,Datos!$C$2:$C$5000,$B304,Datos!$D$2:$D$5000,E$2)=0,"",SUMIFS(Datos!$E$2:$E$5000,Datos!$A$2:$A$5000,E$1,Datos!$B$2:$B$5000,$A304,Datos!$C$2:$C$5000,$B304,Datos!$D$2:$D$5000,E$2))</f>
        <v/>
      </c>
      <c r="F304" s="9">
        <f>IF(COUNTIFS(Datos!$A$2:$A$5000,F$1,Datos!$B$2:$B$5000,$A304,Datos!$C$2:$C$5000,$B304,Datos!$D$2:$D$5000,F$2)=0,"",SUMIFS(Datos!$E$2:$E$5000,Datos!$A$2:$A$5000,F$1,Datos!$B$2:$B$5000,$A304,Datos!$C$2:$C$5000,$B304,Datos!$D$2:$D$5000,F$2))</f>
        <v/>
      </c>
      <c r="G304" s="9">
        <f>IF(COUNTIFS(Datos!$A$2:$A$5000,G$1,Datos!$B$2:$B$5000,$A304,Datos!$C$2:$C$5000,$B304,Datos!$D$2:$D$5000,G$2)=0,"",SUMIFS(Datos!$E$2:$E$5000,Datos!$A$2:$A$5000,G$1,Datos!$B$2:$B$5000,$A304,Datos!$C$2:$C$5000,$B304,Datos!$D$2:$D$5000,G$2))</f>
        <v/>
      </c>
      <c r="H304" s="9">
        <f>IF(COUNTIFS(Datos!$A$2:$A$5000,H$1,Datos!$B$2:$B$5000,$A304,Datos!$C$2:$C$5000,$B304,Datos!$D$2:$D$5000,H$2)=0,"",SUMIFS(Datos!$E$2:$E$5000,Datos!$A$2:$A$5000,H$1,Datos!$B$2:$B$5000,$A304,Datos!$C$2:$C$5000,$B304,Datos!$D$2:$D$5000,H$2))</f>
        <v/>
      </c>
      <c r="I304" s="9">
        <f>IF(COUNTIFS(Datos!$A$2:$A$5000,I$1,Datos!$B$2:$B$5000,$A304,Datos!$C$2:$C$5000,$B304,Datos!$D$2:$D$5000,I$2)=0,"",SUMIFS(Datos!$E$2:$E$5000,Datos!$A$2:$A$5000,I$1,Datos!$B$2:$B$5000,$A304,Datos!$C$2:$C$5000,$B304,Datos!$D$2:$D$5000,I$2))</f>
        <v/>
      </c>
      <c r="J304" s="9">
        <f>IF(COUNTIFS(Datos!$A$2:$A$5000,J$1,Datos!$B$2:$B$5000,$A304,Datos!$C$2:$C$5000,$B304,Datos!$D$2:$D$5000,J$2)=0,"",SUMIFS(Datos!$E$2:$E$5000,Datos!$A$2:$A$5000,J$1,Datos!$B$2:$B$5000,$A304,Datos!$C$2:$C$5000,$B304,Datos!$D$2:$D$5000,J$2))</f>
        <v/>
      </c>
    </row>
    <row r="305">
      <c r="A305" s="8" t="inlineStr">
        <is>
          <t>Perú</t>
        </is>
      </c>
      <c r="B305" s="8" t="n">
        <v>1997</v>
      </c>
      <c r="C305" s="9">
        <f>IF(COUNTIFS(Datos!$A$2:$A$5000,C$1,Datos!$B$2:$B$5000,$A305,Datos!$C$2:$C$5000,$B305,Datos!$D$2:$D$5000,C$2)=0,"",SUMIFS(Datos!$E$2:$E$5000,Datos!$A$2:$A$5000,C$1,Datos!$B$2:$B$5000,$A305,Datos!$C$2:$C$5000,$B305,Datos!$D$2:$D$5000,C$2))</f>
        <v/>
      </c>
      <c r="D305" s="9">
        <f>IF(COUNTIFS(Datos!$A$2:$A$5000,D$1,Datos!$B$2:$B$5000,$A305,Datos!$C$2:$C$5000,$B305,Datos!$D$2:$D$5000,D$2)=0,"",SUMIFS(Datos!$E$2:$E$5000,Datos!$A$2:$A$5000,D$1,Datos!$B$2:$B$5000,$A305,Datos!$C$2:$C$5000,$B305,Datos!$D$2:$D$5000,D$2))</f>
        <v/>
      </c>
      <c r="E305" s="9">
        <f>IF(COUNTIFS(Datos!$A$2:$A$5000,E$1,Datos!$B$2:$B$5000,$A305,Datos!$C$2:$C$5000,$B305,Datos!$D$2:$D$5000,E$2)=0,"",SUMIFS(Datos!$E$2:$E$5000,Datos!$A$2:$A$5000,E$1,Datos!$B$2:$B$5000,$A305,Datos!$C$2:$C$5000,$B305,Datos!$D$2:$D$5000,E$2))</f>
        <v/>
      </c>
      <c r="F305" s="9">
        <f>IF(COUNTIFS(Datos!$A$2:$A$5000,F$1,Datos!$B$2:$B$5000,$A305,Datos!$C$2:$C$5000,$B305,Datos!$D$2:$D$5000,F$2)=0,"",SUMIFS(Datos!$E$2:$E$5000,Datos!$A$2:$A$5000,F$1,Datos!$B$2:$B$5000,$A305,Datos!$C$2:$C$5000,$B305,Datos!$D$2:$D$5000,F$2))</f>
        <v/>
      </c>
      <c r="G305" s="9">
        <f>IF(COUNTIFS(Datos!$A$2:$A$5000,G$1,Datos!$B$2:$B$5000,$A305,Datos!$C$2:$C$5000,$B305,Datos!$D$2:$D$5000,G$2)=0,"",SUMIFS(Datos!$E$2:$E$5000,Datos!$A$2:$A$5000,G$1,Datos!$B$2:$B$5000,$A305,Datos!$C$2:$C$5000,$B305,Datos!$D$2:$D$5000,G$2))</f>
        <v/>
      </c>
      <c r="H305" s="9">
        <f>IF(COUNTIFS(Datos!$A$2:$A$5000,H$1,Datos!$B$2:$B$5000,$A305,Datos!$C$2:$C$5000,$B305,Datos!$D$2:$D$5000,H$2)=0,"",SUMIFS(Datos!$E$2:$E$5000,Datos!$A$2:$A$5000,H$1,Datos!$B$2:$B$5000,$A305,Datos!$C$2:$C$5000,$B305,Datos!$D$2:$D$5000,H$2))</f>
        <v/>
      </c>
      <c r="I305" s="9">
        <f>IF(COUNTIFS(Datos!$A$2:$A$5000,I$1,Datos!$B$2:$B$5000,$A305,Datos!$C$2:$C$5000,$B305,Datos!$D$2:$D$5000,I$2)=0,"",SUMIFS(Datos!$E$2:$E$5000,Datos!$A$2:$A$5000,I$1,Datos!$B$2:$B$5000,$A305,Datos!$C$2:$C$5000,$B305,Datos!$D$2:$D$5000,I$2))</f>
        <v/>
      </c>
      <c r="J305" s="9">
        <f>IF(COUNTIFS(Datos!$A$2:$A$5000,J$1,Datos!$B$2:$B$5000,$A305,Datos!$C$2:$C$5000,$B305,Datos!$D$2:$D$5000,J$2)=0,"",SUMIFS(Datos!$E$2:$E$5000,Datos!$A$2:$A$5000,J$1,Datos!$B$2:$B$5000,$A305,Datos!$C$2:$C$5000,$B305,Datos!$D$2:$D$5000,J$2))</f>
        <v/>
      </c>
    </row>
    <row r="306">
      <c r="A306" s="8" t="inlineStr">
        <is>
          <t>Perú</t>
        </is>
      </c>
      <c r="B306" s="8" t="n">
        <v>1998</v>
      </c>
      <c r="C306" s="9">
        <f>IF(COUNTIFS(Datos!$A$2:$A$5000,C$1,Datos!$B$2:$B$5000,$A306,Datos!$C$2:$C$5000,$B306,Datos!$D$2:$D$5000,C$2)=0,"",SUMIFS(Datos!$E$2:$E$5000,Datos!$A$2:$A$5000,C$1,Datos!$B$2:$B$5000,$A306,Datos!$C$2:$C$5000,$B306,Datos!$D$2:$D$5000,C$2))</f>
        <v/>
      </c>
      <c r="D306" s="9">
        <f>IF(COUNTIFS(Datos!$A$2:$A$5000,D$1,Datos!$B$2:$B$5000,$A306,Datos!$C$2:$C$5000,$B306,Datos!$D$2:$D$5000,D$2)=0,"",SUMIFS(Datos!$E$2:$E$5000,Datos!$A$2:$A$5000,D$1,Datos!$B$2:$B$5000,$A306,Datos!$C$2:$C$5000,$B306,Datos!$D$2:$D$5000,D$2))</f>
        <v/>
      </c>
      <c r="E306" s="9">
        <f>IF(COUNTIFS(Datos!$A$2:$A$5000,E$1,Datos!$B$2:$B$5000,$A306,Datos!$C$2:$C$5000,$B306,Datos!$D$2:$D$5000,E$2)=0,"",SUMIFS(Datos!$E$2:$E$5000,Datos!$A$2:$A$5000,E$1,Datos!$B$2:$B$5000,$A306,Datos!$C$2:$C$5000,$B306,Datos!$D$2:$D$5000,E$2))</f>
        <v/>
      </c>
      <c r="F306" s="9">
        <f>IF(COUNTIFS(Datos!$A$2:$A$5000,F$1,Datos!$B$2:$B$5000,$A306,Datos!$C$2:$C$5000,$B306,Datos!$D$2:$D$5000,F$2)=0,"",SUMIFS(Datos!$E$2:$E$5000,Datos!$A$2:$A$5000,F$1,Datos!$B$2:$B$5000,$A306,Datos!$C$2:$C$5000,$B306,Datos!$D$2:$D$5000,F$2))</f>
        <v/>
      </c>
      <c r="G306" s="9">
        <f>IF(COUNTIFS(Datos!$A$2:$A$5000,G$1,Datos!$B$2:$B$5000,$A306,Datos!$C$2:$C$5000,$B306,Datos!$D$2:$D$5000,G$2)=0,"",SUMIFS(Datos!$E$2:$E$5000,Datos!$A$2:$A$5000,G$1,Datos!$B$2:$B$5000,$A306,Datos!$C$2:$C$5000,$B306,Datos!$D$2:$D$5000,G$2))</f>
        <v/>
      </c>
      <c r="H306" s="9">
        <f>IF(COUNTIFS(Datos!$A$2:$A$5000,H$1,Datos!$B$2:$B$5000,$A306,Datos!$C$2:$C$5000,$B306,Datos!$D$2:$D$5000,H$2)=0,"",SUMIFS(Datos!$E$2:$E$5000,Datos!$A$2:$A$5000,H$1,Datos!$B$2:$B$5000,$A306,Datos!$C$2:$C$5000,$B306,Datos!$D$2:$D$5000,H$2))</f>
        <v/>
      </c>
      <c r="I306" s="9">
        <f>IF(COUNTIFS(Datos!$A$2:$A$5000,I$1,Datos!$B$2:$B$5000,$A306,Datos!$C$2:$C$5000,$B306,Datos!$D$2:$D$5000,I$2)=0,"",SUMIFS(Datos!$E$2:$E$5000,Datos!$A$2:$A$5000,I$1,Datos!$B$2:$B$5000,$A306,Datos!$C$2:$C$5000,$B306,Datos!$D$2:$D$5000,I$2))</f>
        <v/>
      </c>
      <c r="J306" s="9">
        <f>IF(COUNTIFS(Datos!$A$2:$A$5000,J$1,Datos!$B$2:$B$5000,$A306,Datos!$C$2:$C$5000,$B306,Datos!$D$2:$D$5000,J$2)=0,"",SUMIFS(Datos!$E$2:$E$5000,Datos!$A$2:$A$5000,J$1,Datos!$B$2:$B$5000,$A306,Datos!$C$2:$C$5000,$B306,Datos!$D$2:$D$5000,J$2))</f>
        <v/>
      </c>
    </row>
    <row r="307">
      <c r="A307" s="8" t="inlineStr">
        <is>
          <t>Perú</t>
        </is>
      </c>
      <c r="B307" s="8" t="n">
        <v>2000</v>
      </c>
      <c r="C307" s="9">
        <f>IF(COUNTIFS(Datos!$A$2:$A$5000,C$1,Datos!$B$2:$B$5000,$A307,Datos!$C$2:$C$5000,$B307,Datos!$D$2:$D$5000,C$2)=0,"",SUMIFS(Datos!$E$2:$E$5000,Datos!$A$2:$A$5000,C$1,Datos!$B$2:$B$5000,$A307,Datos!$C$2:$C$5000,$B307,Datos!$D$2:$D$5000,C$2))</f>
        <v/>
      </c>
      <c r="D307" s="9">
        <f>IF(COUNTIFS(Datos!$A$2:$A$5000,D$1,Datos!$B$2:$B$5000,$A307,Datos!$C$2:$C$5000,$B307,Datos!$D$2:$D$5000,D$2)=0,"",SUMIFS(Datos!$E$2:$E$5000,Datos!$A$2:$A$5000,D$1,Datos!$B$2:$B$5000,$A307,Datos!$C$2:$C$5000,$B307,Datos!$D$2:$D$5000,D$2))</f>
        <v/>
      </c>
      <c r="E307" s="9">
        <f>IF(COUNTIFS(Datos!$A$2:$A$5000,E$1,Datos!$B$2:$B$5000,$A307,Datos!$C$2:$C$5000,$B307,Datos!$D$2:$D$5000,E$2)=0,"",SUMIFS(Datos!$E$2:$E$5000,Datos!$A$2:$A$5000,E$1,Datos!$B$2:$B$5000,$A307,Datos!$C$2:$C$5000,$B307,Datos!$D$2:$D$5000,E$2))</f>
        <v/>
      </c>
      <c r="F307" s="9">
        <f>IF(COUNTIFS(Datos!$A$2:$A$5000,F$1,Datos!$B$2:$B$5000,$A307,Datos!$C$2:$C$5000,$B307,Datos!$D$2:$D$5000,F$2)=0,"",SUMIFS(Datos!$E$2:$E$5000,Datos!$A$2:$A$5000,F$1,Datos!$B$2:$B$5000,$A307,Datos!$C$2:$C$5000,$B307,Datos!$D$2:$D$5000,F$2))</f>
        <v/>
      </c>
      <c r="G307" s="9">
        <f>IF(COUNTIFS(Datos!$A$2:$A$5000,G$1,Datos!$B$2:$B$5000,$A307,Datos!$C$2:$C$5000,$B307,Datos!$D$2:$D$5000,G$2)=0,"",SUMIFS(Datos!$E$2:$E$5000,Datos!$A$2:$A$5000,G$1,Datos!$B$2:$B$5000,$A307,Datos!$C$2:$C$5000,$B307,Datos!$D$2:$D$5000,G$2))</f>
        <v/>
      </c>
      <c r="H307" s="9">
        <f>IF(COUNTIFS(Datos!$A$2:$A$5000,H$1,Datos!$B$2:$B$5000,$A307,Datos!$C$2:$C$5000,$B307,Datos!$D$2:$D$5000,H$2)=0,"",SUMIFS(Datos!$E$2:$E$5000,Datos!$A$2:$A$5000,H$1,Datos!$B$2:$B$5000,$A307,Datos!$C$2:$C$5000,$B307,Datos!$D$2:$D$5000,H$2))</f>
        <v/>
      </c>
      <c r="I307" s="9">
        <f>IF(COUNTIFS(Datos!$A$2:$A$5000,I$1,Datos!$B$2:$B$5000,$A307,Datos!$C$2:$C$5000,$B307,Datos!$D$2:$D$5000,I$2)=0,"",SUMIFS(Datos!$E$2:$E$5000,Datos!$A$2:$A$5000,I$1,Datos!$B$2:$B$5000,$A307,Datos!$C$2:$C$5000,$B307,Datos!$D$2:$D$5000,I$2))</f>
        <v/>
      </c>
      <c r="J307" s="9">
        <f>IF(COUNTIFS(Datos!$A$2:$A$5000,J$1,Datos!$B$2:$B$5000,$A307,Datos!$C$2:$C$5000,$B307,Datos!$D$2:$D$5000,J$2)=0,"",SUMIFS(Datos!$E$2:$E$5000,Datos!$A$2:$A$5000,J$1,Datos!$B$2:$B$5000,$A307,Datos!$C$2:$C$5000,$B307,Datos!$D$2:$D$5000,J$2))</f>
        <v/>
      </c>
    </row>
    <row r="308">
      <c r="A308" s="8" t="inlineStr">
        <is>
          <t>Perú</t>
        </is>
      </c>
      <c r="B308" s="8" t="n">
        <v>2001</v>
      </c>
      <c r="C308" s="9">
        <f>IF(COUNTIFS(Datos!$A$2:$A$5000,C$1,Datos!$B$2:$B$5000,$A308,Datos!$C$2:$C$5000,$B308,Datos!$D$2:$D$5000,C$2)=0,"",SUMIFS(Datos!$E$2:$E$5000,Datos!$A$2:$A$5000,C$1,Datos!$B$2:$B$5000,$A308,Datos!$C$2:$C$5000,$B308,Datos!$D$2:$D$5000,C$2))</f>
        <v/>
      </c>
      <c r="D308" s="9">
        <f>IF(COUNTIFS(Datos!$A$2:$A$5000,D$1,Datos!$B$2:$B$5000,$A308,Datos!$C$2:$C$5000,$B308,Datos!$D$2:$D$5000,D$2)=0,"",SUMIFS(Datos!$E$2:$E$5000,Datos!$A$2:$A$5000,D$1,Datos!$B$2:$B$5000,$A308,Datos!$C$2:$C$5000,$B308,Datos!$D$2:$D$5000,D$2))</f>
        <v/>
      </c>
      <c r="E308" s="9">
        <f>IF(COUNTIFS(Datos!$A$2:$A$5000,E$1,Datos!$B$2:$B$5000,$A308,Datos!$C$2:$C$5000,$B308,Datos!$D$2:$D$5000,E$2)=0,"",SUMIFS(Datos!$E$2:$E$5000,Datos!$A$2:$A$5000,E$1,Datos!$B$2:$B$5000,$A308,Datos!$C$2:$C$5000,$B308,Datos!$D$2:$D$5000,E$2))</f>
        <v/>
      </c>
      <c r="F308" s="9">
        <f>IF(COUNTIFS(Datos!$A$2:$A$5000,F$1,Datos!$B$2:$B$5000,$A308,Datos!$C$2:$C$5000,$B308,Datos!$D$2:$D$5000,F$2)=0,"",SUMIFS(Datos!$E$2:$E$5000,Datos!$A$2:$A$5000,F$1,Datos!$B$2:$B$5000,$A308,Datos!$C$2:$C$5000,$B308,Datos!$D$2:$D$5000,F$2))</f>
        <v/>
      </c>
      <c r="G308" s="9">
        <f>IF(COUNTIFS(Datos!$A$2:$A$5000,G$1,Datos!$B$2:$B$5000,$A308,Datos!$C$2:$C$5000,$B308,Datos!$D$2:$D$5000,G$2)=0,"",SUMIFS(Datos!$E$2:$E$5000,Datos!$A$2:$A$5000,G$1,Datos!$B$2:$B$5000,$A308,Datos!$C$2:$C$5000,$B308,Datos!$D$2:$D$5000,G$2))</f>
        <v/>
      </c>
      <c r="H308" s="9">
        <f>IF(COUNTIFS(Datos!$A$2:$A$5000,H$1,Datos!$B$2:$B$5000,$A308,Datos!$C$2:$C$5000,$B308,Datos!$D$2:$D$5000,H$2)=0,"",SUMIFS(Datos!$E$2:$E$5000,Datos!$A$2:$A$5000,H$1,Datos!$B$2:$B$5000,$A308,Datos!$C$2:$C$5000,$B308,Datos!$D$2:$D$5000,H$2))</f>
        <v/>
      </c>
      <c r="I308" s="9">
        <f>IF(COUNTIFS(Datos!$A$2:$A$5000,I$1,Datos!$B$2:$B$5000,$A308,Datos!$C$2:$C$5000,$B308,Datos!$D$2:$D$5000,I$2)=0,"",SUMIFS(Datos!$E$2:$E$5000,Datos!$A$2:$A$5000,I$1,Datos!$B$2:$B$5000,$A308,Datos!$C$2:$C$5000,$B308,Datos!$D$2:$D$5000,I$2))</f>
        <v/>
      </c>
      <c r="J308" s="9">
        <f>IF(COUNTIFS(Datos!$A$2:$A$5000,J$1,Datos!$B$2:$B$5000,$A308,Datos!$C$2:$C$5000,$B308,Datos!$D$2:$D$5000,J$2)=0,"",SUMIFS(Datos!$E$2:$E$5000,Datos!$A$2:$A$5000,J$1,Datos!$B$2:$B$5000,$A308,Datos!$C$2:$C$5000,$B308,Datos!$D$2:$D$5000,J$2))</f>
        <v/>
      </c>
    </row>
    <row r="309">
      <c r="A309" s="8" t="inlineStr">
        <is>
          <t>Perú</t>
        </is>
      </c>
      <c r="B309" s="8" t="n">
        <v>2002</v>
      </c>
      <c r="C309" s="9">
        <f>IF(COUNTIFS(Datos!$A$2:$A$5000,C$1,Datos!$B$2:$B$5000,$A309,Datos!$C$2:$C$5000,$B309,Datos!$D$2:$D$5000,C$2)=0,"",SUMIFS(Datos!$E$2:$E$5000,Datos!$A$2:$A$5000,C$1,Datos!$B$2:$B$5000,$A309,Datos!$C$2:$C$5000,$B309,Datos!$D$2:$D$5000,C$2))</f>
        <v/>
      </c>
      <c r="D309" s="9">
        <f>IF(COUNTIFS(Datos!$A$2:$A$5000,D$1,Datos!$B$2:$B$5000,$A309,Datos!$C$2:$C$5000,$B309,Datos!$D$2:$D$5000,D$2)=0,"",SUMIFS(Datos!$E$2:$E$5000,Datos!$A$2:$A$5000,D$1,Datos!$B$2:$B$5000,$A309,Datos!$C$2:$C$5000,$B309,Datos!$D$2:$D$5000,D$2))</f>
        <v/>
      </c>
      <c r="E309" s="9">
        <f>IF(COUNTIFS(Datos!$A$2:$A$5000,E$1,Datos!$B$2:$B$5000,$A309,Datos!$C$2:$C$5000,$B309,Datos!$D$2:$D$5000,E$2)=0,"",SUMIFS(Datos!$E$2:$E$5000,Datos!$A$2:$A$5000,E$1,Datos!$B$2:$B$5000,$A309,Datos!$C$2:$C$5000,$B309,Datos!$D$2:$D$5000,E$2))</f>
        <v/>
      </c>
      <c r="F309" s="9">
        <f>IF(COUNTIFS(Datos!$A$2:$A$5000,F$1,Datos!$B$2:$B$5000,$A309,Datos!$C$2:$C$5000,$B309,Datos!$D$2:$D$5000,F$2)=0,"",SUMIFS(Datos!$E$2:$E$5000,Datos!$A$2:$A$5000,F$1,Datos!$B$2:$B$5000,$A309,Datos!$C$2:$C$5000,$B309,Datos!$D$2:$D$5000,F$2))</f>
        <v/>
      </c>
      <c r="G309" s="9">
        <f>IF(COUNTIFS(Datos!$A$2:$A$5000,G$1,Datos!$B$2:$B$5000,$A309,Datos!$C$2:$C$5000,$B309,Datos!$D$2:$D$5000,G$2)=0,"",SUMIFS(Datos!$E$2:$E$5000,Datos!$A$2:$A$5000,G$1,Datos!$B$2:$B$5000,$A309,Datos!$C$2:$C$5000,$B309,Datos!$D$2:$D$5000,G$2))</f>
        <v/>
      </c>
      <c r="H309" s="9">
        <f>IF(COUNTIFS(Datos!$A$2:$A$5000,H$1,Datos!$B$2:$B$5000,$A309,Datos!$C$2:$C$5000,$B309,Datos!$D$2:$D$5000,H$2)=0,"",SUMIFS(Datos!$E$2:$E$5000,Datos!$A$2:$A$5000,H$1,Datos!$B$2:$B$5000,$A309,Datos!$C$2:$C$5000,$B309,Datos!$D$2:$D$5000,H$2))</f>
        <v/>
      </c>
      <c r="I309" s="9">
        <f>IF(COUNTIFS(Datos!$A$2:$A$5000,I$1,Datos!$B$2:$B$5000,$A309,Datos!$C$2:$C$5000,$B309,Datos!$D$2:$D$5000,I$2)=0,"",SUMIFS(Datos!$E$2:$E$5000,Datos!$A$2:$A$5000,I$1,Datos!$B$2:$B$5000,$A309,Datos!$C$2:$C$5000,$B309,Datos!$D$2:$D$5000,I$2))</f>
        <v/>
      </c>
      <c r="J309" s="9">
        <f>IF(COUNTIFS(Datos!$A$2:$A$5000,J$1,Datos!$B$2:$B$5000,$A309,Datos!$C$2:$C$5000,$B309,Datos!$D$2:$D$5000,J$2)=0,"",SUMIFS(Datos!$E$2:$E$5000,Datos!$A$2:$A$5000,J$1,Datos!$B$2:$B$5000,$A309,Datos!$C$2:$C$5000,$B309,Datos!$D$2:$D$5000,J$2))</f>
        <v/>
      </c>
    </row>
    <row r="310">
      <c r="A310" s="8" t="inlineStr">
        <is>
          <t>Perú</t>
        </is>
      </c>
      <c r="B310" s="8" t="n">
        <v>2003</v>
      </c>
      <c r="C310" s="9">
        <f>IF(COUNTIFS(Datos!$A$2:$A$5000,C$1,Datos!$B$2:$B$5000,$A310,Datos!$C$2:$C$5000,$B310,Datos!$D$2:$D$5000,C$2)=0,"",SUMIFS(Datos!$E$2:$E$5000,Datos!$A$2:$A$5000,C$1,Datos!$B$2:$B$5000,$A310,Datos!$C$2:$C$5000,$B310,Datos!$D$2:$D$5000,C$2))</f>
        <v/>
      </c>
      <c r="D310" s="9">
        <f>IF(COUNTIFS(Datos!$A$2:$A$5000,D$1,Datos!$B$2:$B$5000,$A310,Datos!$C$2:$C$5000,$B310,Datos!$D$2:$D$5000,D$2)=0,"",SUMIFS(Datos!$E$2:$E$5000,Datos!$A$2:$A$5000,D$1,Datos!$B$2:$B$5000,$A310,Datos!$C$2:$C$5000,$B310,Datos!$D$2:$D$5000,D$2))</f>
        <v/>
      </c>
      <c r="E310" s="9">
        <f>IF(COUNTIFS(Datos!$A$2:$A$5000,E$1,Datos!$B$2:$B$5000,$A310,Datos!$C$2:$C$5000,$B310,Datos!$D$2:$D$5000,E$2)=0,"",SUMIFS(Datos!$E$2:$E$5000,Datos!$A$2:$A$5000,E$1,Datos!$B$2:$B$5000,$A310,Datos!$C$2:$C$5000,$B310,Datos!$D$2:$D$5000,E$2))</f>
        <v/>
      </c>
      <c r="F310" s="9">
        <f>IF(COUNTIFS(Datos!$A$2:$A$5000,F$1,Datos!$B$2:$B$5000,$A310,Datos!$C$2:$C$5000,$B310,Datos!$D$2:$D$5000,F$2)=0,"",SUMIFS(Datos!$E$2:$E$5000,Datos!$A$2:$A$5000,F$1,Datos!$B$2:$B$5000,$A310,Datos!$C$2:$C$5000,$B310,Datos!$D$2:$D$5000,F$2))</f>
        <v/>
      </c>
      <c r="G310" s="9">
        <f>IF(COUNTIFS(Datos!$A$2:$A$5000,G$1,Datos!$B$2:$B$5000,$A310,Datos!$C$2:$C$5000,$B310,Datos!$D$2:$D$5000,G$2)=0,"",SUMIFS(Datos!$E$2:$E$5000,Datos!$A$2:$A$5000,G$1,Datos!$B$2:$B$5000,$A310,Datos!$C$2:$C$5000,$B310,Datos!$D$2:$D$5000,G$2))</f>
        <v/>
      </c>
      <c r="H310" s="9">
        <f>IF(COUNTIFS(Datos!$A$2:$A$5000,H$1,Datos!$B$2:$B$5000,$A310,Datos!$C$2:$C$5000,$B310,Datos!$D$2:$D$5000,H$2)=0,"",SUMIFS(Datos!$E$2:$E$5000,Datos!$A$2:$A$5000,H$1,Datos!$B$2:$B$5000,$A310,Datos!$C$2:$C$5000,$B310,Datos!$D$2:$D$5000,H$2))</f>
        <v/>
      </c>
      <c r="I310" s="9">
        <f>IF(COUNTIFS(Datos!$A$2:$A$5000,I$1,Datos!$B$2:$B$5000,$A310,Datos!$C$2:$C$5000,$B310,Datos!$D$2:$D$5000,I$2)=0,"",SUMIFS(Datos!$E$2:$E$5000,Datos!$A$2:$A$5000,I$1,Datos!$B$2:$B$5000,$A310,Datos!$C$2:$C$5000,$B310,Datos!$D$2:$D$5000,I$2))</f>
        <v/>
      </c>
      <c r="J310" s="9">
        <f>IF(COUNTIFS(Datos!$A$2:$A$5000,J$1,Datos!$B$2:$B$5000,$A310,Datos!$C$2:$C$5000,$B310,Datos!$D$2:$D$5000,J$2)=0,"",SUMIFS(Datos!$E$2:$E$5000,Datos!$A$2:$A$5000,J$1,Datos!$B$2:$B$5000,$A310,Datos!$C$2:$C$5000,$B310,Datos!$D$2:$D$5000,J$2))</f>
        <v/>
      </c>
    </row>
    <row r="311">
      <c r="A311" s="8" t="inlineStr">
        <is>
          <t>Perú</t>
        </is>
      </c>
      <c r="B311" s="8" t="n">
        <v>2004</v>
      </c>
      <c r="C311" s="9">
        <f>IF(COUNTIFS(Datos!$A$2:$A$5000,C$1,Datos!$B$2:$B$5000,$A311,Datos!$C$2:$C$5000,$B311,Datos!$D$2:$D$5000,C$2)=0,"",SUMIFS(Datos!$E$2:$E$5000,Datos!$A$2:$A$5000,C$1,Datos!$B$2:$B$5000,$A311,Datos!$C$2:$C$5000,$B311,Datos!$D$2:$D$5000,C$2))</f>
        <v/>
      </c>
      <c r="D311" s="9">
        <f>IF(COUNTIFS(Datos!$A$2:$A$5000,D$1,Datos!$B$2:$B$5000,$A311,Datos!$C$2:$C$5000,$B311,Datos!$D$2:$D$5000,D$2)=0,"",SUMIFS(Datos!$E$2:$E$5000,Datos!$A$2:$A$5000,D$1,Datos!$B$2:$B$5000,$A311,Datos!$C$2:$C$5000,$B311,Datos!$D$2:$D$5000,D$2))</f>
        <v/>
      </c>
      <c r="E311" s="9">
        <f>IF(COUNTIFS(Datos!$A$2:$A$5000,E$1,Datos!$B$2:$B$5000,$A311,Datos!$C$2:$C$5000,$B311,Datos!$D$2:$D$5000,E$2)=0,"",SUMIFS(Datos!$E$2:$E$5000,Datos!$A$2:$A$5000,E$1,Datos!$B$2:$B$5000,$A311,Datos!$C$2:$C$5000,$B311,Datos!$D$2:$D$5000,E$2))</f>
        <v/>
      </c>
      <c r="F311" s="9">
        <f>IF(COUNTIFS(Datos!$A$2:$A$5000,F$1,Datos!$B$2:$B$5000,$A311,Datos!$C$2:$C$5000,$B311,Datos!$D$2:$D$5000,F$2)=0,"",SUMIFS(Datos!$E$2:$E$5000,Datos!$A$2:$A$5000,F$1,Datos!$B$2:$B$5000,$A311,Datos!$C$2:$C$5000,$B311,Datos!$D$2:$D$5000,F$2))</f>
        <v/>
      </c>
      <c r="G311" s="9">
        <f>IF(COUNTIFS(Datos!$A$2:$A$5000,G$1,Datos!$B$2:$B$5000,$A311,Datos!$C$2:$C$5000,$B311,Datos!$D$2:$D$5000,G$2)=0,"",SUMIFS(Datos!$E$2:$E$5000,Datos!$A$2:$A$5000,G$1,Datos!$B$2:$B$5000,$A311,Datos!$C$2:$C$5000,$B311,Datos!$D$2:$D$5000,G$2))</f>
        <v/>
      </c>
      <c r="H311" s="9">
        <f>IF(COUNTIFS(Datos!$A$2:$A$5000,H$1,Datos!$B$2:$B$5000,$A311,Datos!$C$2:$C$5000,$B311,Datos!$D$2:$D$5000,H$2)=0,"",SUMIFS(Datos!$E$2:$E$5000,Datos!$A$2:$A$5000,H$1,Datos!$B$2:$B$5000,$A311,Datos!$C$2:$C$5000,$B311,Datos!$D$2:$D$5000,H$2))</f>
        <v/>
      </c>
      <c r="I311" s="9">
        <f>IF(COUNTIFS(Datos!$A$2:$A$5000,I$1,Datos!$B$2:$B$5000,$A311,Datos!$C$2:$C$5000,$B311,Datos!$D$2:$D$5000,I$2)=0,"",SUMIFS(Datos!$E$2:$E$5000,Datos!$A$2:$A$5000,I$1,Datos!$B$2:$B$5000,$A311,Datos!$C$2:$C$5000,$B311,Datos!$D$2:$D$5000,I$2))</f>
        <v/>
      </c>
      <c r="J311" s="9">
        <f>IF(COUNTIFS(Datos!$A$2:$A$5000,J$1,Datos!$B$2:$B$5000,$A311,Datos!$C$2:$C$5000,$B311,Datos!$D$2:$D$5000,J$2)=0,"",SUMIFS(Datos!$E$2:$E$5000,Datos!$A$2:$A$5000,J$1,Datos!$B$2:$B$5000,$A311,Datos!$C$2:$C$5000,$B311,Datos!$D$2:$D$5000,J$2))</f>
        <v/>
      </c>
    </row>
    <row r="312">
      <c r="A312" s="8" t="inlineStr">
        <is>
          <t>Perú</t>
        </is>
      </c>
      <c r="B312" s="8" t="n">
        <v>2005</v>
      </c>
      <c r="C312" s="9">
        <f>IF(COUNTIFS(Datos!$A$2:$A$5000,C$1,Datos!$B$2:$B$5000,$A312,Datos!$C$2:$C$5000,$B312,Datos!$D$2:$D$5000,C$2)=0,"",SUMIFS(Datos!$E$2:$E$5000,Datos!$A$2:$A$5000,C$1,Datos!$B$2:$B$5000,$A312,Datos!$C$2:$C$5000,$B312,Datos!$D$2:$D$5000,C$2))</f>
        <v/>
      </c>
      <c r="D312" s="9">
        <f>IF(COUNTIFS(Datos!$A$2:$A$5000,D$1,Datos!$B$2:$B$5000,$A312,Datos!$C$2:$C$5000,$B312,Datos!$D$2:$D$5000,D$2)=0,"",SUMIFS(Datos!$E$2:$E$5000,Datos!$A$2:$A$5000,D$1,Datos!$B$2:$B$5000,$A312,Datos!$C$2:$C$5000,$B312,Datos!$D$2:$D$5000,D$2))</f>
        <v/>
      </c>
      <c r="E312" s="9">
        <f>IF(COUNTIFS(Datos!$A$2:$A$5000,E$1,Datos!$B$2:$B$5000,$A312,Datos!$C$2:$C$5000,$B312,Datos!$D$2:$D$5000,E$2)=0,"",SUMIFS(Datos!$E$2:$E$5000,Datos!$A$2:$A$5000,E$1,Datos!$B$2:$B$5000,$A312,Datos!$C$2:$C$5000,$B312,Datos!$D$2:$D$5000,E$2))</f>
        <v/>
      </c>
      <c r="F312" s="9">
        <f>IF(COUNTIFS(Datos!$A$2:$A$5000,F$1,Datos!$B$2:$B$5000,$A312,Datos!$C$2:$C$5000,$B312,Datos!$D$2:$D$5000,F$2)=0,"",SUMIFS(Datos!$E$2:$E$5000,Datos!$A$2:$A$5000,F$1,Datos!$B$2:$B$5000,$A312,Datos!$C$2:$C$5000,$B312,Datos!$D$2:$D$5000,F$2))</f>
        <v/>
      </c>
      <c r="G312" s="9">
        <f>IF(COUNTIFS(Datos!$A$2:$A$5000,G$1,Datos!$B$2:$B$5000,$A312,Datos!$C$2:$C$5000,$B312,Datos!$D$2:$D$5000,G$2)=0,"",SUMIFS(Datos!$E$2:$E$5000,Datos!$A$2:$A$5000,G$1,Datos!$B$2:$B$5000,$A312,Datos!$C$2:$C$5000,$B312,Datos!$D$2:$D$5000,G$2))</f>
        <v/>
      </c>
      <c r="H312" s="9">
        <f>IF(COUNTIFS(Datos!$A$2:$A$5000,H$1,Datos!$B$2:$B$5000,$A312,Datos!$C$2:$C$5000,$B312,Datos!$D$2:$D$5000,H$2)=0,"",SUMIFS(Datos!$E$2:$E$5000,Datos!$A$2:$A$5000,H$1,Datos!$B$2:$B$5000,$A312,Datos!$C$2:$C$5000,$B312,Datos!$D$2:$D$5000,H$2))</f>
        <v/>
      </c>
      <c r="I312" s="9">
        <f>IF(COUNTIFS(Datos!$A$2:$A$5000,I$1,Datos!$B$2:$B$5000,$A312,Datos!$C$2:$C$5000,$B312,Datos!$D$2:$D$5000,I$2)=0,"",SUMIFS(Datos!$E$2:$E$5000,Datos!$A$2:$A$5000,I$1,Datos!$B$2:$B$5000,$A312,Datos!$C$2:$C$5000,$B312,Datos!$D$2:$D$5000,I$2))</f>
        <v/>
      </c>
      <c r="J312" s="9">
        <f>IF(COUNTIFS(Datos!$A$2:$A$5000,J$1,Datos!$B$2:$B$5000,$A312,Datos!$C$2:$C$5000,$B312,Datos!$D$2:$D$5000,J$2)=0,"",SUMIFS(Datos!$E$2:$E$5000,Datos!$A$2:$A$5000,J$1,Datos!$B$2:$B$5000,$A312,Datos!$C$2:$C$5000,$B312,Datos!$D$2:$D$5000,J$2))</f>
        <v/>
      </c>
    </row>
    <row r="313">
      <c r="A313" s="8" t="inlineStr">
        <is>
          <t>Perú</t>
        </is>
      </c>
      <c r="B313" s="8" t="n">
        <v>2006</v>
      </c>
      <c r="C313" s="9">
        <f>IF(COUNTIFS(Datos!$A$2:$A$5000,C$1,Datos!$B$2:$B$5000,$A313,Datos!$C$2:$C$5000,$B313,Datos!$D$2:$D$5000,C$2)=0,"",SUMIFS(Datos!$E$2:$E$5000,Datos!$A$2:$A$5000,C$1,Datos!$B$2:$B$5000,$A313,Datos!$C$2:$C$5000,$B313,Datos!$D$2:$D$5000,C$2))</f>
        <v/>
      </c>
      <c r="D313" s="9">
        <f>IF(COUNTIFS(Datos!$A$2:$A$5000,D$1,Datos!$B$2:$B$5000,$A313,Datos!$C$2:$C$5000,$B313,Datos!$D$2:$D$5000,D$2)=0,"",SUMIFS(Datos!$E$2:$E$5000,Datos!$A$2:$A$5000,D$1,Datos!$B$2:$B$5000,$A313,Datos!$C$2:$C$5000,$B313,Datos!$D$2:$D$5000,D$2))</f>
        <v/>
      </c>
      <c r="E313" s="9">
        <f>IF(COUNTIFS(Datos!$A$2:$A$5000,E$1,Datos!$B$2:$B$5000,$A313,Datos!$C$2:$C$5000,$B313,Datos!$D$2:$D$5000,E$2)=0,"",SUMIFS(Datos!$E$2:$E$5000,Datos!$A$2:$A$5000,E$1,Datos!$B$2:$B$5000,$A313,Datos!$C$2:$C$5000,$B313,Datos!$D$2:$D$5000,E$2))</f>
        <v/>
      </c>
      <c r="F313" s="9">
        <f>IF(COUNTIFS(Datos!$A$2:$A$5000,F$1,Datos!$B$2:$B$5000,$A313,Datos!$C$2:$C$5000,$B313,Datos!$D$2:$D$5000,F$2)=0,"",SUMIFS(Datos!$E$2:$E$5000,Datos!$A$2:$A$5000,F$1,Datos!$B$2:$B$5000,$A313,Datos!$C$2:$C$5000,$B313,Datos!$D$2:$D$5000,F$2))</f>
        <v/>
      </c>
      <c r="G313" s="9">
        <f>IF(COUNTIFS(Datos!$A$2:$A$5000,G$1,Datos!$B$2:$B$5000,$A313,Datos!$C$2:$C$5000,$B313,Datos!$D$2:$D$5000,G$2)=0,"",SUMIFS(Datos!$E$2:$E$5000,Datos!$A$2:$A$5000,G$1,Datos!$B$2:$B$5000,$A313,Datos!$C$2:$C$5000,$B313,Datos!$D$2:$D$5000,G$2))</f>
        <v/>
      </c>
      <c r="H313" s="9">
        <f>IF(COUNTIFS(Datos!$A$2:$A$5000,H$1,Datos!$B$2:$B$5000,$A313,Datos!$C$2:$C$5000,$B313,Datos!$D$2:$D$5000,H$2)=0,"",SUMIFS(Datos!$E$2:$E$5000,Datos!$A$2:$A$5000,H$1,Datos!$B$2:$B$5000,$A313,Datos!$C$2:$C$5000,$B313,Datos!$D$2:$D$5000,H$2))</f>
        <v/>
      </c>
      <c r="I313" s="9">
        <f>IF(COUNTIFS(Datos!$A$2:$A$5000,I$1,Datos!$B$2:$B$5000,$A313,Datos!$C$2:$C$5000,$B313,Datos!$D$2:$D$5000,I$2)=0,"",SUMIFS(Datos!$E$2:$E$5000,Datos!$A$2:$A$5000,I$1,Datos!$B$2:$B$5000,$A313,Datos!$C$2:$C$5000,$B313,Datos!$D$2:$D$5000,I$2))</f>
        <v/>
      </c>
      <c r="J313" s="9">
        <f>IF(COUNTIFS(Datos!$A$2:$A$5000,J$1,Datos!$B$2:$B$5000,$A313,Datos!$C$2:$C$5000,$B313,Datos!$D$2:$D$5000,J$2)=0,"",SUMIFS(Datos!$E$2:$E$5000,Datos!$A$2:$A$5000,J$1,Datos!$B$2:$B$5000,$A313,Datos!$C$2:$C$5000,$B313,Datos!$D$2:$D$5000,J$2))</f>
        <v/>
      </c>
    </row>
    <row r="314">
      <c r="A314" s="8" t="inlineStr">
        <is>
          <t>Perú</t>
        </is>
      </c>
      <c r="B314" s="8" t="n">
        <v>2007</v>
      </c>
      <c r="C314" s="9">
        <f>IF(COUNTIFS(Datos!$A$2:$A$5000,C$1,Datos!$B$2:$B$5000,$A314,Datos!$C$2:$C$5000,$B314,Datos!$D$2:$D$5000,C$2)=0,"",SUMIFS(Datos!$E$2:$E$5000,Datos!$A$2:$A$5000,C$1,Datos!$B$2:$B$5000,$A314,Datos!$C$2:$C$5000,$B314,Datos!$D$2:$D$5000,C$2))</f>
        <v/>
      </c>
      <c r="D314" s="9">
        <f>IF(COUNTIFS(Datos!$A$2:$A$5000,D$1,Datos!$B$2:$B$5000,$A314,Datos!$C$2:$C$5000,$B314,Datos!$D$2:$D$5000,D$2)=0,"",SUMIFS(Datos!$E$2:$E$5000,Datos!$A$2:$A$5000,D$1,Datos!$B$2:$B$5000,$A314,Datos!$C$2:$C$5000,$B314,Datos!$D$2:$D$5000,D$2))</f>
        <v/>
      </c>
      <c r="E314" s="9">
        <f>IF(COUNTIFS(Datos!$A$2:$A$5000,E$1,Datos!$B$2:$B$5000,$A314,Datos!$C$2:$C$5000,$B314,Datos!$D$2:$D$5000,E$2)=0,"",SUMIFS(Datos!$E$2:$E$5000,Datos!$A$2:$A$5000,E$1,Datos!$B$2:$B$5000,$A314,Datos!$C$2:$C$5000,$B314,Datos!$D$2:$D$5000,E$2))</f>
        <v/>
      </c>
      <c r="F314" s="9">
        <f>IF(COUNTIFS(Datos!$A$2:$A$5000,F$1,Datos!$B$2:$B$5000,$A314,Datos!$C$2:$C$5000,$B314,Datos!$D$2:$D$5000,F$2)=0,"",SUMIFS(Datos!$E$2:$E$5000,Datos!$A$2:$A$5000,F$1,Datos!$B$2:$B$5000,$A314,Datos!$C$2:$C$5000,$B314,Datos!$D$2:$D$5000,F$2))</f>
        <v/>
      </c>
      <c r="G314" s="9">
        <f>IF(COUNTIFS(Datos!$A$2:$A$5000,G$1,Datos!$B$2:$B$5000,$A314,Datos!$C$2:$C$5000,$B314,Datos!$D$2:$D$5000,G$2)=0,"",SUMIFS(Datos!$E$2:$E$5000,Datos!$A$2:$A$5000,G$1,Datos!$B$2:$B$5000,$A314,Datos!$C$2:$C$5000,$B314,Datos!$D$2:$D$5000,G$2))</f>
        <v/>
      </c>
      <c r="H314" s="9">
        <f>IF(COUNTIFS(Datos!$A$2:$A$5000,H$1,Datos!$B$2:$B$5000,$A314,Datos!$C$2:$C$5000,$B314,Datos!$D$2:$D$5000,H$2)=0,"",SUMIFS(Datos!$E$2:$E$5000,Datos!$A$2:$A$5000,H$1,Datos!$B$2:$B$5000,$A314,Datos!$C$2:$C$5000,$B314,Datos!$D$2:$D$5000,H$2))</f>
        <v/>
      </c>
      <c r="I314" s="9">
        <f>IF(COUNTIFS(Datos!$A$2:$A$5000,I$1,Datos!$B$2:$B$5000,$A314,Datos!$C$2:$C$5000,$B314,Datos!$D$2:$D$5000,I$2)=0,"",SUMIFS(Datos!$E$2:$E$5000,Datos!$A$2:$A$5000,I$1,Datos!$B$2:$B$5000,$A314,Datos!$C$2:$C$5000,$B314,Datos!$D$2:$D$5000,I$2))</f>
        <v/>
      </c>
      <c r="J314" s="9">
        <f>IF(COUNTIFS(Datos!$A$2:$A$5000,J$1,Datos!$B$2:$B$5000,$A314,Datos!$C$2:$C$5000,$B314,Datos!$D$2:$D$5000,J$2)=0,"",SUMIFS(Datos!$E$2:$E$5000,Datos!$A$2:$A$5000,J$1,Datos!$B$2:$B$5000,$A314,Datos!$C$2:$C$5000,$B314,Datos!$D$2:$D$5000,J$2))</f>
        <v/>
      </c>
    </row>
    <row r="315">
      <c r="A315" s="8" t="inlineStr">
        <is>
          <t>Perú</t>
        </is>
      </c>
      <c r="B315" s="8" t="n">
        <v>2008</v>
      </c>
      <c r="C315" s="9">
        <f>IF(COUNTIFS(Datos!$A$2:$A$5000,C$1,Datos!$B$2:$B$5000,$A315,Datos!$C$2:$C$5000,$B315,Datos!$D$2:$D$5000,C$2)=0,"",SUMIFS(Datos!$E$2:$E$5000,Datos!$A$2:$A$5000,C$1,Datos!$B$2:$B$5000,$A315,Datos!$C$2:$C$5000,$B315,Datos!$D$2:$D$5000,C$2))</f>
        <v/>
      </c>
      <c r="D315" s="9">
        <f>IF(COUNTIFS(Datos!$A$2:$A$5000,D$1,Datos!$B$2:$B$5000,$A315,Datos!$C$2:$C$5000,$B315,Datos!$D$2:$D$5000,D$2)=0,"",SUMIFS(Datos!$E$2:$E$5000,Datos!$A$2:$A$5000,D$1,Datos!$B$2:$B$5000,$A315,Datos!$C$2:$C$5000,$B315,Datos!$D$2:$D$5000,D$2))</f>
        <v/>
      </c>
      <c r="E315" s="9">
        <f>IF(COUNTIFS(Datos!$A$2:$A$5000,E$1,Datos!$B$2:$B$5000,$A315,Datos!$C$2:$C$5000,$B315,Datos!$D$2:$D$5000,E$2)=0,"",SUMIFS(Datos!$E$2:$E$5000,Datos!$A$2:$A$5000,E$1,Datos!$B$2:$B$5000,$A315,Datos!$C$2:$C$5000,$B315,Datos!$D$2:$D$5000,E$2))</f>
        <v/>
      </c>
      <c r="F315" s="9">
        <f>IF(COUNTIFS(Datos!$A$2:$A$5000,F$1,Datos!$B$2:$B$5000,$A315,Datos!$C$2:$C$5000,$B315,Datos!$D$2:$D$5000,F$2)=0,"",SUMIFS(Datos!$E$2:$E$5000,Datos!$A$2:$A$5000,F$1,Datos!$B$2:$B$5000,$A315,Datos!$C$2:$C$5000,$B315,Datos!$D$2:$D$5000,F$2))</f>
        <v/>
      </c>
      <c r="G315" s="9">
        <f>IF(COUNTIFS(Datos!$A$2:$A$5000,G$1,Datos!$B$2:$B$5000,$A315,Datos!$C$2:$C$5000,$B315,Datos!$D$2:$D$5000,G$2)=0,"",SUMIFS(Datos!$E$2:$E$5000,Datos!$A$2:$A$5000,G$1,Datos!$B$2:$B$5000,$A315,Datos!$C$2:$C$5000,$B315,Datos!$D$2:$D$5000,G$2))</f>
        <v/>
      </c>
      <c r="H315" s="9">
        <f>IF(COUNTIFS(Datos!$A$2:$A$5000,H$1,Datos!$B$2:$B$5000,$A315,Datos!$C$2:$C$5000,$B315,Datos!$D$2:$D$5000,H$2)=0,"",SUMIFS(Datos!$E$2:$E$5000,Datos!$A$2:$A$5000,H$1,Datos!$B$2:$B$5000,$A315,Datos!$C$2:$C$5000,$B315,Datos!$D$2:$D$5000,H$2))</f>
        <v/>
      </c>
      <c r="I315" s="9">
        <f>IF(COUNTIFS(Datos!$A$2:$A$5000,I$1,Datos!$B$2:$B$5000,$A315,Datos!$C$2:$C$5000,$B315,Datos!$D$2:$D$5000,I$2)=0,"",SUMIFS(Datos!$E$2:$E$5000,Datos!$A$2:$A$5000,I$1,Datos!$B$2:$B$5000,$A315,Datos!$C$2:$C$5000,$B315,Datos!$D$2:$D$5000,I$2))</f>
        <v/>
      </c>
      <c r="J315" s="9">
        <f>IF(COUNTIFS(Datos!$A$2:$A$5000,J$1,Datos!$B$2:$B$5000,$A315,Datos!$C$2:$C$5000,$B315,Datos!$D$2:$D$5000,J$2)=0,"",SUMIFS(Datos!$E$2:$E$5000,Datos!$A$2:$A$5000,J$1,Datos!$B$2:$B$5000,$A315,Datos!$C$2:$C$5000,$B315,Datos!$D$2:$D$5000,J$2))</f>
        <v/>
      </c>
    </row>
    <row r="316">
      <c r="A316" s="8" t="inlineStr">
        <is>
          <t>Perú</t>
        </is>
      </c>
      <c r="B316" s="8" t="n">
        <v>2009</v>
      </c>
      <c r="C316" s="9">
        <f>IF(COUNTIFS(Datos!$A$2:$A$5000,C$1,Datos!$B$2:$B$5000,$A316,Datos!$C$2:$C$5000,$B316,Datos!$D$2:$D$5000,C$2)=0,"",SUMIFS(Datos!$E$2:$E$5000,Datos!$A$2:$A$5000,C$1,Datos!$B$2:$B$5000,$A316,Datos!$C$2:$C$5000,$B316,Datos!$D$2:$D$5000,C$2))</f>
        <v/>
      </c>
      <c r="D316" s="9">
        <f>IF(COUNTIFS(Datos!$A$2:$A$5000,D$1,Datos!$B$2:$B$5000,$A316,Datos!$C$2:$C$5000,$B316,Datos!$D$2:$D$5000,D$2)=0,"",SUMIFS(Datos!$E$2:$E$5000,Datos!$A$2:$A$5000,D$1,Datos!$B$2:$B$5000,$A316,Datos!$C$2:$C$5000,$B316,Datos!$D$2:$D$5000,D$2))</f>
        <v/>
      </c>
      <c r="E316" s="9">
        <f>IF(COUNTIFS(Datos!$A$2:$A$5000,E$1,Datos!$B$2:$B$5000,$A316,Datos!$C$2:$C$5000,$B316,Datos!$D$2:$D$5000,E$2)=0,"",SUMIFS(Datos!$E$2:$E$5000,Datos!$A$2:$A$5000,E$1,Datos!$B$2:$B$5000,$A316,Datos!$C$2:$C$5000,$B316,Datos!$D$2:$D$5000,E$2))</f>
        <v/>
      </c>
      <c r="F316" s="9">
        <f>IF(COUNTIFS(Datos!$A$2:$A$5000,F$1,Datos!$B$2:$B$5000,$A316,Datos!$C$2:$C$5000,$B316,Datos!$D$2:$D$5000,F$2)=0,"",SUMIFS(Datos!$E$2:$E$5000,Datos!$A$2:$A$5000,F$1,Datos!$B$2:$B$5000,$A316,Datos!$C$2:$C$5000,$B316,Datos!$D$2:$D$5000,F$2))</f>
        <v/>
      </c>
      <c r="G316" s="9">
        <f>IF(COUNTIFS(Datos!$A$2:$A$5000,G$1,Datos!$B$2:$B$5000,$A316,Datos!$C$2:$C$5000,$B316,Datos!$D$2:$D$5000,G$2)=0,"",SUMIFS(Datos!$E$2:$E$5000,Datos!$A$2:$A$5000,G$1,Datos!$B$2:$B$5000,$A316,Datos!$C$2:$C$5000,$B316,Datos!$D$2:$D$5000,G$2))</f>
        <v/>
      </c>
      <c r="H316" s="9">
        <f>IF(COUNTIFS(Datos!$A$2:$A$5000,H$1,Datos!$B$2:$B$5000,$A316,Datos!$C$2:$C$5000,$B316,Datos!$D$2:$D$5000,H$2)=0,"",SUMIFS(Datos!$E$2:$E$5000,Datos!$A$2:$A$5000,H$1,Datos!$B$2:$B$5000,$A316,Datos!$C$2:$C$5000,$B316,Datos!$D$2:$D$5000,H$2))</f>
        <v/>
      </c>
      <c r="I316" s="9">
        <f>IF(COUNTIFS(Datos!$A$2:$A$5000,I$1,Datos!$B$2:$B$5000,$A316,Datos!$C$2:$C$5000,$B316,Datos!$D$2:$D$5000,I$2)=0,"",SUMIFS(Datos!$E$2:$E$5000,Datos!$A$2:$A$5000,I$1,Datos!$B$2:$B$5000,$A316,Datos!$C$2:$C$5000,$B316,Datos!$D$2:$D$5000,I$2))</f>
        <v/>
      </c>
      <c r="J316" s="9">
        <f>IF(COUNTIFS(Datos!$A$2:$A$5000,J$1,Datos!$B$2:$B$5000,$A316,Datos!$C$2:$C$5000,$B316,Datos!$D$2:$D$5000,J$2)=0,"",SUMIFS(Datos!$E$2:$E$5000,Datos!$A$2:$A$5000,J$1,Datos!$B$2:$B$5000,$A316,Datos!$C$2:$C$5000,$B316,Datos!$D$2:$D$5000,J$2))</f>
        <v/>
      </c>
    </row>
    <row r="317">
      <c r="A317" s="8" t="inlineStr">
        <is>
          <t>Perú</t>
        </is>
      </c>
      <c r="B317" s="8" t="n">
        <v>2010</v>
      </c>
      <c r="C317" s="9">
        <f>IF(COUNTIFS(Datos!$A$2:$A$5000,C$1,Datos!$B$2:$B$5000,$A317,Datos!$C$2:$C$5000,$B317,Datos!$D$2:$D$5000,C$2)=0,"",SUMIFS(Datos!$E$2:$E$5000,Datos!$A$2:$A$5000,C$1,Datos!$B$2:$B$5000,$A317,Datos!$C$2:$C$5000,$B317,Datos!$D$2:$D$5000,C$2))</f>
        <v/>
      </c>
      <c r="D317" s="9">
        <f>IF(COUNTIFS(Datos!$A$2:$A$5000,D$1,Datos!$B$2:$B$5000,$A317,Datos!$C$2:$C$5000,$B317,Datos!$D$2:$D$5000,D$2)=0,"",SUMIFS(Datos!$E$2:$E$5000,Datos!$A$2:$A$5000,D$1,Datos!$B$2:$B$5000,$A317,Datos!$C$2:$C$5000,$B317,Datos!$D$2:$D$5000,D$2))</f>
        <v/>
      </c>
      <c r="E317" s="9">
        <f>IF(COUNTIFS(Datos!$A$2:$A$5000,E$1,Datos!$B$2:$B$5000,$A317,Datos!$C$2:$C$5000,$B317,Datos!$D$2:$D$5000,E$2)=0,"",SUMIFS(Datos!$E$2:$E$5000,Datos!$A$2:$A$5000,E$1,Datos!$B$2:$B$5000,$A317,Datos!$C$2:$C$5000,$B317,Datos!$D$2:$D$5000,E$2))</f>
        <v/>
      </c>
      <c r="F317" s="9">
        <f>IF(COUNTIFS(Datos!$A$2:$A$5000,F$1,Datos!$B$2:$B$5000,$A317,Datos!$C$2:$C$5000,$B317,Datos!$D$2:$D$5000,F$2)=0,"",SUMIFS(Datos!$E$2:$E$5000,Datos!$A$2:$A$5000,F$1,Datos!$B$2:$B$5000,$A317,Datos!$C$2:$C$5000,$B317,Datos!$D$2:$D$5000,F$2))</f>
        <v/>
      </c>
      <c r="G317" s="9">
        <f>IF(COUNTIFS(Datos!$A$2:$A$5000,G$1,Datos!$B$2:$B$5000,$A317,Datos!$C$2:$C$5000,$B317,Datos!$D$2:$D$5000,G$2)=0,"",SUMIFS(Datos!$E$2:$E$5000,Datos!$A$2:$A$5000,G$1,Datos!$B$2:$B$5000,$A317,Datos!$C$2:$C$5000,$B317,Datos!$D$2:$D$5000,G$2))</f>
        <v/>
      </c>
      <c r="H317" s="9">
        <f>IF(COUNTIFS(Datos!$A$2:$A$5000,H$1,Datos!$B$2:$B$5000,$A317,Datos!$C$2:$C$5000,$B317,Datos!$D$2:$D$5000,H$2)=0,"",SUMIFS(Datos!$E$2:$E$5000,Datos!$A$2:$A$5000,H$1,Datos!$B$2:$B$5000,$A317,Datos!$C$2:$C$5000,$B317,Datos!$D$2:$D$5000,H$2))</f>
        <v/>
      </c>
      <c r="I317" s="9">
        <f>IF(COUNTIFS(Datos!$A$2:$A$5000,I$1,Datos!$B$2:$B$5000,$A317,Datos!$C$2:$C$5000,$B317,Datos!$D$2:$D$5000,I$2)=0,"",SUMIFS(Datos!$E$2:$E$5000,Datos!$A$2:$A$5000,I$1,Datos!$B$2:$B$5000,$A317,Datos!$C$2:$C$5000,$B317,Datos!$D$2:$D$5000,I$2))</f>
        <v/>
      </c>
      <c r="J317" s="9">
        <f>IF(COUNTIFS(Datos!$A$2:$A$5000,J$1,Datos!$B$2:$B$5000,$A317,Datos!$C$2:$C$5000,$B317,Datos!$D$2:$D$5000,J$2)=0,"",SUMIFS(Datos!$E$2:$E$5000,Datos!$A$2:$A$5000,J$1,Datos!$B$2:$B$5000,$A317,Datos!$C$2:$C$5000,$B317,Datos!$D$2:$D$5000,J$2))</f>
        <v/>
      </c>
    </row>
    <row r="318">
      <c r="A318" s="8" t="inlineStr">
        <is>
          <t>Perú</t>
        </is>
      </c>
      <c r="B318" s="8" t="n">
        <v>2011</v>
      </c>
      <c r="C318" s="9">
        <f>IF(COUNTIFS(Datos!$A$2:$A$5000,C$1,Datos!$B$2:$B$5000,$A318,Datos!$C$2:$C$5000,$B318,Datos!$D$2:$D$5000,C$2)=0,"",SUMIFS(Datos!$E$2:$E$5000,Datos!$A$2:$A$5000,C$1,Datos!$B$2:$B$5000,$A318,Datos!$C$2:$C$5000,$B318,Datos!$D$2:$D$5000,C$2))</f>
        <v/>
      </c>
      <c r="D318" s="9">
        <f>IF(COUNTIFS(Datos!$A$2:$A$5000,D$1,Datos!$B$2:$B$5000,$A318,Datos!$C$2:$C$5000,$B318,Datos!$D$2:$D$5000,D$2)=0,"",SUMIFS(Datos!$E$2:$E$5000,Datos!$A$2:$A$5000,D$1,Datos!$B$2:$B$5000,$A318,Datos!$C$2:$C$5000,$B318,Datos!$D$2:$D$5000,D$2))</f>
        <v/>
      </c>
      <c r="E318" s="9">
        <f>IF(COUNTIFS(Datos!$A$2:$A$5000,E$1,Datos!$B$2:$B$5000,$A318,Datos!$C$2:$C$5000,$B318,Datos!$D$2:$D$5000,E$2)=0,"",SUMIFS(Datos!$E$2:$E$5000,Datos!$A$2:$A$5000,E$1,Datos!$B$2:$B$5000,$A318,Datos!$C$2:$C$5000,$B318,Datos!$D$2:$D$5000,E$2))</f>
        <v/>
      </c>
      <c r="F318" s="9">
        <f>IF(COUNTIFS(Datos!$A$2:$A$5000,F$1,Datos!$B$2:$B$5000,$A318,Datos!$C$2:$C$5000,$B318,Datos!$D$2:$D$5000,F$2)=0,"",SUMIFS(Datos!$E$2:$E$5000,Datos!$A$2:$A$5000,F$1,Datos!$B$2:$B$5000,$A318,Datos!$C$2:$C$5000,$B318,Datos!$D$2:$D$5000,F$2))</f>
        <v/>
      </c>
      <c r="G318" s="9">
        <f>IF(COUNTIFS(Datos!$A$2:$A$5000,G$1,Datos!$B$2:$B$5000,$A318,Datos!$C$2:$C$5000,$B318,Datos!$D$2:$D$5000,G$2)=0,"",SUMIFS(Datos!$E$2:$E$5000,Datos!$A$2:$A$5000,G$1,Datos!$B$2:$B$5000,$A318,Datos!$C$2:$C$5000,$B318,Datos!$D$2:$D$5000,G$2))</f>
        <v/>
      </c>
      <c r="H318" s="9">
        <f>IF(COUNTIFS(Datos!$A$2:$A$5000,H$1,Datos!$B$2:$B$5000,$A318,Datos!$C$2:$C$5000,$B318,Datos!$D$2:$D$5000,H$2)=0,"",SUMIFS(Datos!$E$2:$E$5000,Datos!$A$2:$A$5000,H$1,Datos!$B$2:$B$5000,$A318,Datos!$C$2:$C$5000,$B318,Datos!$D$2:$D$5000,H$2))</f>
        <v/>
      </c>
      <c r="I318" s="9">
        <f>IF(COUNTIFS(Datos!$A$2:$A$5000,I$1,Datos!$B$2:$B$5000,$A318,Datos!$C$2:$C$5000,$B318,Datos!$D$2:$D$5000,I$2)=0,"",SUMIFS(Datos!$E$2:$E$5000,Datos!$A$2:$A$5000,I$1,Datos!$B$2:$B$5000,$A318,Datos!$C$2:$C$5000,$B318,Datos!$D$2:$D$5000,I$2))</f>
        <v/>
      </c>
      <c r="J318" s="9">
        <f>IF(COUNTIFS(Datos!$A$2:$A$5000,J$1,Datos!$B$2:$B$5000,$A318,Datos!$C$2:$C$5000,$B318,Datos!$D$2:$D$5000,J$2)=0,"",SUMIFS(Datos!$E$2:$E$5000,Datos!$A$2:$A$5000,J$1,Datos!$B$2:$B$5000,$A318,Datos!$C$2:$C$5000,$B318,Datos!$D$2:$D$5000,J$2))</f>
        <v/>
      </c>
    </row>
    <row r="319">
      <c r="A319" s="8" t="inlineStr">
        <is>
          <t>Perú</t>
        </is>
      </c>
      <c r="B319" s="8" t="n">
        <v>2015</v>
      </c>
      <c r="C319" s="9">
        <f>IF(COUNTIFS(Datos!$A$2:$A$5000,C$1,Datos!$B$2:$B$5000,$A319,Datos!$C$2:$C$5000,$B319,Datos!$D$2:$D$5000,C$2)=0,"",SUMIFS(Datos!$E$2:$E$5000,Datos!$A$2:$A$5000,C$1,Datos!$B$2:$B$5000,$A319,Datos!$C$2:$C$5000,$B319,Datos!$D$2:$D$5000,C$2))</f>
        <v/>
      </c>
      <c r="D319" s="9">
        <f>IF(COUNTIFS(Datos!$A$2:$A$5000,D$1,Datos!$B$2:$B$5000,$A319,Datos!$C$2:$C$5000,$B319,Datos!$D$2:$D$5000,D$2)=0,"",SUMIFS(Datos!$E$2:$E$5000,Datos!$A$2:$A$5000,D$1,Datos!$B$2:$B$5000,$A319,Datos!$C$2:$C$5000,$B319,Datos!$D$2:$D$5000,D$2))</f>
        <v/>
      </c>
      <c r="E319" s="9">
        <f>IF(COUNTIFS(Datos!$A$2:$A$5000,E$1,Datos!$B$2:$B$5000,$A319,Datos!$C$2:$C$5000,$B319,Datos!$D$2:$D$5000,E$2)=0,"",SUMIFS(Datos!$E$2:$E$5000,Datos!$A$2:$A$5000,E$1,Datos!$B$2:$B$5000,$A319,Datos!$C$2:$C$5000,$B319,Datos!$D$2:$D$5000,E$2))</f>
        <v/>
      </c>
      <c r="F319" s="9">
        <f>IF(COUNTIFS(Datos!$A$2:$A$5000,F$1,Datos!$B$2:$B$5000,$A319,Datos!$C$2:$C$5000,$B319,Datos!$D$2:$D$5000,F$2)=0,"",SUMIFS(Datos!$E$2:$E$5000,Datos!$A$2:$A$5000,F$1,Datos!$B$2:$B$5000,$A319,Datos!$C$2:$C$5000,$B319,Datos!$D$2:$D$5000,F$2))</f>
        <v/>
      </c>
      <c r="G319" s="9">
        <f>IF(COUNTIFS(Datos!$A$2:$A$5000,G$1,Datos!$B$2:$B$5000,$A319,Datos!$C$2:$C$5000,$B319,Datos!$D$2:$D$5000,G$2)=0,"",SUMIFS(Datos!$E$2:$E$5000,Datos!$A$2:$A$5000,G$1,Datos!$B$2:$B$5000,$A319,Datos!$C$2:$C$5000,$B319,Datos!$D$2:$D$5000,G$2))</f>
        <v/>
      </c>
      <c r="H319" s="9">
        <f>IF(COUNTIFS(Datos!$A$2:$A$5000,H$1,Datos!$B$2:$B$5000,$A319,Datos!$C$2:$C$5000,$B319,Datos!$D$2:$D$5000,H$2)=0,"",SUMIFS(Datos!$E$2:$E$5000,Datos!$A$2:$A$5000,H$1,Datos!$B$2:$B$5000,$A319,Datos!$C$2:$C$5000,$B319,Datos!$D$2:$D$5000,H$2))</f>
        <v/>
      </c>
      <c r="I319" s="9">
        <f>IF(COUNTIFS(Datos!$A$2:$A$5000,I$1,Datos!$B$2:$B$5000,$A319,Datos!$C$2:$C$5000,$B319,Datos!$D$2:$D$5000,I$2)=0,"",SUMIFS(Datos!$E$2:$E$5000,Datos!$A$2:$A$5000,I$1,Datos!$B$2:$B$5000,$A319,Datos!$C$2:$C$5000,$B319,Datos!$D$2:$D$5000,I$2))</f>
        <v/>
      </c>
      <c r="J319" s="9">
        <f>IF(COUNTIFS(Datos!$A$2:$A$5000,J$1,Datos!$B$2:$B$5000,$A319,Datos!$C$2:$C$5000,$B319,Datos!$D$2:$D$5000,J$2)=0,"",SUMIFS(Datos!$E$2:$E$5000,Datos!$A$2:$A$5000,J$1,Datos!$B$2:$B$5000,$A319,Datos!$C$2:$C$5000,$B319,Datos!$D$2:$D$5000,J$2))</f>
        <v/>
      </c>
    </row>
    <row r="320">
      <c r="A320" s="8" t="inlineStr">
        <is>
          <t>Perú</t>
        </is>
      </c>
      <c r="B320" s="8" t="n">
        <v>2016</v>
      </c>
      <c r="C320" s="9">
        <f>IF(COUNTIFS(Datos!$A$2:$A$5000,C$1,Datos!$B$2:$B$5000,$A320,Datos!$C$2:$C$5000,$B320,Datos!$D$2:$D$5000,C$2)=0,"",SUMIFS(Datos!$E$2:$E$5000,Datos!$A$2:$A$5000,C$1,Datos!$B$2:$B$5000,$A320,Datos!$C$2:$C$5000,$B320,Datos!$D$2:$D$5000,C$2))</f>
        <v/>
      </c>
      <c r="D320" s="9">
        <f>IF(COUNTIFS(Datos!$A$2:$A$5000,D$1,Datos!$B$2:$B$5000,$A320,Datos!$C$2:$C$5000,$B320,Datos!$D$2:$D$5000,D$2)=0,"",SUMIFS(Datos!$E$2:$E$5000,Datos!$A$2:$A$5000,D$1,Datos!$B$2:$B$5000,$A320,Datos!$C$2:$C$5000,$B320,Datos!$D$2:$D$5000,D$2))</f>
        <v/>
      </c>
      <c r="E320" s="9">
        <f>IF(COUNTIFS(Datos!$A$2:$A$5000,E$1,Datos!$B$2:$B$5000,$A320,Datos!$C$2:$C$5000,$B320,Datos!$D$2:$D$5000,E$2)=0,"",SUMIFS(Datos!$E$2:$E$5000,Datos!$A$2:$A$5000,E$1,Datos!$B$2:$B$5000,$A320,Datos!$C$2:$C$5000,$B320,Datos!$D$2:$D$5000,E$2))</f>
        <v/>
      </c>
      <c r="F320" s="9">
        <f>IF(COUNTIFS(Datos!$A$2:$A$5000,F$1,Datos!$B$2:$B$5000,$A320,Datos!$C$2:$C$5000,$B320,Datos!$D$2:$D$5000,F$2)=0,"",SUMIFS(Datos!$E$2:$E$5000,Datos!$A$2:$A$5000,F$1,Datos!$B$2:$B$5000,$A320,Datos!$C$2:$C$5000,$B320,Datos!$D$2:$D$5000,F$2))</f>
        <v/>
      </c>
      <c r="G320" s="9">
        <f>IF(COUNTIFS(Datos!$A$2:$A$5000,G$1,Datos!$B$2:$B$5000,$A320,Datos!$C$2:$C$5000,$B320,Datos!$D$2:$D$5000,G$2)=0,"",SUMIFS(Datos!$E$2:$E$5000,Datos!$A$2:$A$5000,G$1,Datos!$B$2:$B$5000,$A320,Datos!$C$2:$C$5000,$B320,Datos!$D$2:$D$5000,G$2))</f>
        <v/>
      </c>
      <c r="H320" s="9">
        <f>IF(COUNTIFS(Datos!$A$2:$A$5000,H$1,Datos!$B$2:$B$5000,$A320,Datos!$C$2:$C$5000,$B320,Datos!$D$2:$D$5000,H$2)=0,"",SUMIFS(Datos!$E$2:$E$5000,Datos!$A$2:$A$5000,H$1,Datos!$B$2:$B$5000,$A320,Datos!$C$2:$C$5000,$B320,Datos!$D$2:$D$5000,H$2))</f>
        <v/>
      </c>
      <c r="I320" s="9">
        <f>IF(COUNTIFS(Datos!$A$2:$A$5000,I$1,Datos!$B$2:$B$5000,$A320,Datos!$C$2:$C$5000,$B320,Datos!$D$2:$D$5000,I$2)=0,"",SUMIFS(Datos!$E$2:$E$5000,Datos!$A$2:$A$5000,I$1,Datos!$B$2:$B$5000,$A320,Datos!$C$2:$C$5000,$B320,Datos!$D$2:$D$5000,I$2))</f>
        <v/>
      </c>
      <c r="J320" s="9">
        <f>IF(COUNTIFS(Datos!$A$2:$A$5000,J$1,Datos!$B$2:$B$5000,$A320,Datos!$C$2:$C$5000,$B320,Datos!$D$2:$D$5000,J$2)=0,"",SUMIFS(Datos!$E$2:$E$5000,Datos!$A$2:$A$5000,J$1,Datos!$B$2:$B$5000,$A320,Datos!$C$2:$C$5000,$B320,Datos!$D$2:$D$5000,J$2))</f>
        <v/>
      </c>
    </row>
    <row r="321">
      <c r="A321" s="8" t="inlineStr">
        <is>
          <t>Perú</t>
        </is>
      </c>
      <c r="B321" s="8" t="n">
        <v>2017</v>
      </c>
      <c r="C321" s="9">
        <f>IF(COUNTIFS(Datos!$A$2:$A$5000,C$1,Datos!$B$2:$B$5000,$A321,Datos!$C$2:$C$5000,$B321,Datos!$D$2:$D$5000,C$2)=0,"",SUMIFS(Datos!$E$2:$E$5000,Datos!$A$2:$A$5000,C$1,Datos!$B$2:$B$5000,$A321,Datos!$C$2:$C$5000,$B321,Datos!$D$2:$D$5000,C$2))</f>
        <v/>
      </c>
      <c r="D321" s="9">
        <f>IF(COUNTIFS(Datos!$A$2:$A$5000,D$1,Datos!$B$2:$B$5000,$A321,Datos!$C$2:$C$5000,$B321,Datos!$D$2:$D$5000,D$2)=0,"",SUMIFS(Datos!$E$2:$E$5000,Datos!$A$2:$A$5000,D$1,Datos!$B$2:$B$5000,$A321,Datos!$C$2:$C$5000,$B321,Datos!$D$2:$D$5000,D$2))</f>
        <v/>
      </c>
      <c r="E321" s="9">
        <f>IF(COUNTIFS(Datos!$A$2:$A$5000,E$1,Datos!$B$2:$B$5000,$A321,Datos!$C$2:$C$5000,$B321,Datos!$D$2:$D$5000,E$2)=0,"",SUMIFS(Datos!$E$2:$E$5000,Datos!$A$2:$A$5000,E$1,Datos!$B$2:$B$5000,$A321,Datos!$C$2:$C$5000,$B321,Datos!$D$2:$D$5000,E$2))</f>
        <v/>
      </c>
      <c r="F321" s="9">
        <f>IF(COUNTIFS(Datos!$A$2:$A$5000,F$1,Datos!$B$2:$B$5000,$A321,Datos!$C$2:$C$5000,$B321,Datos!$D$2:$D$5000,F$2)=0,"",SUMIFS(Datos!$E$2:$E$5000,Datos!$A$2:$A$5000,F$1,Datos!$B$2:$B$5000,$A321,Datos!$C$2:$C$5000,$B321,Datos!$D$2:$D$5000,F$2))</f>
        <v/>
      </c>
      <c r="G321" s="9">
        <f>IF(COUNTIFS(Datos!$A$2:$A$5000,G$1,Datos!$B$2:$B$5000,$A321,Datos!$C$2:$C$5000,$B321,Datos!$D$2:$D$5000,G$2)=0,"",SUMIFS(Datos!$E$2:$E$5000,Datos!$A$2:$A$5000,G$1,Datos!$B$2:$B$5000,$A321,Datos!$C$2:$C$5000,$B321,Datos!$D$2:$D$5000,G$2))</f>
        <v/>
      </c>
      <c r="H321" s="9">
        <f>IF(COUNTIFS(Datos!$A$2:$A$5000,H$1,Datos!$B$2:$B$5000,$A321,Datos!$C$2:$C$5000,$B321,Datos!$D$2:$D$5000,H$2)=0,"",SUMIFS(Datos!$E$2:$E$5000,Datos!$A$2:$A$5000,H$1,Datos!$B$2:$B$5000,$A321,Datos!$C$2:$C$5000,$B321,Datos!$D$2:$D$5000,H$2))</f>
        <v/>
      </c>
      <c r="I321" s="9">
        <f>IF(COUNTIFS(Datos!$A$2:$A$5000,I$1,Datos!$B$2:$B$5000,$A321,Datos!$C$2:$C$5000,$B321,Datos!$D$2:$D$5000,I$2)=0,"",SUMIFS(Datos!$E$2:$E$5000,Datos!$A$2:$A$5000,I$1,Datos!$B$2:$B$5000,$A321,Datos!$C$2:$C$5000,$B321,Datos!$D$2:$D$5000,I$2))</f>
        <v/>
      </c>
      <c r="J321" s="9">
        <f>IF(COUNTIFS(Datos!$A$2:$A$5000,J$1,Datos!$B$2:$B$5000,$A321,Datos!$C$2:$C$5000,$B321,Datos!$D$2:$D$5000,J$2)=0,"",SUMIFS(Datos!$E$2:$E$5000,Datos!$A$2:$A$5000,J$1,Datos!$B$2:$B$5000,$A321,Datos!$C$2:$C$5000,$B321,Datos!$D$2:$D$5000,J$2))</f>
        <v/>
      </c>
    </row>
    <row r="322">
      <c r="A322" s="8" t="inlineStr">
        <is>
          <t>Perú</t>
        </is>
      </c>
      <c r="B322" s="8" t="n">
        <v>2018</v>
      </c>
      <c r="C322" s="9">
        <f>IF(COUNTIFS(Datos!$A$2:$A$5000,C$1,Datos!$B$2:$B$5000,$A322,Datos!$C$2:$C$5000,$B322,Datos!$D$2:$D$5000,C$2)=0,"",SUMIFS(Datos!$E$2:$E$5000,Datos!$A$2:$A$5000,C$1,Datos!$B$2:$B$5000,$A322,Datos!$C$2:$C$5000,$B322,Datos!$D$2:$D$5000,C$2))</f>
        <v/>
      </c>
      <c r="D322" s="9">
        <f>IF(COUNTIFS(Datos!$A$2:$A$5000,D$1,Datos!$B$2:$B$5000,$A322,Datos!$C$2:$C$5000,$B322,Datos!$D$2:$D$5000,D$2)=0,"",SUMIFS(Datos!$E$2:$E$5000,Datos!$A$2:$A$5000,D$1,Datos!$B$2:$B$5000,$A322,Datos!$C$2:$C$5000,$B322,Datos!$D$2:$D$5000,D$2))</f>
        <v/>
      </c>
      <c r="E322" s="9">
        <f>IF(COUNTIFS(Datos!$A$2:$A$5000,E$1,Datos!$B$2:$B$5000,$A322,Datos!$C$2:$C$5000,$B322,Datos!$D$2:$D$5000,E$2)=0,"",SUMIFS(Datos!$E$2:$E$5000,Datos!$A$2:$A$5000,E$1,Datos!$B$2:$B$5000,$A322,Datos!$C$2:$C$5000,$B322,Datos!$D$2:$D$5000,E$2))</f>
        <v/>
      </c>
      <c r="F322" s="9">
        <f>IF(COUNTIFS(Datos!$A$2:$A$5000,F$1,Datos!$B$2:$B$5000,$A322,Datos!$C$2:$C$5000,$B322,Datos!$D$2:$D$5000,F$2)=0,"",SUMIFS(Datos!$E$2:$E$5000,Datos!$A$2:$A$5000,F$1,Datos!$B$2:$B$5000,$A322,Datos!$C$2:$C$5000,$B322,Datos!$D$2:$D$5000,F$2))</f>
        <v/>
      </c>
      <c r="G322" s="9">
        <f>IF(COUNTIFS(Datos!$A$2:$A$5000,G$1,Datos!$B$2:$B$5000,$A322,Datos!$C$2:$C$5000,$B322,Datos!$D$2:$D$5000,G$2)=0,"",SUMIFS(Datos!$E$2:$E$5000,Datos!$A$2:$A$5000,G$1,Datos!$B$2:$B$5000,$A322,Datos!$C$2:$C$5000,$B322,Datos!$D$2:$D$5000,G$2))</f>
        <v/>
      </c>
      <c r="H322" s="9">
        <f>IF(COUNTIFS(Datos!$A$2:$A$5000,H$1,Datos!$B$2:$B$5000,$A322,Datos!$C$2:$C$5000,$B322,Datos!$D$2:$D$5000,H$2)=0,"",SUMIFS(Datos!$E$2:$E$5000,Datos!$A$2:$A$5000,H$1,Datos!$B$2:$B$5000,$A322,Datos!$C$2:$C$5000,$B322,Datos!$D$2:$D$5000,H$2))</f>
        <v/>
      </c>
      <c r="I322" s="9">
        <f>IF(COUNTIFS(Datos!$A$2:$A$5000,I$1,Datos!$B$2:$B$5000,$A322,Datos!$C$2:$C$5000,$B322,Datos!$D$2:$D$5000,I$2)=0,"",SUMIFS(Datos!$E$2:$E$5000,Datos!$A$2:$A$5000,I$1,Datos!$B$2:$B$5000,$A322,Datos!$C$2:$C$5000,$B322,Datos!$D$2:$D$5000,I$2))</f>
        <v/>
      </c>
      <c r="J322" s="9">
        <f>IF(COUNTIFS(Datos!$A$2:$A$5000,J$1,Datos!$B$2:$B$5000,$A322,Datos!$C$2:$C$5000,$B322,Datos!$D$2:$D$5000,J$2)=0,"",SUMIFS(Datos!$E$2:$E$5000,Datos!$A$2:$A$5000,J$1,Datos!$B$2:$B$5000,$A322,Datos!$C$2:$C$5000,$B322,Datos!$D$2:$D$5000,J$2))</f>
        <v/>
      </c>
    </row>
    <row r="323">
      <c r="A323" s="8" t="inlineStr">
        <is>
          <t>Perú</t>
        </is>
      </c>
      <c r="B323" s="8" t="n">
        <v>2020</v>
      </c>
      <c r="C323" s="9">
        <f>IF(COUNTIFS(Datos!$A$2:$A$5000,C$1,Datos!$B$2:$B$5000,$A323,Datos!$C$2:$C$5000,$B323,Datos!$D$2:$D$5000,C$2)=0,"",SUMIFS(Datos!$E$2:$E$5000,Datos!$A$2:$A$5000,C$1,Datos!$B$2:$B$5000,$A323,Datos!$C$2:$C$5000,$B323,Datos!$D$2:$D$5000,C$2))</f>
        <v/>
      </c>
      <c r="D323" s="9">
        <f>IF(COUNTIFS(Datos!$A$2:$A$5000,D$1,Datos!$B$2:$B$5000,$A323,Datos!$C$2:$C$5000,$B323,Datos!$D$2:$D$5000,D$2)=0,"",SUMIFS(Datos!$E$2:$E$5000,Datos!$A$2:$A$5000,D$1,Datos!$B$2:$B$5000,$A323,Datos!$C$2:$C$5000,$B323,Datos!$D$2:$D$5000,D$2))</f>
        <v/>
      </c>
      <c r="E323" s="9">
        <f>IF(COUNTIFS(Datos!$A$2:$A$5000,E$1,Datos!$B$2:$B$5000,$A323,Datos!$C$2:$C$5000,$B323,Datos!$D$2:$D$5000,E$2)=0,"",SUMIFS(Datos!$E$2:$E$5000,Datos!$A$2:$A$5000,E$1,Datos!$B$2:$B$5000,$A323,Datos!$C$2:$C$5000,$B323,Datos!$D$2:$D$5000,E$2))</f>
        <v/>
      </c>
      <c r="F323" s="9">
        <f>IF(COUNTIFS(Datos!$A$2:$A$5000,F$1,Datos!$B$2:$B$5000,$A323,Datos!$C$2:$C$5000,$B323,Datos!$D$2:$D$5000,F$2)=0,"",SUMIFS(Datos!$E$2:$E$5000,Datos!$A$2:$A$5000,F$1,Datos!$B$2:$B$5000,$A323,Datos!$C$2:$C$5000,$B323,Datos!$D$2:$D$5000,F$2))</f>
        <v/>
      </c>
      <c r="G323" s="9">
        <f>IF(COUNTIFS(Datos!$A$2:$A$5000,G$1,Datos!$B$2:$B$5000,$A323,Datos!$C$2:$C$5000,$B323,Datos!$D$2:$D$5000,G$2)=0,"",SUMIFS(Datos!$E$2:$E$5000,Datos!$A$2:$A$5000,G$1,Datos!$B$2:$B$5000,$A323,Datos!$C$2:$C$5000,$B323,Datos!$D$2:$D$5000,G$2))</f>
        <v/>
      </c>
      <c r="H323" s="9">
        <f>IF(COUNTIFS(Datos!$A$2:$A$5000,H$1,Datos!$B$2:$B$5000,$A323,Datos!$C$2:$C$5000,$B323,Datos!$D$2:$D$5000,H$2)=0,"",SUMIFS(Datos!$E$2:$E$5000,Datos!$A$2:$A$5000,H$1,Datos!$B$2:$B$5000,$A323,Datos!$C$2:$C$5000,$B323,Datos!$D$2:$D$5000,H$2))</f>
        <v/>
      </c>
      <c r="I323" s="9">
        <f>IF(COUNTIFS(Datos!$A$2:$A$5000,I$1,Datos!$B$2:$B$5000,$A323,Datos!$C$2:$C$5000,$B323,Datos!$D$2:$D$5000,I$2)=0,"",SUMIFS(Datos!$E$2:$E$5000,Datos!$A$2:$A$5000,I$1,Datos!$B$2:$B$5000,$A323,Datos!$C$2:$C$5000,$B323,Datos!$D$2:$D$5000,I$2))</f>
        <v/>
      </c>
      <c r="J323" s="9">
        <f>IF(COUNTIFS(Datos!$A$2:$A$5000,J$1,Datos!$B$2:$B$5000,$A323,Datos!$C$2:$C$5000,$B323,Datos!$D$2:$D$5000,J$2)=0,"",SUMIFS(Datos!$E$2:$E$5000,Datos!$A$2:$A$5000,J$1,Datos!$B$2:$B$5000,$A323,Datos!$C$2:$C$5000,$B323,Datos!$D$2:$D$5000,J$2))</f>
        <v/>
      </c>
    </row>
    <row r="324">
      <c r="A324" s="8" t="inlineStr">
        <is>
          <t>Perú</t>
        </is>
      </c>
      <c r="B324" s="8" t="n">
        <v>2024</v>
      </c>
      <c r="C324" s="9">
        <f>IF(COUNTIFS(Datos!$A$2:$A$5000,C$1,Datos!$B$2:$B$5000,$A324,Datos!$C$2:$C$5000,$B324,Datos!$D$2:$D$5000,C$2)=0,"",SUMIFS(Datos!$E$2:$E$5000,Datos!$A$2:$A$5000,C$1,Datos!$B$2:$B$5000,$A324,Datos!$C$2:$C$5000,$B324,Datos!$D$2:$D$5000,C$2))</f>
        <v/>
      </c>
      <c r="D324" s="9">
        <f>IF(COUNTIFS(Datos!$A$2:$A$5000,D$1,Datos!$B$2:$B$5000,$A324,Datos!$C$2:$C$5000,$B324,Datos!$D$2:$D$5000,D$2)=0,"",SUMIFS(Datos!$E$2:$E$5000,Datos!$A$2:$A$5000,D$1,Datos!$B$2:$B$5000,$A324,Datos!$C$2:$C$5000,$B324,Datos!$D$2:$D$5000,D$2))</f>
        <v/>
      </c>
      <c r="E324" s="9">
        <f>IF(COUNTIFS(Datos!$A$2:$A$5000,E$1,Datos!$B$2:$B$5000,$A324,Datos!$C$2:$C$5000,$B324,Datos!$D$2:$D$5000,E$2)=0,"",SUMIFS(Datos!$E$2:$E$5000,Datos!$A$2:$A$5000,E$1,Datos!$B$2:$B$5000,$A324,Datos!$C$2:$C$5000,$B324,Datos!$D$2:$D$5000,E$2))</f>
        <v/>
      </c>
      <c r="F324" s="9">
        <f>IF(COUNTIFS(Datos!$A$2:$A$5000,F$1,Datos!$B$2:$B$5000,$A324,Datos!$C$2:$C$5000,$B324,Datos!$D$2:$D$5000,F$2)=0,"",SUMIFS(Datos!$E$2:$E$5000,Datos!$A$2:$A$5000,F$1,Datos!$B$2:$B$5000,$A324,Datos!$C$2:$C$5000,$B324,Datos!$D$2:$D$5000,F$2))</f>
        <v/>
      </c>
      <c r="G324" s="9">
        <f>IF(COUNTIFS(Datos!$A$2:$A$5000,G$1,Datos!$B$2:$B$5000,$A324,Datos!$C$2:$C$5000,$B324,Datos!$D$2:$D$5000,G$2)=0,"",SUMIFS(Datos!$E$2:$E$5000,Datos!$A$2:$A$5000,G$1,Datos!$B$2:$B$5000,$A324,Datos!$C$2:$C$5000,$B324,Datos!$D$2:$D$5000,G$2))</f>
        <v/>
      </c>
      <c r="H324" s="9">
        <f>IF(COUNTIFS(Datos!$A$2:$A$5000,H$1,Datos!$B$2:$B$5000,$A324,Datos!$C$2:$C$5000,$B324,Datos!$D$2:$D$5000,H$2)=0,"",SUMIFS(Datos!$E$2:$E$5000,Datos!$A$2:$A$5000,H$1,Datos!$B$2:$B$5000,$A324,Datos!$C$2:$C$5000,$B324,Datos!$D$2:$D$5000,H$2))</f>
        <v/>
      </c>
      <c r="I324" s="9">
        <f>IF(COUNTIFS(Datos!$A$2:$A$5000,I$1,Datos!$B$2:$B$5000,$A324,Datos!$C$2:$C$5000,$B324,Datos!$D$2:$D$5000,I$2)=0,"",SUMIFS(Datos!$E$2:$E$5000,Datos!$A$2:$A$5000,I$1,Datos!$B$2:$B$5000,$A324,Datos!$C$2:$C$5000,$B324,Datos!$D$2:$D$5000,I$2))</f>
        <v/>
      </c>
      <c r="J324" s="9">
        <f>IF(COUNTIFS(Datos!$A$2:$A$5000,J$1,Datos!$B$2:$B$5000,$A324,Datos!$C$2:$C$5000,$B324,Datos!$D$2:$D$5000,J$2)=0,"",SUMIFS(Datos!$E$2:$E$5000,Datos!$A$2:$A$5000,J$1,Datos!$B$2:$B$5000,$A324,Datos!$C$2:$C$5000,$B324,Datos!$D$2:$D$5000,J$2))</f>
        <v/>
      </c>
    </row>
    <row r="325">
      <c r="A325" s="8" t="inlineStr">
        <is>
          <t>España</t>
        </is>
      </c>
      <c r="B325" s="8" t="n">
        <v>1996</v>
      </c>
      <c r="C325" s="9">
        <f>IF(COUNTIFS(Datos!$A$2:$A$5000,C$1,Datos!$B$2:$B$5000,$A325,Datos!$C$2:$C$5000,$B325,Datos!$D$2:$D$5000,C$2)=0,"",SUMIFS(Datos!$E$2:$E$5000,Datos!$A$2:$A$5000,C$1,Datos!$B$2:$B$5000,$A325,Datos!$C$2:$C$5000,$B325,Datos!$D$2:$D$5000,C$2))</f>
        <v/>
      </c>
      <c r="D325" s="9">
        <f>IF(COUNTIFS(Datos!$A$2:$A$5000,D$1,Datos!$B$2:$B$5000,$A325,Datos!$C$2:$C$5000,$B325,Datos!$D$2:$D$5000,D$2)=0,"",SUMIFS(Datos!$E$2:$E$5000,Datos!$A$2:$A$5000,D$1,Datos!$B$2:$B$5000,$A325,Datos!$C$2:$C$5000,$B325,Datos!$D$2:$D$5000,D$2))</f>
        <v/>
      </c>
      <c r="E325" s="9">
        <f>IF(COUNTIFS(Datos!$A$2:$A$5000,E$1,Datos!$B$2:$B$5000,$A325,Datos!$C$2:$C$5000,$B325,Datos!$D$2:$D$5000,E$2)=0,"",SUMIFS(Datos!$E$2:$E$5000,Datos!$A$2:$A$5000,E$1,Datos!$B$2:$B$5000,$A325,Datos!$C$2:$C$5000,$B325,Datos!$D$2:$D$5000,E$2))</f>
        <v/>
      </c>
      <c r="F325" s="9">
        <f>IF(COUNTIFS(Datos!$A$2:$A$5000,F$1,Datos!$B$2:$B$5000,$A325,Datos!$C$2:$C$5000,$B325,Datos!$D$2:$D$5000,F$2)=0,"",SUMIFS(Datos!$E$2:$E$5000,Datos!$A$2:$A$5000,F$1,Datos!$B$2:$B$5000,$A325,Datos!$C$2:$C$5000,$B325,Datos!$D$2:$D$5000,F$2))</f>
        <v/>
      </c>
      <c r="G325" s="9">
        <f>IF(COUNTIFS(Datos!$A$2:$A$5000,G$1,Datos!$B$2:$B$5000,$A325,Datos!$C$2:$C$5000,$B325,Datos!$D$2:$D$5000,G$2)=0,"",SUMIFS(Datos!$E$2:$E$5000,Datos!$A$2:$A$5000,G$1,Datos!$B$2:$B$5000,$A325,Datos!$C$2:$C$5000,$B325,Datos!$D$2:$D$5000,G$2))</f>
        <v/>
      </c>
      <c r="H325" s="9">
        <f>IF(COUNTIFS(Datos!$A$2:$A$5000,H$1,Datos!$B$2:$B$5000,$A325,Datos!$C$2:$C$5000,$B325,Datos!$D$2:$D$5000,H$2)=0,"",SUMIFS(Datos!$E$2:$E$5000,Datos!$A$2:$A$5000,H$1,Datos!$B$2:$B$5000,$A325,Datos!$C$2:$C$5000,$B325,Datos!$D$2:$D$5000,H$2))</f>
        <v/>
      </c>
      <c r="I325" s="9">
        <f>IF(COUNTIFS(Datos!$A$2:$A$5000,I$1,Datos!$B$2:$B$5000,$A325,Datos!$C$2:$C$5000,$B325,Datos!$D$2:$D$5000,I$2)=0,"",SUMIFS(Datos!$E$2:$E$5000,Datos!$A$2:$A$5000,I$1,Datos!$B$2:$B$5000,$A325,Datos!$C$2:$C$5000,$B325,Datos!$D$2:$D$5000,I$2))</f>
        <v/>
      </c>
      <c r="J325" s="9">
        <f>IF(COUNTIFS(Datos!$A$2:$A$5000,J$1,Datos!$B$2:$B$5000,$A325,Datos!$C$2:$C$5000,$B325,Datos!$D$2:$D$5000,J$2)=0,"",SUMIFS(Datos!$E$2:$E$5000,Datos!$A$2:$A$5000,J$1,Datos!$B$2:$B$5000,$A325,Datos!$C$2:$C$5000,$B325,Datos!$D$2:$D$5000,J$2))</f>
        <v/>
      </c>
    </row>
    <row r="326">
      <c r="A326" s="8" t="inlineStr">
        <is>
          <t>España</t>
        </is>
      </c>
      <c r="B326" s="8" t="n">
        <v>1997</v>
      </c>
      <c r="C326" s="9">
        <f>IF(COUNTIFS(Datos!$A$2:$A$5000,C$1,Datos!$B$2:$B$5000,$A326,Datos!$C$2:$C$5000,$B326,Datos!$D$2:$D$5000,C$2)=0,"",SUMIFS(Datos!$E$2:$E$5000,Datos!$A$2:$A$5000,C$1,Datos!$B$2:$B$5000,$A326,Datos!$C$2:$C$5000,$B326,Datos!$D$2:$D$5000,C$2))</f>
        <v/>
      </c>
      <c r="D326" s="9">
        <f>IF(COUNTIFS(Datos!$A$2:$A$5000,D$1,Datos!$B$2:$B$5000,$A326,Datos!$C$2:$C$5000,$B326,Datos!$D$2:$D$5000,D$2)=0,"",SUMIFS(Datos!$E$2:$E$5000,Datos!$A$2:$A$5000,D$1,Datos!$B$2:$B$5000,$A326,Datos!$C$2:$C$5000,$B326,Datos!$D$2:$D$5000,D$2))</f>
        <v/>
      </c>
      <c r="E326" s="9">
        <f>IF(COUNTIFS(Datos!$A$2:$A$5000,E$1,Datos!$B$2:$B$5000,$A326,Datos!$C$2:$C$5000,$B326,Datos!$D$2:$D$5000,E$2)=0,"",SUMIFS(Datos!$E$2:$E$5000,Datos!$A$2:$A$5000,E$1,Datos!$B$2:$B$5000,$A326,Datos!$C$2:$C$5000,$B326,Datos!$D$2:$D$5000,E$2))</f>
        <v/>
      </c>
      <c r="F326" s="9">
        <f>IF(COUNTIFS(Datos!$A$2:$A$5000,F$1,Datos!$B$2:$B$5000,$A326,Datos!$C$2:$C$5000,$B326,Datos!$D$2:$D$5000,F$2)=0,"",SUMIFS(Datos!$E$2:$E$5000,Datos!$A$2:$A$5000,F$1,Datos!$B$2:$B$5000,$A326,Datos!$C$2:$C$5000,$B326,Datos!$D$2:$D$5000,F$2))</f>
        <v/>
      </c>
      <c r="G326" s="9">
        <f>IF(COUNTIFS(Datos!$A$2:$A$5000,G$1,Datos!$B$2:$B$5000,$A326,Datos!$C$2:$C$5000,$B326,Datos!$D$2:$D$5000,G$2)=0,"",SUMIFS(Datos!$E$2:$E$5000,Datos!$A$2:$A$5000,G$1,Datos!$B$2:$B$5000,$A326,Datos!$C$2:$C$5000,$B326,Datos!$D$2:$D$5000,G$2))</f>
        <v/>
      </c>
      <c r="H326" s="9">
        <f>IF(COUNTIFS(Datos!$A$2:$A$5000,H$1,Datos!$B$2:$B$5000,$A326,Datos!$C$2:$C$5000,$B326,Datos!$D$2:$D$5000,H$2)=0,"",SUMIFS(Datos!$E$2:$E$5000,Datos!$A$2:$A$5000,H$1,Datos!$B$2:$B$5000,$A326,Datos!$C$2:$C$5000,$B326,Datos!$D$2:$D$5000,H$2))</f>
        <v/>
      </c>
      <c r="I326" s="9">
        <f>IF(COUNTIFS(Datos!$A$2:$A$5000,I$1,Datos!$B$2:$B$5000,$A326,Datos!$C$2:$C$5000,$B326,Datos!$D$2:$D$5000,I$2)=0,"",SUMIFS(Datos!$E$2:$E$5000,Datos!$A$2:$A$5000,I$1,Datos!$B$2:$B$5000,$A326,Datos!$C$2:$C$5000,$B326,Datos!$D$2:$D$5000,I$2))</f>
        <v/>
      </c>
      <c r="J326" s="9">
        <f>IF(COUNTIFS(Datos!$A$2:$A$5000,J$1,Datos!$B$2:$B$5000,$A326,Datos!$C$2:$C$5000,$B326,Datos!$D$2:$D$5000,J$2)=0,"",SUMIFS(Datos!$E$2:$E$5000,Datos!$A$2:$A$5000,J$1,Datos!$B$2:$B$5000,$A326,Datos!$C$2:$C$5000,$B326,Datos!$D$2:$D$5000,J$2))</f>
        <v/>
      </c>
    </row>
    <row r="327">
      <c r="A327" s="8" t="inlineStr">
        <is>
          <t>España</t>
        </is>
      </c>
      <c r="B327" s="8" t="n">
        <v>1998</v>
      </c>
      <c r="C327" s="9">
        <f>IF(COUNTIFS(Datos!$A$2:$A$5000,C$1,Datos!$B$2:$B$5000,$A327,Datos!$C$2:$C$5000,$B327,Datos!$D$2:$D$5000,C$2)=0,"",SUMIFS(Datos!$E$2:$E$5000,Datos!$A$2:$A$5000,C$1,Datos!$B$2:$B$5000,$A327,Datos!$C$2:$C$5000,$B327,Datos!$D$2:$D$5000,C$2))</f>
        <v/>
      </c>
      <c r="D327" s="9">
        <f>IF(COUNTIFS(Datos!$A$2:$A$5000,D$1,Datos!$B$2:$B$5000,$A327,Datos!$C$2:$C$5000,$B327,Datos!$D$2:$D$5000,D$2)=0,"",SUMIFS(Datos!$E$2:$E$5000,Datos!$A$2:$A$5000,D$1,Datos!$B$2:$B$5000,$A327,Datos!$C$2:$C$5000,$B327,Datos!$D$2:$D$5000,D$2))</f>
        <v/>
      </c>
      <c r="E327" s="9">
        <f>IF(COUNTIFS(Datos!$A$2:$A$5000,E$1,Datos!$B$2:$B$5000,$A327,Datos!$C$2:$C$5000,$B327,Datos!$D$2:$D$5000,E$2)=0,"",SUMIFS(Datos!$E$2:$E$5000,Datos!$A$2:$A$5000,E$1,Datos!$B$2:$B$5000,$A327,Datos!$C$2:$C$5000,$B327,Datos!$D$2:$D$5000,E$2))</f>
        <v/>
      </c>
      <c r="F327" s="9">
        <f>IF(COUNTIFS(Datos!$A$2:$A$5000,F$1,Datos!$B$2:$B$5000,$A327,Datos!$C$2:$C$5000,$B327,Datos!$D$2:$D$5000,F$2)=0,"",SUMIFS(Datos!$E$2:$E$5000,Datos!$A$2:$A$5000,F$1,Datos!$B$2:$B$5000,$A327,Datos!$C$2:$C$5000,$B327,Datos!$D$2:$D$5000,F$2))</f>
        <v/>
      </c>
      <c r="G327" s="9">
        <f>IF(COUNTIFS(Datos!$A$2:$A$5000,G$1,Datos!$B$2:$B$5000,$A327,Datos!$C$2:$C$5000,$B327,Datos!$D$2:$D$5000,G$2)=0,"",SUMIFS(Datos!$E$2:$E$5000,Datos!$A$2:$A$5000,G$1,Datos!$B$2:$B$5000,$A327,Datos!$C$2:$C$5000,$B327,Datos!$D$2:$D$5000,G$2))</f>
        <v/>
      </c>
      <c r="H327" s="9">
        <f>IF(COUNTIFS(Datos!$A$2:$A$5000,H$1,Datos!$B$2:$B$5000,$A327,Datos!$C$2:$C$5000,$B327,Datos!$D$2:$D$5000,H$2)=0,"",SUMIFS(Datos!$E$2:$E$5000,Datos!$A$2:$A$5000,H$1,Datos!$B$2:$B$5000,$A327,Datos!$C$2:$C$5000,$B327,Datos!$D$2:$D$5000,H$2))</f>
        <v/>
      </c>
      <c r="I327" s="9">
        <f>IF(COUNTIFS(Datos!$A$2:$A$5000,I$1,Datos!$B$2:$B$5000,$A327,Datos!$C$2:$C$5000,$B327,Datos!$D$2:$D$5000,I$2)=0,"",SUMIFS(Datos!$E$2:$E$5000,Datos!$A$2:$A$5000,I$1,Datos!$B$2:$B$5000,$A327,Datos!$C$2:$C$5000,$B327,Datos!$D$2:$D$5000,I$2))</f>
        <v/>
      </c>
      <c r="J327" s="9">
        <f>IF(COUNTIFS(Datos!$A$2:$A$5000,J$1,Datos!$B$2:$B$5000,$A327,Datos!$C$2:$C$5000,$B327,Datos!$D$2:$D$5000,J$2)=0,"",SUMIFS(Datos!$E$2:$E$5000,Datos!$A$2:$A$5000,J$1,Datos!$B$2:$B$5000,$A327,Datos!$C$2:$C$5000,$B327,Datos!$D$2:$D$5000,J$2))</f>
        <v/>
      </c>
    </row>
    <row r="328">
      <c r="A328" s="8" t="inlineStr">
        <is>
          <t>España</t>
        </is>
      </c>
      <c r="B328" s="8" t="n">
        <v>2001</v>
      </c>
      <c r="C328" s="9">
        <f>IF(COUNTIFS(Datos!$A$2:$A$5000,C$1,Datos!$B$2:$B$5000,$A328,Datos!$C$2:$C$5000,$B328,Datos!$D$2:$D$5000,C$2)=0,"",SUMIFS(Datos!$E$2:$E$5000,Datos!$A$2:$A$5000,C$1,Datos!$B$2:$B$5000,$A328,Datos!$C$2:$C$5000,$B328,Datos!$D$2:$D$5000,C$2))</f>
        <v/>
      </c>
      <c r="D328" s="9">
        <f>IF(COUNTIFS(Datos!$A$2:$A$5000,D$1,Datos!$B$2:$B$5000,$A328,Datos!$C$2:$C$5000,$B328,Datos!$D$2:$D$5000,D$2)=0,"",SUMIFS(Datos!$E$2:$E$5000,Datos!$A$2:$A$5000,D$1,Datos!$B$2:$B$5000,$A328,Datos!$C$2:$C$5000,$B328,Datos!$D$2:$D$5000,D$2))</f>
        <v/>
      </c>
      <c r="E328" s="9">
        <f>IF(COUNTIFS(Datos!$A$2:$A$5000,E$1,Datos!$B$2:$B$5000,$A328,Datos!$C$2:$C$5000,$B328,Datos!$D$2:$D$5000,E$2)=0,"",SUMIFS(Datos!$E$2:$E$5000,Datos!$A$2:$A$5000,E$1,Datos!$B$2:$B$5000,$A328,Datos!$C$2:$C$5000,$B328,Datos!$D$2:$D$5000,E$2))</f>
        <v/>
      </c>
      <c r="F328" s="9">
        <f>IF(COUNTIFS(Datos!$A$2:$A$5000,F$1,Datos!$B$2:$B$5000,$A328,Datos!$C$2:$C$5000,$B328,Datos!$D$2:$D$5000,F$2)=0,"",SUMIFS(Datos!$E$2:$E$5000,Datos!$A$2:$A$5000,F$1,Datos!$B$2:$B$5000,$A328,Datos!$C$2:$C$5000,$B328,Datos!$D$2:$D$5000,F$2))</f>
        <v/>
      </c>
      <c r="G328" s="9">
        <f>IF(COUNTIFS(Datos!$A$2:$A$5000,G$1,Datos!$B$2:$B$5000,$A328,Datos!$C$2:$C$5000,$B328,Datos!$D$2:$D$5000,G$2)=0,"",SUMIFS(Datos!$E$2:$E$5000,Datos!$A$2:$A$5000,G$1,Datos!$B$2:$B$5000,$A328,Datos!$C$2:$C$5000,$B328,Datos!$D$2:$D$5000,G$2))</f>
        <v/>
      </c>
      <c r="H328" s="9">
        <f>IF(COUNTIFS(Datos!$A$2:$A$5000,H$1,Datos!$B$2:$B$5000,$A328,Datos!$C$2:$C$5000,$B328,Datos!$D$2:$D$5000,H$2)=0,"",SUMIFS(Datos!$E$2:$E$5000,Datos!$A$2:$A$5000,H$1,Datos!$B$2:$B$5000,$A328,Datos!$C$2:$C$5000,$B328,Datos!$D$2:$D$5000,H$2))</f>
        <v/>
      </c>
      <c r="I328" s="9">
        <f>IF(COUNTIFS(Datos!$A$2:$A$5000,I$1,Datos!$B$2:$B$5000,$A328,Datos!$C$2:$C$5000,$B328,Datos!$D$2:$D$5000,I$2)=0,"",SUMIFS(Datos!$E$2:$E$5000,Datos!$A$2:$A$5000,I$1,Datos!$B$2:$B$5000,$A328,Datos!$C$2:$C$5000,$B328,Datos!$D$2:$D$5000,I$2))</f>
        <v/>
      </c>
      <c r="J328" s="9">
        <f>IF(COUNTIFS(Datos!$A$2:$A$5000,J$1,Datos!$B$2:$B$5000,$A328,Datos!$C$2:$C$5000,$B328,Datos!$D$2:$D$5000,J$2)=0,"",SUMIFS(Datos!$E$2:$E$5000,Datos!$A$2:$A$5000,J$1,Datos!$B$2:$B$5000,$A328,Datos!$C$2:$C$5000,$B328,Datos!$D$2:$D$5000,J$2))</f>
        <v/>
      </c>
    </row>
    <row r="329">
      <c r="A329" s="8" t="inlineStr">
        <is>
          <t>España</t>
        </is>
      </c>
      <c r="B329" s="8" t="n">
        <v>2002</v>
      </c>
      <c r="C329" s="9">
        <f>IF(COUNTIFS(Datos!$A$2:$A$5000,C$1,Datos!$B$2:$B$5000,$A329,Datos!$C$2:$C$5000,$B329,Datos!$D$2:$D$5000,C$2)=0,"",SUMIFS(Datos!$E$2:$E$5000,Datos!$A$2:$A$5000,C$1,Datos!$B$2:$B$5000,$A329,Datos!$C$2:$C$5000,$B329,Datos!$D$2:$D$5000,C$2))</f>
        <v/>
      </c>
      <c r="D329" s="9">
        <f>IF(COUNTIFS(Datos!$A$2:$A$5000,D$1,Datos!$B$2:$B$5000,$A329,Datos!$C$2:$C$5000,$B329,Datos!$D$2:$D$5000,D$2)=0,"",SUMIFS(Datos!$E$2:$E$5000,Datos!$A$2:$A$5000,D$1,Datos!$B$2:$B$5000,$A329,Datos!$C$2:$C$5000,$B329,Datos!$D$2:$D$5000,D$2))</f>
        <v/>
      </c>
      <c r="E329" s="9">
        <f>IF(COUNTIFS(Datos!$A$2:$A$5000,E$1,Datos!$B$2:$B$5000,$A329,Datos!$C$2:$C$5000,$B329,Datos!$D$2:$D$5000,E$2)=0,"",SUMIFS(Datos!$E$2:$E$5000,Datos!$A$2:$A$5000,E$1,Datos!$B$2:$B$5000,$A329,Datos!$C$2:$C$5000,$B329,Datos!$D$2:$D$5000,E$2))</f>
        <v/>
      </c>
      <c r="F329" s="9">
        <f>IF(COUNTIFS(Datos!$A$2:$A$5000,F$1,Datos!$B$2:$B$5000,$A329,Datos!$C$2:$C$5000,$B329,Datos!$D$2:$D$5000,F$2)=0,"",SUMIFS(Datos!$E$2:$E$5000,Datos!$A$2:$A$5000,F$1,Datos!$B$2:$B$5000,$A329,Datos!$C$2:$C$5000,$B329,Datos!$D$2:$D$5000,F$2))</f>
        <v/>
      </c>
      <c r="G329" s="9">
        <f>IF(COUNTIFS(Datos!$A$2:$A$5000,G$1,Datos!$B$2:$B$5000,$A329,Datos!$C$2:$C$5000,$B329,Datos!$D$2:$D$5000,G$2)=0,"",SUMIFS(Datos!$E$2:$E$5000,Datos!$A$2:$A$5000,G$1,Datos!$B$2:$B$5000,$A329,Datos!$C$2:$C$5000,$B329,Datos!$D$2:$D$5000,G$2))</f>
        <v/>
      </c>
      <c r="H329" s="9">
        <f>IF(COUNTIFS(Datos!$A$2:$A$5000,H$1,Datos!$B$2:$B$5000,$A329,Datos!$C$2:$C$5000,$B329,Datos!$D$2:$D$5000,H$2)=0,"",SUMIFS(Datos!$E$2:$E$5000,Datos!$A$2:$A$5000,H$1,Datos!$B$2:$B$5000,$A329,Datos!$C$2:$C$5000,$B329,Datos!$D$2:$D$5000,H$2))</f>
        <v/>
      </c>
      <c r="I329" s="9">
        <f>IF(COUNTIFS(Datos!$A$2:$A$5000,I$1,Datos!$B$2:$B$5000,$A329,Datos!$C$2:$C$5000,$B329,Datos!$D$2:$D$5000,I$2)=0,"",SUMIFS(Datos!$E$2:$E$5000,Datos!$A$2:$A$5000,I$1,Datos!$B$2:$B$5000,$A329,Datos!$C$2:$C$5000,$B329,Datos!$D$2:$D$5000,I$2))</f>
        <v/>
      </c>
      <c r="J329" s="9">
        <f>IF(COUNTIFS(Datos!$A$2:$A$5000,J$1,Datos!$B$2:$B$5000,$A329,Datos!$C$2:$C$5000,$B329,Datos!$D$2:$D$5000,J$2)=0,"",SUMIFS(Datos!$E$2:$E$5000,Datos!$A$2:$A$5000,J$1,Datos!$B$2:$B$5000,$A329,Datos!$C$2:$C$5000,$B329,Datos!$D$2:$D$5000,J$2))</f>
        <v/>
      </c>
    </row>
    <row r="330">
      <c r="A330" s="8" t="inlineStr">
        <is>
          <t>España</t>
        </is>
      </c>
      <c r="B330" s="8" t="n">
        <v>2003</v>
      </c>
      <c r="C330" s="9">
        <f>IF(COUNTIFS(Datos!$A$2:$A$5000,C$1,Datos!$B$2:$B$5000,$A330,Datos!$C$2:$C$5000,$B330,Datos!$D$2:$D$5000,C$2)=0,"",SUMIFS(Datos!$E$2:$E$5000,Datos!$A$2:$A$5000,C$1,Datos!$B$2:$B$5000,$A330,Datos!$C$2:$C$5000,$B330,Datos!$D$2:$D$5000,C$2))</f>
        <v/>
      </c>
      <c r="D330" s="9">
        <f>IF(COUNTIFS(Datos!$A$2:$A$5000,D$1,Datos!$B$2:$B$5000,$A330,Datos!$C$2:$C$5000,$B330,Datos!$D$2:$D$5000,D$2)=0,"",SUMIFS(Datos!$E$2:$E$5000,Datos!$A$2:$A$5000,D$1,Datos!$B$2:$B$5000,$A330,Datos!$C$2:$C$5000,$B330,Datos!$D$2:$D$5000,D$2))</f>
        <v/>
      </c>
      <c r="E330" s="9">
        <f>IF(COUNTIFS(Datos!$A$2:$A$5000,E$1,Datos!$B$2:$B$5000,$A330,Datos!$C$2:$C$5000,$B330,Datos!$D$2:$D$5000,E$2)=0,"",SUMIFS(Datos!$E$2:$E$5000,Datos!$A$2:$A$5000,E$1,Datos!$B$2:$B$5000,$A330,Datos!$C$2:$C$5000,$B330,Datos!$D$2:$D$5000,E$2))</f>
        <v/>
      </c>
      <c r="F330" s="9">
        <f>IF(COUNTIFS(Datos!$A$2:$A$5000,F$1,Datos!$B$2:$B$5000,$A330,Datos!$C$2:$C$5000,$B330,Datos!$D$2:$D$5000,F$2)=0,"",SUMIFS(Datos!$E$2:$E$5000,Datos!$A$2:$A$5000,F$1,Datos!$B$2:$B$5000,$A330,Datos!$C$2:$C$5000,$B330,Datos!$D$2:$D$5000,F$2))</f>
        <v/>
      </c>
      <c r="G330" s="9">
        <f>IF(COUNTIFS(Datos!$A$2:$A$5000,G$1,Datos!$B$2:$B$5000,$A330,Datos!$C$2:$C$5000,$B330,Datos!$D$2:$D$5000,G$2)=0,"",SUMIFS(Datos!$E$2:$E$5000,Datos!$A$2:$A$5000,G$1,Datos!$B$2:$B$5000,$A330,Datos!$C$2:$C$5000,$B330,Datos!$D$2:$D$5000,G$2))</f>
        <v/>
      </c>
      <c r="H330" s="9">
        <f>IF(COUNTIFS(Datos!$A$2:$A$5000,H$1,Datos!$B$2:$B$5000,$A330,Datos!$C$2:$C$5000,$B330,Datos!$D$2:$D$5000,H$2)=0,"",SUMIFS(Datos!$E$2:$E$5000,Datos!$A$2:$A$5000,H$1,Datos!$B$2:$B$5000,$A330,Datos!$C$2:$C$5000,$B330,Datos!$D$2:$D$5000,H$2))</f>
        <v/>
      </c>
      <c r="I330" s="9">
        <f>IF(COUNTIFS(Datos!$A$2:$A$5000,I$1,Datos!$B$2:$B$5000,$A330,Datos!$C$2:$C$5000,$B330,Datos!$D$2:$D$5000,I$2)=0,"",SUMIFS(Datos!$E$2:$E$5000,Datos!$A$2:$A$5000,I$1,Datos!$B$2:$B$5000,$A330,Datos!$C$2:$C$5000,$B330,Datos!$D$2:$D$5000,I$2))</f>
        <v/>
      </c>
      <c r="J330" s="9">
        <f>IF(COUNTIFS(Datos!$A$2:$A$5000,J$1,Datos!$B$2:$B$5000,$A330,Datos!$C$2:$C$5000,$B330,Datos!$D$2:$D$5000,J$2)=0,"",SUMIFS(Datos!$E$2:$E$5000,Datos!$A$2:$A$5000,J$1,Datos!$B$2:$B$5000,$A330,Datos!$C$2:$C$5000,$B330,Datos!$D$2:$D$5000,J$2))</f>
        <v/>
      </c>
    </row>
    <row r="331">
      <c r="A331" s="8" t="inlineStr">
        <is>
          <t>España</t>
        </is>
      </c>
      <c r="B331" s="8" t="n">
        <v>2004</v>
      </c>
      <c r="C331" s="9">
        <f>IF(COUNTIFS(Datos!$A$2:$A$5000,C$1,Datos!$B$2:$B$5000,$A331,Datos!$C$2:$C$5000,$B331,Datos!$D$2:$D$5000,C$2)=0,"",SUMIFS(Datos!$E$2:$E$5000,Datos!$A$2:$A$5000,C$1,Datos!$B$2:$B$5000,$A331,Datos!$C$2:$C$5000,$B331,Datos!$D$2:$D$5000,C$2))</f>
        <v/>
      </c>
      <c r="D331" s="9">
        <f>IF(COUNTIFS(Datos!$A$2:$A$5000,D$1,Datos!$B$2:$B$5000,$A331,Datos!$C$2:$C$5000,$B331,Datos!$D$2:$D$5000,D$2)=0,"",SUMIFS(Datos!$E$2:$E$5000,Datos!$A$2:$A$5000,D$1,Datos!$B$2:$B$5000,$A331,Datos!$C$2:$C$5000,$B331,Datos!$D$2:$D$5000,D$2))</f>
        <v/>
      </c>
      <c r="E331" s="9">
        <f>IF(COUNTIFS(Datos!$A$2:$A$5000,E$1,Datos!$B$2:$B$5000,$A331,Datos!$C$2:$C$5000,$B331,Datos!$D$2:$D$5000,E$2)=0,"",SUMIFS(Datos!$E$2:$E$5000,Datos!$A$2:$A$5000,E$1,Datos!$B$2:$B$5000,$A331,Datos!$C$2:$C$5000,$B331,Datos!$D$2:$D$5000,E$2))</f>
        <v/>
      </c>
      <c r="F331" s="9">
        <f>IF(COUNTIFS(Datos!$A$2:$A$5000,F$1,Datos!$B$2:$B$5000,$A331,Datos!$C$2:$C$5000,$B331,Datos!$D$2:$D$5000,F$2)=0,"",SUMIFS(Datos!$E$2:$E$5000,Datos!$A$2:$A$5000,F$1,Datos!$B$2:$B$5000,$A331,Datos!$C$2:$C$5000,$B331,Datos!$D$2:$D$5000,F$2))</f>
        <v/>
      </c>
      <c r="G331" s="9">
        <f>IF(COUNTIFS(Datos!$A$2:$A$5000,G$1,Datos!$B$2:$B$5000,$A331,Datos!$C$2:$C$5000,$B331,Datos!$D$2:$D$5000,G$2)=0,"",SUMIFS(Datos!$E$2:$E$5000,Datos!$A$2:$A$5000,G$1,Datos!$B$2:$B$5000,$A331,Datos!$C$2:$C$5000,$B331,Datos!$D$2:$D$5000,G$2))</f>
        <v/>
      </c>
      <c r="H331" s="9">
        <f>IF(COUNTIFS(Datos!$A$2:$A$5000,H$1,Datos!$B$2:$B$5000,$A331,Datos!$C$2:$C$5000,$B331,Datos!$D$2:$D$5000,H$2)=0,"",SUMIFS(Datos!$E$2:$E$5000,Datos!$A$2:$A$5000,H$1,Datos!$B$2:$B$5000,$A331,Datos!$C$2:$C$5000,$B331,Datos!$D$2:$D$5000,H$2))</f>
        <v/>
      </c>
      <c r="I331" s="9">
        <f>IF(COUNTIFS(Datos!$A$2:$A$5000,I$1,Datos!$B$2:$B$5000,$A331,Datos!$C$2:$C$5000,$B331,Datos!$D$2:$D$5000,I$2)=0,"",SUMIFS(Datos!$E$2:$E$5000,Datos!$A$2:$A$5000,I$1,Datos!$B$2:$B$5000,$A331,Datos!$C$2:$C$5000,$B331,Datos!$D$2:$D$5000,I$2))</f>
        <v/>
      </c>
      <c r="J331" s="9">
        <f>IF(COUNTIFS(Datos!$A$2:$A$5000,J$1,Datos!$B$2:$B$5000,$A331,Datos!$C$2:$C$5000,$B331,Datos!$D$2:$D$5000,J$2)=0,"",SUMIFS(Datos!$E$2:$E$5000,Datos!$A$2:$A$5000,J$1,Datos!$B$2:$B$5000,$A331,Datos!$C$2:$C$5000,$B331,Datos!$D$2:$D$5000,J$2))</f>
        <v/>
      </c>
    </row>
    <row r="332">
      <c r="A332" s="8" t="inlineStr">
        <is>
          <t>España</t>
        </is>
      </c>
      <c r="B332" s="8" t="n">
        <v>2006</v>
      </c>
      <c r="C332" s="9">
        <f>IF(COUNTIFS(Datos!$A$2:$A$5000,C$1,Datos!$B$2:$B$5000,$A332,Datos!$C$2:$C$5000,$B332,Datos!$D$2:$D$5000,C$2)=0,"",SUMIFS(Datos!$E$2:$E$5000,Datos!$A$2:$A$5000,C$1,Datos!$B$2:$B$5000,$A332,Datos!$C$2:$C$5000,$B332,Datos!$D$2:$D$5000,C$2))</f>
        <v/>
      </c>
      <c r="D332" s="9">
        <f>IF(COUNTIFS(Datos!$A$2:$A$5000,D$1,Datos!$B$2:$B$5000,$A332,Datos!$C$2:$C$5000,$B332,Datos!$D$2:$D$5000,D$2)=0,"",SUMIFS(Datos!$E$2:$E$5000,Datos!$A$2:$A$5000,D$1,Datos!$B$2:$B$5000,$A332,Datos!$C$2:$C$5000,$B332,Datos!$D$2:$D$5000,D$2))</f>
        <v/>
      </c>
      <c r="E332" s="9">
        <f>IF(COUNTIFS(Datos!$A$2:$A$5000,E$1,Datos!$B$2:$B$5000,$A332,Datos!$C$2:$C$5000,$B332,Datos!$D$2:$D$5000,E$2)=0,"",SUMIFS(Datos!$E$2:$E$5000,Datos!$A$2:$A$5000,E$1,Datos!$B$2:$B$5000,$A332,Datos!$C$2:$C$5000,$B332,Datos!$D$2:$D$5000,E$2))</f>
        <v/>
      </c>
      <c r="F332" s="9">
        <f>IF(COUNTIFS(Datos!$A$2:$A$5000,F$1,Datos!$B$2:$B$5000,$A332,Datos!$C$2:$C$5000,$B332,Datos!$D$2:$D$5000,F$2)=0,"",SUMIFS(Datos!$E$2:$E$5000,Datos!$A$2:$A$5000,F$1,Datos!$B$2:$B$5000,$A332,Datos!$C$2:$C$5000,$B332,Datos!$D$2:$D$5000,F$2))</f>
        <v/>
      </c>
      <c r="G332" s="9">
        <f>IF(COUNTIFS(Datos!$A$2:$A$5000,G$1,Datos!$B$2:$B$5000,$A332,Datos!$C$2:$C$5000,$B332,Datos!$D$2:$D$5000,G$2)=0,"",SUMIFS(Datos!$E$2:$E$5000,Datos!$A$2:$A$5000,G$1,Datos!$B$2:$B$5000,$A332,Datos!$C$2:$C$5000,$B332,Datos!$D$2:$D$5000,G$2))</f>
        <v/>
      </c>
      <c r="H332" s="9">
        <f>IF(COUNTIFS(Datos!$A$2:$A$5000,H$1,Datos!$B$2:$B$5000,$A332,Datos!$C$2:$C$5000,$B332,Datos!$D$2:$D$5000,H$2)=0,"",SUMIFS(Datos!$E$2:$E$5000,Datos!$A$2:$A$5000,H$1,Datos!$B$2:$B$5000,$A332,Datos!$C$2:$C$5000,$B332,Datos!$D$2:$D$5000,H$2))</f>
        <v/>
      </c>
      <c r="I332" s="9">
        <f>IF(COUNTIFS(Datos!$A$2:$A$5000,I$1,Datos!$B$2:$B$5000,$A332,Datos!$C$2:$C$5000,$B332,Datos!$D$2:$D$5000,I$2)=0,"",SUMIFS(Datos!$E$2:$E$5000,Datos!$A$2:$A$5000,I$1,Datos!$B$2:$B$5000,$A332,Datos!$C$2:$C$5000,$B332,Datos!$D$2:$D$5000,I$2))</f>
        <v/>
      </c>
      <c r="J332" s="9">
        <f>IF(COUNTIFS(Datos!$A$2:$A$5000,J$1,Datos!$B$2:$B$5000,$A332,Datos!$C$2:$C$5000,$B332,Datos!$D$2:$D$5000,J$2)=0,"",SUMIFS(Datos!$E$2:$E$5000,Datos!$A$2:$A$5000,J$1,Datos!$B$2:$B$5000,$A332,Datos!$C$2:$C$5000,$B332,Datos!$D$2:$D$5000,J$2))</f>
        <v/>
      </c>
    </row>
    <row r="333">
      <c r="A333" s="8" t="inlineStr">
        <is>
          <t>España</t>
        </is>
      </c>
      <c r="B333" s="8" t="n">
        <v>2007</v>
      </c>
      <c r="C333" s="9">
        <f>IF(COUNTIFS(Datos!$A$2:$A$5000,C$1,Datos!$B$2:$B$5000,$A333,Datos!$C$2:$C$5000,$B333,Datos!$D$2:$D$5000,C$2)=0,"",SUMIFS(Datos!$E$2:$E$5000,Datos!$A$2:$A$5000,C$1,Datos!$B$2:$B$5000,$A333,Datos!$C$2:$C$5000,$B333,Datos!$D$2:$D$5000,C$2))</f>
        <v/>
      </c>
      <c r="D333" s="9">
        <f>IF(COUNTIFS(Datos!$A$2:$A$5000,D$1,Datos!$B$2:$B$5000,$A333,Datos!$C$2:$C$5000,$B333,Datos!$D$2:$D$5000,D$2)=0,"",SUMIFS(Datos!$E$2:$E$5000,Datos!$A$2:$A$5000,D$1,Datos!$B$2:$B$5000,$A333,Datos!$C$2:$C$5000,$B333,Datos!$D$2:$D$5000,D$2))</f>
        <v/>
      </c>
      <c r="E333" s="9">
        <f>IF(COUNTIFS(Datos!$A$2:$A$5000,E$1,Datos!$B$2:$B$5000,$A333,Datos!$C$2:$C$5000,$B333,Datos!$D$2:$D$5000,E$2)=0,"",SUMIFS(Datos!$E$2:$E$5000,Datos!$A$2:$A$5000,E$1,Datos!$B$2:$B$5000,$A333,Datos!$C$2:$C$5000,$B333,Datos!$D$2:$D$5000,E$2))</f>
        <v/>
      </c>
      <c r="F333" s="9">
        <f>IF(COUNTIFS(Datos!$A$2:$A$5000,F$1,Datos!$B$2:$B$5000,$A333,Datos!$C$2:$C$5000,$B333,Datos!$D$2:$D$5000,F$2)=0,"",SUMIFS(Datos!$E$2:$E$5000,Datos!$A$2:$A$5000,F$1,Datos!$B$2:$B$5000,$A333,Datos!$C$2:$C$5000,$B333,Datos!$D$2:$D$5000,F$2))</f>
        <v/>
      </c>
      <c r="G333" s="9">
        <f>IF(COUNTIFS(Datos!$A$2:$A$5000,G$1,Datos!$B$2:$B$5000,$A333,Datos!$C$2:$C$5000,$B333,Datos!$D$2:$D$5000,G$2)=0,"",SUMIFS(Datos!$E$2:$E$5000,Datos!$A$2:$A$5000,G$1,Datos!$B$2:$B$5000,$A333,Datos!$C$2:$C$5000,$B333,Datos!$D$2:$D$5000,G$2))</f>
        <v/>
      </c>
      <c r="H333" s="9">
        <f>IF(COUNTIFS(Datos!$A$2:$A$5000,H$1,Datos!$B$2:$B$5000,$A333,Datos!$C$2:$C$5000,$B333,Datos!$D$2:$D$5000,H$2)=0,"",SUMIFS(Datos!$E$2:$E$5000,Datos!$A$2:$A$5000,H$1,Datos!$B$2:$B$5000,$A333,Datos!$C$2:$C$5000,$B333,Datos!$D$2:$D$5000,H$2))</f>
        <v/>
      </c>
      <c r="I333" s="9">
        <f>IF(COUNTIFS(Datos!$A$2:$A$5000,I$1,Datos!$B$2:$B$5000,$A333,Datos!$C$2:$C$5000,$B333,Datos!$D$2:$D$5000,I$2)=0,"",SUMIFS(Datos!$E$2:$E$5000,Datos!$A$2:$A$5000,I$1,Datos!$B$2:$B$5000,$A333,Datos!$C$2:$C$5000,$B333,Datos!$D$2:$D$5000,I$2))</f>
        <v/>
      </c>
      <c r="J333" s="9">
        <f>IF(COUNTIFS(Datos!$A$2:$A$5000,J$1,Datos!$B$2:$B$5000,$A333,Datos!$C$2:$C$5000,$B333,Datos!$D$2:$D$5000,J$2)=0,"",SUMIFS(Datos!$E$2:$E$5000,Datos!$A$2:$A$5000,J$1,Datos!$B$2:$B$5000,$A333,Datos!$C$2:$C$5000,$B333,Datos!$D$2:$D$5000,J$2))</f>
        <v/>
      </c>
    </row>
    <row r="334">
      <c r="A334" s="8" t="inlineStr">
        <is>
          <t>España</t>
        </is>
      </c>
      <c r="B334" s="8" t="n">
        <v>2008</v>
      </c>
      <c r="C334" s="9">
        <f>IF(COUNTIFS(Datos!$A$2:$A$5000,C$1,Datos!$B$2:$B$5000,$A334,Datos!$C$2:$C$5000,$B334,Datos!$D$2:$D$5000,C$2)=0,"",SUMIFS(Datos!$E$2:$E$5000,Datos!$A$2:$A$5000,C$1,Datos!$B$2:$B$5000,$A334,Datos!$C$2:$C$5000,$B334,Datos!$D$2:$D$5000,C$2))</f>
        <v/>
      </c>
      <c r="D334" s="9">
        <f>IF(COUNTIFS(Datos!$A$2:$A$5000,D$1,Datos!$B$2:$B$5000,$A334,Datos!$C$2:$C$5000,$B334,Datos!$D$2:$D$5000,D$2)=0,"",SUMIFS(Datos!$E$2:$E$5000,Datos!$A$2:$A$5000,D$1,Datos!$B$2:$B$5000,$A334,Datos!$C$2:$C$5000,$B334,Datos!$D$2:$D$5000,D$2))</f>
        <v/>
      </c>
      <c r="E334" s="9">
        <f>IF(COUNTIFS(Datos!$A$2:$A$5000,E$1,Datos!$B$2:$B$5000,$A334,Datos!$C$2:$C$5000,$B334,Datos!$D$2:$D$5000,E$2)=0,"",SUMIFS(Datos!$E$2:$E$5000,Datos!$A$2:$A$5000,E$1,Datos!$B$2:$B$5000,$A334,Datos!$C$2:$C$5000,$B334,Datos!$D$2:$D$5000,E$2))</f>
        <v/>
      </c>
      <c r="F334" s="9">
        <f>IF(COUNTIFS(Datos!$A$2:$A$5000,F$1,Datos!$B$2:$B$5000,$A334,Datos!$C$2:$C$5000,$B334,Datos!$D$2:$D$5000,F$2)=0,"",SUMIFS(Datos!$E$2:$E$5000,Datos!$A$2:$A$5000,F$1,Datos!$B$2:$B$5000,$A334,Datos!$C$2:$C$5000,$B334,Datos!$D$2:$D$5000,F$2))</f>
        <v/>
      </c>
      <c r="G334" s="9">
        <f>IF(COUNTIFS(Datos!$A$2:$A$5000,G$1,Datos!$B$2:$B$5000,$A334,Datos!$C$2:$C$5000,$B334,Datos!$D$2:$D$5000,G$2)=0,"",SUMIFS(Datos!$E$2:$E$5000,Datos!$A$2:$A$5000,G$1,Datos!$B$2:$B$5000,$A334,Datos!$C$2:$C$5000,$B334,Datos!$D$2:$D$5000,G$2))</f>
        <v/>
      </c>
      <c r="H334" s="9">
        <f>IF(COUNTIFS(Datos!$A$2:$A$5000,H$1,Datos!$B$2:$B$5000,$A334,Datos!$C$2:$C$5000,$B334,Datos!$D$2:$D$5000,H$2)=0,"",SUMIFS(Datos!$E$2:$E$5000,Datos!$A$2:$A$5000,H$1,Datos!$B$2:$B$5000,$A334,Datos!$C$2:$C$5000,$B334,Datos!$D$2:$D$5000,H$2))</f>
        <v/>
      </c>
      <c r="I334" s="9">
        <f>IF(COUNTIFS(Datos!$A$2:$A$5000,I$1,Datos!$B$2:$B$5000,$A334,Datos!$C$2:$C$5000,$B334,Datos!$D$2:$D$5000,I$2)=0,"",SUMIFS(Datos!$E$2:$E$5000,Datos!$A$2:$A$5000,I$1,Datos!$B$2:$B$5000,$A334,Datos!$C$2:$C$5000,$B334,Datos!$D$2:$D$5000,I$2))</f>
        <v/>
      </c>
      <c r="J334" s="9">
        <f>IF(COUNTIFS(Datos!$A$2:$A$5000,J$1,Datos!$B$2:$B$5000,$A334,Datos!$C$2:$C$5000,$B334,Datos!$D$2:$D$5000,J$2)=0,"",SUMIFS(Datos!$E$2:$E$5000,Datos!$A$2:$A$5000,J$1,Datos!$B$2:$B$5000,$A334,Datos!$C$2:$C$5000,$B334,Datos!$D$2:$D$5000,J$2))</f>
        <v/>
      </c>
    </row>
    <row r="335">
      <c r="A335" s="8" t="inlineStr">
        <is>
          <t>España</t>
        </is>
      </c>
      <c r="B335" s="8" t="n">
        <v>2009</v>
      </c>
      <c r="C335" s="9">
        <f>IF(COUNTIFS(Datos!$A$2:$A$5000,C$1,Datos!$B$2:$B$5000,$A335,Datos!$C$2:$C$5000,$B335,Datos!$D$2:$D$5000,C$2)=0,"",SUMIFS(Datos!$E$2:$E$5000,Datos!$A$2:$A$5000,C$1,Datos!$B$2:$B$5000,$A335,Datos!$C$2:$C$5000,$B335,Datos!$D$2:$D$5000,C$2))</f>
        <v/>
      </c>
      <c r="D335" s="9">
        <f>IF(COUNTIFS(Datos!$A$2:$A$5000,D$1,Datos!$B$2:$B$5000,$A335,Datos!$C$2:$C$5000,$B335,Datos!$D$2:$D$5000,D$2)=0,"",SUMIFS(Datos!$E$2:$E$5000,Datos!$A$2:$A$5000,D$1,Datos!$B$2:$B$5000,$A335,Datos!$C$2:$C$5000,$B335,Datos!$D$2:$D$5000,D$2))</f>
        <v/>
      </c>
      <c r="E335" s="9">
        <f>IF(COUNTIFS(Datos!$A$2:$A$5000,E$1,Datos!$B$2:$B$5000,$A335,Datos!$C$2:$C$5000,$B335,Datos!$D$2:$D$5000,E$2)=0,"",SUMIFS(Datos!$E$2:$E$5000,Datos!$A$2:$A$5000,E$1,Datos!$B$2:$B$5000,$A335,Datos!$C$2:$C$5000,$B335,Datos!$D$2:$D$5000,E$2))</f>
        <v/>
      </c>
      <c r="F335" s="9">
        <f>IF(COUNTIFS(Datos!$A$2:$A$5000,F$1,Datos!$B$2:$B$5000,$A335,Datos!$C$2:$C$5000,$B335,Datos!$D$2:$D$5000,F$2)=0,"",SUMIFS(Datos!$E$2:$E$5000,Datos!$A$2:$A$5000,F$1,Datos!$B$2:$B$5000,$A335,Datos!$C$2:$C$5000,$B335,Datos!$D$2:$D$5000,F$2))</f>
        <v/>
      </c>
      <c r="G335" s="9">
        <f>IF(COUNTIFS(Datos!$A$2:$A$5000,G$1,Datos!$B$2:$B$5000,$A335,Datos!$C$2:$C$5000,$B335,Datos!$D$2:$D$5000,G$2)=0,"",SUMIFS(Datos!$E$2:$E$5000,Datos!$A$2:$A$5000,G$1,Datos!$B$2:$B$5000,$A335,Datos!$C$2:$C$5000,$B335,Datos!$D$2:$D$5000,G$2))</f>
        <v/>
      </c>
      <c r="H335" s="9">
        <f>IF(COUNTIFS(Datos!$A$2:$A$5000,H$1,Datos!$B$2:$B$5000,$A335,Datos!$C$2:$C$5000,$B335,Datos!$D$2:$D$5000,H$2)=0,"",SUMIFS(Datos!$E$2:$E$5000,Datos!$A$2:$A$5000,H$1,Datos!$B$2:$B$5000,$A335,Datos!$C$2:$C$5000,$B335,Datos!$D$2:$D$5000,H$2))</f>
        <v/>
      </c>
      <c r="I335" s="9">
        <f>IF(COUNTIFS(Datos!$A$2:$A$5000,I$1,Datos!$B$2:$B$5000,$A335,Datos!$C$2:$C$5000,$B335,Datos!$D$2:$D$5000,I$2)=0,"",SUMIFS(Datos!$E$2:$E$5000,Datos!$A$2:$A$5000,I$1,Datos!$B$2:$B$5000,$A335,Datos!$C$2:$C$5000,$B335,Datos!$D$2:$D$5000,I$2))</f>
        <v/>
      </c>
      <c r="J335" s="9">
        <f>IF(COUNTIFS(Datos!$A$2:$A$5000,J$1,Datos!$B$2:$B$5000,$A335,Datos!$C$2:$C$5000,$B335,Datos!$D$2:$D$5000,J$2)=0,"",SUMIFS(Datos!$E$2:$E$5000,Datos!$A$2:$A$5000,J$1,Datos!$B$2:$B$5000,$A335,Datos!$C$2:$C$5000,$B335,Datos!$D$2:$D$5000,J$2))</f>
        <v/>
      </c>
    </row>
    <row r="336">
      <c r="A336" s="8" t="inlineStr">
        <is>
          <t>España</t>
        </is>
      </c>
      <c r="B336" s="8" t="n">
        <v>2010</v>
      </c>
      <c r="C336" s="9">
        <f>IF(COUNTIFS(Datos!$A$2:$A$5000,C$1,Datos!$B$2:$B$5000,$A336,Datos!$C$2:$C$5000,$B336,Datos!$D$2:$D$5000,C$2)=0,"",SUMIFS(Datos!$E$2:$E$5000,Datos!$A$2:$A$5000,C$1,Datos!$B$2:$B$5000,$A336,Datos!$C$2:$C$5000,$B336,Datos!$D$2:$D$5000,C$2))</f>
        <v/>
      </c>
      <c r="D336" s="9">
        <f>IF(COUNTIFS(Datos!$A$2:$A$5000,D$1,Datos!$B$2:$B$5000,$A336,Datos!$C$2:$C$5000,$B336,Datos!$D$2:$D$5000,D$2)=0,"",SUMIFS(Datos!$E$2:$E$5000,Datos!$A$2:$A$5000,D$1,Datos!$B$2:$B$5000,$A336,Datos!$C$2:$C$5000,$B336,Datos!$D$2:$D$5000,D$2))</f>
        <v/>
      </c>
      <c r="E336" s="9">
        <f>IF(COUNTIFS(Datos!$A$2:$A$5000,E$1,Datos!$B$2:$B$5000,$A336,Datos!$C$2:$C$5000,$B336,Datos!$D$2:$D$5000,E$2)=0,"",SUMIFS(Datos!$E$2:$E$5000,Datos!$A$2:$A$5000,E$1,Datos!$B$2:$B$5000,$A336,Datos!$C$2:$C$5000,$B336,Datos!$D$2:$D$5000,E$2))</f>
        <v/>
      </c>
      <c r="F336" s="9">
        <f>IF(COUNTIFS(Datos!$A$2:$A$5000,F$1,Datos!$B$2:$B$5000,$A336,Datos!$C$2:$C$5000,$B336,Datos!$D$2:$D$5000,F$2)=0,"",SUMIFS(Datos!$E$2:$E$5000,Datos!$A$2:$A$5000,F$1,Datos!$B$2:$B$5000,$A336,Datos!$C$2:$C$5000,$B336,Datos!$D$2:$D$5000,F$2))</f>
        <v/>
      </c>
      <c r="G336" s="9">
        <f>IF(COUNTIFS(Datos!$A$2:$A$5000,G$1,Datos!$B$2:$B$5000,$A336,Datos!$C$2:$C$5000,$B336,Datos!$D$2:$D$5000,G$2)=0,"",SUMIFS(Datos!$E$2:$E$5000,Datos!$A$2:$A$5000,G$1,Datos!$B$2:$B$5000,$A336,Datos!$C$2:$C$5000,$B336,Datos!$D$2:$D$5000,G$2))</f>
        <v/>
      </c>
      <c r="H336" s="9">
        <f>IF(COUNTIFS(Datos!$A$2:$A$5000,H$1,Datos!$B$2:$B$5000,$A336,Datos!$C$2:$C$5000,$B336,Datos!$D$2:$D$5000,H$2)=0,"",SUMIFS(Datos!$E$2:$E$5000,Datos!$A$2:$A$5000,H$1,Datos!$B$2:$B$5000,$A336,Datos!$C$2:$C$5000,$B336,Datos!$D$2:$D$5000,H$2))</f>
        <v/>
      </c>
      <c r="I336" s="9">
        <f>IF(COUNTIFS(Datos!$A$2:$A$5000,I$1,Datos!$B$2:$B$5000,$A336,Datos!$C$2:$C$5000,$B336,Datos!$D$2:$D$5000,I$2)=0,"",SUMIFS(Datos!$E$2:$E$5000,Datos!$A$2:$A$5000,I$1,Datos!$B$2:$B$5000,$A336,Datos!$C$2:$C$5000,$B336,Datos!$D$2:$D$5000,I$2))</f>
        <v/>
      </c>
      <c r="J336" s="9">
        <f>IF(COUNTIFS(Datos!$A$2:$A$5000,J$1,Datos!$B$2:$B$5000,$A336,Datos!$C$2:$C$5000,$B336,Datos!$D$2:$D$5000,J$2)=0,"",SUMIFS(Datos!$E$2:$E$5000,Datos!$A$2:$A$5000,J$1,Datos!$B$2:$B$5000,$A336,Datos!$C$2:$C$5000,$B336,Datos!$D$2:$D$5000,J$2))</f>
        <v/>
      </c>
    </row>
    <row r="337">
      <c r="A337" s="8" t="inlineStr">
        <is>
          <t>Uruguay</t>
        </is>
      </c>
      <c r="B337" s="8" t="n">
        <v>1995</v>
      </c>
      <c r="C337" s="9">
        <f>IF(COUNTIFS(Datos!$A$2:$A$5000,C$1,Datos!$B$2:$B$5000,$A337,Datos!$C$2:$C$5000,$B337,Datos!$D$2:$D$5000,C$2)=0,"",SUMIFS(Datos!$E$2:$E$5000,Datos!$A$2:$A$5000,C$1,Datos!$B$2:$B$5000,$A337,Datos!$C$2:$C$5000,$B337,Datos!$D$2:$D$5000,C$2))</f>
        <v/>
      </c>
      <c r="D337" s="9">
        <f>IF(COUNTIFS(Datos!$A$2:$A$5000,D$1,Datos!$B$2:$B$5000,$A337,Datos!$C$2:$C$5000,$B337,Datos!$D$2:$D$5000,D$2)=0,"",SUMIFS(Datos!$E$2:$E$5000,Datos!$A$2:$A$5000,D$1,Datos!$B$2:$B$5000,$A337,Datos!$C$2:$C$5000,$B337,Datos!$D$2:$D$5000,D$2))</f>
        <v/>
      </c>
      <c r="E337" s="9">
        <f>IF(COUNTIFS(Datos!$A$2:$A$5000,E$1,Datos!$B$2:$B$5000,$A337,Datos!$C$2:$C$5000,$B337,Datos!$D$2:$D$5000,E$2)=0,"",SUMIFS(Datos!$E$2:$E$5000,Datos!$A$2:$A$5000,E$1,Datos!$B$2:$B$5000,$A337,Datos!$C$2:$C$5000,$B337,Datos!$D$2:$D$5000,E$2))</f>
        <v/>
      </c>
      <c r="F337" s="9">
        <f>IF(COUNTIFS(Datos!$A$2:$A$5000,F$1,Datos!$B$2:$B$5000,$A337,Datos!$C$2:$C$5000,$B337,Datos!$D$2:$D$5000,F$2)=0,"",SUMIFS(Datos!$E$2:$E$5000,Datos!$A$2:$A$5000,F$1,Datos!$B$2:$B$5000,$A337,Datos!$C$2:$C$5000,$B337,Datos!$D$2:$D$5000,F$2))</f>
        <v/>
      </c>
      <c r="G337" s="9">
        <f>IF(COUNTIFS(Datos!$A$2:$A$5000,G$1,Datos!$B$2:$B$5000,$A337,Datos!$C$2:$C$5000,$B337,Datos!$D$2:$D$5000,G$2)=0,"",SUMIFS(Datos!$E$2:$E$5000,Datos!$A$2:$A$5000,G$1,Datos!$B$2:$B$5000,$A337,Datos!$C$2:$C$5000,$B337,Datos!$D$2:$D$5000,G$2))</f>
        <v/>
      </c>
      <c r="H337" s="9">
        <f>IF(COUNTIFS(Datos!$A$2:$A$5000,H$1,Datos!$B$2:$B$5000,$A337,Datos!$C$2:$C$5000,$B337,Datos!$D$2:$D$5000,H$2)=0,"",SUMIFS(Datos!$E$2:$E$5000,Datos!$A$2:$A$5000,H$1,Datos!$B$2:$B$5000,$A337,Datos!$C$2:$C$5000,$B337,Datos!$D$2:$D$5000,H$2))</f>
        <v/>
      </c>
      <c r="I337" s="9">
        <f>IF(COUNTIFS(Datos!$A$2:$A$5000,I$1,Datos!$B$2:$B$5000,$A337,Datos!$C$2:$C$5000,$B337,Datos!$D$2:$D$5000,I$2)=0,"",SUMIFS(Datos!$E$2:$E$5000,Datos!$A$2:$A$5000,I$1,Datos!$B$2:$B$5000,$A337,Datos!$C$2:$C$5000,$B337,Datos!$D$2:$D$5000,I$2))</f>
        <v/>
      </c>
      <c r="J337" s="9">
        <f>IF(COUNTIFS(Datos!$A$2:$A$5000,J$1,Datos!$B$2:$B$5000,$A337,Datos!$C$2:$C$5000,$B337,Datos!$D$2:$D$5000,J$2)=0,"",SUMIFS(Datos!$E$2:$E$5000,Datos!$A$2:$A$5000,J$1,Datos!$B$2:$B$5000,$A337,Datos!$C$2:$C$5000,$B337,Datos!$D$2:$D$5000,J$2))</f>
        <v/>
      </c>
    </row>
    <row r="338">
      <c r="A338" s="8" t="inlineStr">
        <is>
          <t>Uruguay</t>
        </is>
      </c>
      <c r="B338" s="8" t="n">
        <v>1996</v>
      </c>
      <c r="C338" s="9">
        <f>IF(COUNTIFS(Datos!$A$2:$A$5000,C$1,Datos!$B$2:$B$5000,$A338,Datos!$C$2:$C$5000,$B338,Datos!$D$2:$D$5000,C$2)=0,"",SUMIFS(Datos!$E$2:$E$5000,Datos!$A$2:$A$5000,C$1,Datos!$B$2:$B$5000,$A338,Datos!$C$2:$C$5000,$B338,Datos!$D$2:$D$5000,C$2))</f>
        <v/>
      </c>
      <c r="D338" s="9">
        <f>IF(COUNTIFS(Datos!$A$2:$A$5000,D$1,Datos!$B$2:$B$5000,$A338,Datos!$C$2:$C$5000,$B338,Datos!$D$2:$D$5000,D$2)=0,"",SUMIFS(Datos!$E$2:$E$5000,Datos!$A$2:$A$5000,D$1,Datos!$B$2:$B$5000,$A338,Datos!$C$2:$C$5000,$B338,Datos!$D$2:$D$5000,D$2))</f>
        <v/>
      </c>
      <c r="E338" s="9">
        <f>IF(COUNTIFS(Datos!$A$2:$A$5000,E$1,Datos!$B$2:$B$5000,$A338,Datos!$C$2:$C$5000,$B338,Datos!$D$2:$D$5000,E$2)=0,"",SUMIFS(Datos!$E$2:$E$5000,Datos!$A$2:$A$5000,E$1,Datos!$B$2:$B$5000,$A338,Datos!$C$2:$C$5000,$B338,Datos!$D$2:$D$5000,E$2))</f>
        <v/>
      </c>
      <c r="F338" s="9">
        <f>IF(COUNTIFS(Datos!$A$2:$A$5000,F$1,Datos!$B$2:$B$5000,$A338,Datos!$C$2:$C$5000,$B338,Datos!$D$2:$D$5000,F$2)=0,"",SUMIFS(Datos!$E$2:$E$5000,Datos!$A$2:$A$5000,F$1,Datos!$B$2:$B$5000,$A338,Datos!$C$2:$C$5000,$B338,Datos!$D$2:$D$5000,F$2))</f>
        <v/>
      </c>
      <c r="G338" s="9">
        <f>IF(COUNTIFS(Datos!$A$2:$A$5000,G$1,Datos!$B$2:$B$5000,$A338,Datos!$C$2:$C$5000,$B338,Datos!$D$2:$D$5000,G$2)=0,"",SUMIFS(Datos!$E$2:$E$5000,Datos!$A$2:$A$5000,G$1,Datos!$B$2:$B$5000,$A338,Datos!$C$2:$C$5000,$B338,Datos!$D$2:$D$5000,G$2))</f>
        <v/>
      </c>
      <c r="H338" s="9">
        <f>IF(COUNTIFS(Datos!$A$2:$A$5000,H$1,Datos!$B$2:$B$5000,$A338,Datos!$C$2:$C$5000,$B338,Datos!$D$2:$D$5000,H$2)=0,"",SUMIFS(Datos!$E$2:$E$5000,Datos!$A$2:$A$5000,H$1,Datos!$B$2:$B$5000,$A338,Datos!$C$2:$C$5000,$B338,Datos!$D$2:$D$5000,H$2))</f>
        <v/>
      </c>
      <c r="I338" s="9">
        <f>IF(COUNTIFS(Datos!$A$2:$A$5000,I$1,Datos!$B$2:$B$5000,$A338,Datos!$C$2:$C$5000,$B338,Datos!$D$2:$D$5000,I$2)=0,"",SUMIFS(Datos!$E$2:$E$5000,Datos!$A$2:$A$5000,I$1,Datos!$B$2:$B$5000,$A338,Datos!$C$2:$C$5000,$B338,Datos!$D$2:$D$5000,I$2))</f>
        <v/>
      </c>
      <c r="J338" s="9">
        <f>IF(COUNTIFS(Datos!$A$2:$A$5000,J$1,Datos!$B$2:$B$5000,$A338,Datos!$C$2:$C$5000,$B338,Datos!$D$2:$D$5000,J$2)=0,"",SUMIFS(Datos!$E$2:$E$5000,Datos!$A$2:$A$5000,J$1,Datos!$B$2:$B$5000,$A338,Datos!$C$2:$C$5000,$B338,Datos!$D$2:$D$5000,J$2))</f>
        <v/>
      </c>
    </row>
    <row r="339">
      <c r="A339" s="8" t="inlineStr">
        <is>
          <t>Uruguay</t>
        </is>
      </c>
      <c r="B339" s="8" t="n">
        <v>1997</v>
      </c>
      <c r="C339" s="9">
        <f>IF(COUNTIFS(Datos!$A$2:$A$5000,C$1,Datos!$B$2:$B$5000,$A339,Datos!$C$2:$C$5000,$B339,Datos!$D$2:$D$5000,C$2)=0,"",SUMIFS(Datos!$E$2:$E$5000,Datos!$A$2:$A$5000,C$1,Datos!$B$2:$B$5000,$A339,Datos!$C$2:$C$5000,$B339,Datos!$D$2:$D$5000,C$2))</f>
        <v/>
      </c>
      <c r="D339" s="9">
        <f>IF(COUNTIFS(Datos!$A$2:$A$5000,D$1,Datos!$B$2:$B$5000,$A339,Datos!$C$2:$C$5000,$B339,Datos!$D$2:$D$5000,D$2)=0,"",SUMIFS(Datos!$E$2:$E$5000,Datos!$A$2:$A$5000,D$1,Datos!$B$2:$B$5000,$A339,Datos!$C$2:$C$5000,$B339,Datos!$D$2:$D$5000,D$2))</f>
        <v/>
      </c>
      <c r="E339" s="9">
        <f>IF(COUNTIFS(Datos!$A$2:$A$5000,E$1,Datos!$B$2:$B$5000,$A339,Datos!$C$2:$C$5000,$B339,Datos!$D$2:$D$5000,E$2)=0,"",SUMIFS(Datos!$E$2:$E$5000,Datos!$A$2:$A$5000,E$1,Datos!$B$2:$B$5000,$A339,Datos!$C$2:$C$5000,$B339,Datos!$D$2:$D$5000,E$2))</f>
        <v/>
      </c>
      <c r="F339" s="9">
        <f>IF(COUNTIFS(Datos!$A$2:$A$5000,F$1,Datos!$B$2:$B$5000,$A339,Datos!$C$2:$C$5000,$B339,Datos!$D$2:$D$5000,F$2)=0,"",SUMIFS(Datos!$E$2:$E$5000,Datos!$A$2:$A$5000,F$1,Datos!$B$2:$B$5000,$A339,Datos!$C$2:$C$5000,$B339,Datos!$D$2:$D$5000,F$2))</f>
        <v/>
      </c>
      <c r="G339" s="9">
        <f>IF(COUNTIFS(Datos!$A$2:$A$5000,G$1,Datos!$B$2:$B$5000,$A339,Datos!$C$2:$C$5000,$B339,Datos!$D$2:$D$5000,G$2)=0,"",SUMIFS(Datos!$E$2:$E$5000,Datos!$A$2:$A$5000,G$1,Datos!$B$2:$B$5000,$A339,Datos!$C$2:$C$5000,$B339,Datos!$D$2:$D$5000,G$2))</f>
        <v/>
      </c>
      <c r="H339" s="9">
        <f>IF(COUNTIFS(Datos!$A$2:$A$5000,H$1,Datos!$B$2:$B$5000,$A339,Datos!$C$2:$C$5000,$B339,Datos!$D$2:$D$5000,H$2)=0,"",SUMIFS(Datos!$E$2:$E$5000,Datos!$A$2:$A$5000,H$1,Datos!$B$2:$B$5000,$A339,Datos!$C$2:$C$5000,$B339,Datos!$D$2:$D$5000,H$2))</f>
        <v/>
      </c>
      <c r="I339" s="9">
        <f>IF(COUNTIFS(Datos!$A$2:$A$5000,I$1,Datos!$B$2:$B$5000,$A339,Datos!$C$2:$C$5000,$B339,Datos!$D$2:$D$5000,I$2)=0,"",SUMIFS(Datos!$E$2:$E$5000,Datos!$A$2:$A$5000,I$1,Datos!$B$2:$B$5000,$A339,Datos!$C$2:$C$5000,$B339,Datos!$D$2:$D$5000,I$2))</f>
        <v/>
      </c>
      <c r="J339" s="9">
        <f>IF(COUNTIFS(Datos!$A$2:$A$5000,J$1,Datos!$B$2:$B$5000,$A339,Datos!$C$2:$C$5000,$B339,Datos!$D$2:$D$5000,J$2)=0,"",SUMIFS(Datos!$E$2:$E$5000,Datos!$A$2:$A$5000,J$1,Datos!$B$2:$B$5000,$A339,Datos!$C$2:$C$5000,$B339,Datos!$D$2:$D$5000,J$2))</f>
        <v/>
      </c>
    </row>
    <row r="340">
      <c r="A340" s="8" t="inlineStr">
        <is>
          <t>Uruguay</t>
        </is>
      </c>
      <c r="B340" s="8" t="n">
        <v>1998</v>
      </c>
      <c r="C340" s="9">
        <f>IF(COUNTIFS(Datos!$A$2:$A$5000,C$1,Datos!$B$2:$B$5000,$A340,Datos!$C$2:$C$5000,$B340,Datos!$D$2:$D$5000,C$2)=0,"",SUMIFS(Datos!$E$2:$E$5000,Datos!$A$2:$A$5000,C$1,Datos!$B$2:$B$5000,$A340,Datos!$C$2:$C$5000,$B340,Datos!$D$2:$D$5000,C$2))</f>
        <v/>
      </c>
      <c r="D340" s="9">
        <f>IF(COUNTIFS(Datos!$A$2:$A$5000,D$1,Datos!$B$2:$B$5000,$A340,Datos!$C$2:$C$5000,$B340,Datos!$D$2:$D$5000,D$2)=0,"",SUMIFS(Datos!$E$2:$E$5000,Datos!$A$2:$A$5000,D$1,Datos!$B$2:$B$5000,$A340,Datos!$C$2:$C$5000,$B340,Datos!$D$2:$D$5000,D$2))</f>
        <v/>
      </c>
      <c r="E340" s="9">
        <f>IF(COUNTIFS(Datos!$A$2:$A$5000,E$1,Datos!$B$2:$B$5000,$A340,Datos!$C$2:$C$5000,$B340,Datos!$D$2:$D$5000,E$2)=0,"",SUMIFS(Datos!$E$2:$E$5000,Datos!$A$2:$A$5000,E$1,Datos!$B$2:$B$5000,$A340,Datos!$C$2:$C$5000,$B340,Datos!$D$2:$D$5000,E$2))</f>
        <v/>
      </c>
      <c r="F340" s="9">
        <f>IF(COUNTIFS(Datos!$A$2:$A$5000,F$1,Datos!$B$2:$B$5000,$A340,Datos!$C$2:$C$5000,$B340,Datos!$D$2:$D$5000,F$2)=0,"",SUMIFS(Datos!$E$2:$E$5000,Datos!$A$2:$A$5000,F$1,Datos!$B$2:$B$5000,$A340,Datos!$C$2:$C$5000,$B340,Datos!$D$2:$D$5000,F$2))</f>
        <v/>
      </c>
      <c r="G340" s="9">
        <f>IF(COUNTIFS(Datos!$A$2:$A$5000,G$1,Datos!$B$2:$B$5000,$A340,Datos!$C$2:$C$5000,$B340,Datos!$D$2:$D$5000,G$2)=0,"",SUMIFS(Datos!$E$2:$E$5000,Datos!$A$2:$A$5000,G$1,Datos!$B$2:$B$5000,$A340,Datos!$C$2:$C$5000,$B340,Datos!$D$2:$D$5000,G$2))</f>
        <v/>
      </c>
      <c r="H340" s="9">
        <f>IF(COUNTIFS(Datos!$A$2:$A$5000,H$1,Datos!$B$2:$B$5000,$A340,Datos!$C$2:$C$5000,$B340,Datos!$D$2:$D$5000,H$2)=0,"",SUMIFS(Datos!$E$2:$E$5000,Datos!$A$2:$A$5000,H$1,Datos!$B$2:$B$5000,$A340,Datos!$C$2:$C$5000,$B340,Datos!$D$2:$D$5000,H$2))</f>
        <v/>
      </c>
      <c r="I340" s="9">
        <f>IF(COUNTIFS(Datos!$A$2:$A$5000,I$1,Datos!$B$2:$B$5000,$A340,Datos!$C$2:$C$5000,$B340,Datos!$D$2:$D$5000,I$2)=0,"",SUMIFS(Datos!$E$2:$E$5000,Datos!$A$2:$A$5000,I$1,Datos!$B$2:$B$5000,$A340,Datos!$C$2:$C$5000,$B340,Datos!$D$2:$D$5000,I$2))</f>
        <v/>
      </c>
      <c r="J340" s="9">
        <f>IF(COUNTIFS(Datos!$A$2:$A$5000,J$1,Datos!$B$2:$B$5000,$A340,Datos!$C$2:$C$5000,$B340,Datos!$D$2:$D$5000,J$2)=0,"",SUMIFS(Datos!$E$2:$E$5000,Datos!$A$2:$A$5000,J$1,Datos!$B$2:$B$5000,$A340,Datos!$C$2:$C$5000,$B340,Datos!$D$2:$D$5000,J$2))</f>
        <v/>
      </c>
    </row>
    <row r="341">
      <c r="A341" s="8" t="inlineStr">
        <is>
          <t>Uruguay</t>
        </is>
      </c>
      <c r="B341" s="8" t="n">
        <v>2000</v>
      </c>
      <c r="C341" s="9">
        <f>IF(COUNTIFS(Datos!$A$2:$A$5000,C$1,Datos!$B$2:$B$5000,$A341,Datos!$C$2:$C$5000,$B341,Datos!$D$2:$D$5000,C$2)=0,"",SUMIFS(Datos!$E$2:$E$5000,Datos!$A$2:$A$5000,C$1,Datos!$B$2:$B$5000,$A341,Datos!$C$2:$C$5000,$B341,Datos!$D$2:$D$5000,C$2))</f>
        <v/>
      </c>
      <c r="D341" s="9">
        <f>IF(COUNTIFS(Datos!$A$2:$A$5000,D$1,Datos!$B$2:$B$5000,$A341,Datos!$C$2:$C$5000,$B341,Datos!$D$2:$D$5000,D$2)=0,"",SUMIFS(Datos!$E$2:$E$5000,Datos!$A$2:$A$5000,D$1,Datos!$B$2:$B$5000,$A341,Datos!$C$2:$C$5000,$B341,Datos!$D$2:$D$5000,D$2))</f>
        <v/>
      </c>
      <c r="E341" s="9">
        <f>IF(COUNTIFS(Datos!$A$2:$A$5000,E$1,Datos!$B$2:$B$5000,$A341,Datos!$C$2:$C$5000,$B341,Datos!$D$2:$D$5000,E$2)=0,"",SUMIFS(Datos!$E$2:$E$5000,Datos!$A$2:$A$5000,E$1,Datos!$B$2:$B$5000,$A341,Datos!$C$2:$C$5000,$B341,Datos!$D$2:$D$5000,E$2))</f>
        <v/>
      </c>
      <c r="F341" s="9">
        <f>IF(COUNTIFS(Datos!$A$2:$A$5000,F$1,Datos!$B$2:$B$5000,$A341,Datos!$C$2:$C$5000,$B341,Datos!$D$2:$D$5000,F$2)=0,"",SUMIFS(Datos!$E$2:$E$5000,Datos!$A$2:$A$5000,F$1,Datos!$B$2:$B$5000,$A341,Datos!$C$2:$C$5000,$B341,Datos!$D$2:$D$5000,F$2))</f>
        <v/>
      </c>
      <c r="G341" s="9">
        <f>IF(COUNTIFS(Datos!$A$2:$A$5000,G$1,Datos!$B$2:$B$5000,$A341,Datos!$C$2:$C$5000,$B341,Datos!$D$2:$D$5000,G$2)=0,"",SUMIFS(Datos!$E$2:$E$5000,Datos!$A$2:$A$5000,G$1,Datos!$B$2:$B$5000,$A341,Datos!$C$2:$C$5000,$B341,Datos!$D$2:$D$5000,G$2))</f>
        <v/>
      </c>
      <c r="H341" s="9">
        <f>IF(COUNTIFS(Datos!$A$2:$A$5000,H$1,Datos!$B$2:$B$5000,$A341,Datos!$C$2:$C$5000,$B341,Datos!$D$2:$D$5000,H$2)=0,"",SUMIFS(Datos!$E$2:$E$5000,Datos!$A$2:$A$5000,H$1,Datos!$B$2:$B$5000,$A341,Datos!$C$2:$C$5000,$B341,Datos!$D$2:$D$5000,H$2))</f>
        <v/>
      </c>
      <c r="I341" s="9">
        <f>IF(COUNTIFS(Datos!$A$2:$A$5000,I$1,Datos!$B$2:$B$5000,$A341,Datos!$C$2:$C$5000,$B341,Datos!$D$2:$D$5000,I$2)=0,"",SUMIFS(Datos!$E$2:$E$5000,Datos!$A$2:$A$5000,I$1,Datos!$B$2:$B$5000,$A341,Datos!$C$2:$C$5000,$B341,Datos!$D$2:$D$5000,I$2))</f>
        <v/>
      </c>
      <c r="J341" s="9">
        <f>IF(COUNTIFS(Datos!$A$2:$A$5000,J$1,Datos!$B$2:$B$5000,$A341,Datos!$C$2:$C$5000,$B341,Datos!$D$2:$D$5000,J$2)=0,"",SUMIFS(Datos!$E$2:$E$5000,Datos!$A$2:$A$5000,J$1,Datos!$B$2:$B$5000,$A341,Datos!$C$2:$C$5000,$B341,Datos!$D$2:$D$5000,J$2))</f>
        <v/>
      </c>
    </row>
    <row r="342">
      <c r="A342" s="8" t="inlineStr">
        <is>
          <t>Uruguay</t>
        </is>
      </c>
      <c r="B342" s="8" t="n">
        <v>2001</v>
      </c>
      <c r="C342" s="9">
        <f>IF(COUNTIFS(Datos!$A$2:$A$5000,C$1,Datos!$B$2:$B$5000,$A342,Datos!$C$2:$C$5000,$B342,Datos!$D$2:$D$5000,C$2)=0,"",SUMIFS(Datos!$E$2:$E$5000,Datos!$A$2:$A$5000,C$1,Datos!$B$2:$B$5000,$A342,Datos!$C$2:$C$5000,$B342,Datos!$D$2:$D$5000,C$2))</f>
        <v/>
      </c>
      <c r="D342" s="9">
        <f>IF(COUNTIFS(Datos!$A$2:$A$5000,D$1,Datos!$B$2:$B$5000,$A342,Datos!$C$2:$C$5000,$B342,Datos!$D$2:$D$5000,D$2)=0,"",SUMIFS(Datos!$E$2:$E$5000,Datos!$A$2:$A$5000,D$1,Datos!$B$2:$B$5000,$A342,Datos!$C$2:$C$5000,$B342,Datos!$D$2:$D$5000,D$2))</f>
        <v/>
      </c>
      <c r="E342" s="9">
        <f>IF(COUNTIFS(Datos!$A$2:$A$5000,E$1,Datos!$B$2:$B$5000,$A342,Datos!$C$2:$C$5000,$B342,Datos!$D$2:$D$5000,E$2)=0,"",SUMIFS(Datos!$E$2:$E$5000,Datos!$A$2:$A$5000,E$1,Datos!$B$2:$B$5000,$A342,Datos!$C$2:$C$5000,$B342,Datos!$D$2:$D$5000,E$2))</f>
        <v/>
      </c>
      <c r="F342" s="9">
        <f>IF(COUNTIFS(Datos!$A$2:$A$5000,F$1,Datos!$B$2:$B$5000,$A342,Datos!$C$2:$C$5000,$B342,Datos!$D$2:$D$5000,F$2)=0,"",SUMIFS(Datos!$E$2:$E$5000,Datos!$A$2:$A$5000,F$1,Datos!$B$2:$B$5000,$A342,Datos!$C$2:$C$5000,$B342,Datos!$D$2:$D$5000,F$2))</f>
        <v/>
      </c>
      <c r="G342" s="9">
        <f>IF(COUNTIFS(Datos!$A$2:$A$5000,G$1,Datos!$B$2:$B$5000,$A342,Datos!$C$2:$C$5000,$B342,Datos!$D$2:$D$5000,G$2)=0,"",SUMIFS(Datos!$E$2:$E$5000,Datos!$A$2:$A$5000,G$1,Datos!$B$2:$B$5000,$A342,Datos!$C$2:$C$5000,$B342,Datos!$D$2:$D$5000,G$2))</f>
        <v/>
      </c>
      <c r="H342" s="9">
        <f>IF(COUNTIFS(Datos!$A$2:$A$5000,H$1,Datos!$B$2:$B$5000,$A342,Datos!$C$2:$C$5000,$B342,Datos!$D$2:$D$5000,H$2)=0,"",SUMIFS(Datos!$E$2:$E$5000,Datos!$A$2:$A$5000,H$1,Datos!$B$2:$B$5000,$A342,Datos!$C$2:$C$5000,$B342,Datos!$D$2:$D$5000,H$2))</f>
        <v/>
      </c>
      <c r="I342" s="9">
        <f>IF(COUNTIFS(Datos!$A$2:$A$5000,I$1,Datos!$B$2:$B$5000,$A342,Datos!$C$2:$C$5000,$B342,Datos!$D$2:$D$5000,I$2)=0,"",SUMIFS(Datos!$E$2:$E$5000,Datos!$A$2:$A$5000,I$1,Datos!$B$2:$B$5000,$A342,Datos!$C$2:$C$5000,$B342,Datos!$D$2:$D$5000,I$2))</f>
        <v/>
      </c>
      <c r="J342" s="9">
        <f>IF(COUNTIFS(Datos!$A$2:$A$5000,J$1,Datos!$B$2:$B$5000,$A342,Datos!$C$2:$C$5000,$B342,Datos!$D$2:$D$5000,J$2)=0,"",SUMIFS(Datos!$E$2:$E$5000,Datos!$A$2:$A$5000,J$1,Datos!$B$2:$B$5000,$A342,Datos!$C$2:$C$5000,$B342,Datos!$D$2:$D$5000,J$2))</f>
        <v/>
      </c>
    </row>
    <row r="343">
      <c r="A343" s="8" t="inlineStr">
        <is>
          <t>Uruguay</t>
        </is>
      </c>
      <c r="B343" s="8" t="n">
        <v>2002</v>
      </c>
      <c r="C343" s="9">
        <f>IF(COUNTIFS(Datos!$A$2:$A$5000,C$1,Datos!$B$2:$B$5000,$A343,Datos!$C$2:$C$5000,$B343,Datos!$D$2:$D$5000,C$2)=0,"",SUMIFS(Datos!$E$2:$E$5000,Datos!$A$2:$A$5000,C$1,Datos!$B$2:$B$5000,$A343,Datos!$C$2:$C$5000,$B343,Datos!$D$2:$D$5000,C$2))</f>
        <v/>
      </c>
      <c r="D343" s="9">
        <f>IF(COUNTIFS(Datos!$A$2:$A$5000,D$1,Datos!$B$2:$B$5000,$A343,Datos!$C$2:$C$5000,$B343,Datos!$D$2:$D$5000,D$2)=0,"",SUMIFS(Datos!$E$2:$E$5000,Datos!$A$2:$A$5000,D$1,Datos!$B$2:$B$5000,$A343,Datos!$C$2:$C$5000,$B343,Datos!$D$2:$D$5000,D$2))</f>
        <v/>
      </c>
      <c r="E343" s="9">
        <f>IF(COUNTIFS(Datos!$A$2:$A$5000,E$1,Datos!$B$2:$B$5000,$A343,Datos!$C$2:$C$5000,$B343,Datos!$D$2:$D$5000,E$2)=0,"",SUMIFS(Datos!$E$2:$E$5000,Datos!$A$2:$A$5000,E$1,Datos!$B$2:$B$5000,$A343,Datos!$C$2:$C$5000,$B343,Datos!$D$2:$D$5000,E$2))</f>
        <v/>
      </c>
      <c r="F343" s="9">
        <f>IF(COUNTIFS(Datos!$A$2:$A$5000,F$1,Datos!$B$2:$B$5000,$A343,Datos!$C$2:$C$5000,$B343,Datos!$D$2:$D$5000,F$2)=0,"",SUMIFS(Datos!$E$2:$E$5000,Datos!$A$2:$A$5000,F$1,Datos!$B$2:$B$5000,$A343,Datos!$C$2:$C$5000,$B343,Datos!$D$2:$D$5000,F$2))</f>
        <v/>
      </c>
      <c r="G343" s="9">
        <f>IF(COUNTIFS(Datos!$A$2:$A$5000,G$1,Datos!$B$2:$B$5000,$A343,Datos!$C$2:$C$5000,$B343,Datos!$D$2:$D$5000,G$2)=0,"",SUMIFS(Datos!$E$2:$E$5000,Datos!$A$2:$A$5000,G$1,Datos!$B$2:$B$5000,$A343,Datos!$C$2:$C$5000,$B343,Datos!$D$2:$D$5000,G$2))</f>
        <v/>
      </c>
      <c r="H343" s="9">
        <f>IF(COUNTIFS(Datos!$A$2:$A$5000,H$1,Datos!$B$2:$B$5000,$A343,Datos!$C$2:$C$5000,$B343,Datos!$D$2:$D$5000,H$2)=0,"",SUMIFS(Datos!$E$2:$E$5000,Datos!$A$2:$A$5000,H$1,Datos!$B$2:$B$5000,$A343,Datos!$C$2:$C$5000,$B343,Datos!$D$2:$D$5000,H$2))</f>
        <v/>
      </c>
      <c r="I343" s="9">
        <f>IF(COUNTIFS(Datos!$A$2:$A$5000,I$1,Datos!$B$2:$B$5000,$A343,Datos!$C$2:$C$5000,$B343,Datos!$D$2:$D$5000,I$2)=0,"",SUMIFS(Datos!$E$2:$E$5000,Datos!$A$2:$A$5000,I$1,Datos!$B$2:$B$5000,$A343,Datos!$C$2:$C$5000,$B343,Datos!$D$2:$D$5000,I$2))</f>
        <v/>
      </c>
      <c r="J343" s="9">
        <f>IF(COUNTIFS(Datos!$A$2:$A$5000,J$1,Datos!$B$2:$B$5000,$A343,Datos!$C$2:$C$5000,$B343,Datos!$D$2:$D$5000,J$2)=0,"",SUMIFS(Datos!$E$2:$E$5000,Datos!$A$2:$A$5000,J$1,Datos!$B$2:$B$5000,$A343,Datos!$C$2:$C$5000,$B343,Datos!$D$2:$D$5000,J$2))</f>
        <v/>
      </c>
    </row>
    <row r="344">
      <c r="A344" s="8" t="inlineStr">
        <is>
          <t>Uruguay</t>
        </is>
      </c>
      <c r="B344" s="8" t="n">
        <v>2003</v>
      </c>
      <c r="C344" s="9">
        <f>IF(COUNTIFS(Datos!$A$2:$A$5000,C$1,Datos!$B$2:$B$5000,$A344,Datos!$C$2:$C$5000,$B344,Datos!$D$2:$D$5000,C$2)=0,"",SUMIFS(Datos!$E$2:$E$5000,Datos!$A$2:$A$5000,C$1,Datos!$B$2:$B$5000,$A344,Datos!$C$2:$C$5000,$B344,Datos!$D$2:$D$5000,C$2))</f>
        <v/>
      </c>
      <c r="D344" s="9">
        <f>IF(COUNTIFS(Datos!$A$2:$A$5000,D$1,Datos!$B$2:$B$5000,$A344,Datos!$C$2:$C$5000,$B344,Datos!$D$2:$D$5000,D$2)=0,"",SUMIFS(Datos!$E$2:$E$5000,Datos!$A$2:$A$5000,D$1,Datos!$B$2:$B$5000,$A344,Datos!$C$2:$C$5000,$B344,Datos!$D$2:$D$5000,D$2))</f>
        <v/>
      </c>
      <c r="E344" s="9">
        <f>IF(COUNTIFS(Datos!$A$2:$A$5000,E$1,Datos!$B$2:$B$5000,$A344,Datos!$C$2:$C$5000,$B344,Datos!$D$2:$D$5000,E$2)=0,"",SUMIFS(Datos!$E$2:$E$5000,Datos!$A$2:$A$5000,E$1,Datos!$B$2:$B$5000,$A344,Datos!$C$2:$C$5000,$B344,Datos!$D$2:$D$5000,E$2))</f>
        <v/>
      </c>
      <c r="F344" s="9">
        <f>IF(COUNTIFS(Datos!$A$2:$A$5000,F$1,Datos!$B$2:$B$5000,$A344,Datos!$C$2:$C$5000,$B344,Datos!$D$2:$D$5000,F$2)=0,"",SUMIFS(Datos!$E$2:$E$5000,Datos!$A$2:$A$5000,F$1,Datos!$B$2:$B$5000,$A344,Datos!$C$2:$C$5000,$B344,Datos!$D$2:$D$5000,F$2))</f>
        <v/>
      </c>
      <c r="G344" s="9">
        <f>IF(COUNTIFS(Datos!$A$2:$A$5000,G$1,Datos!$B$2:$B$5000,$A344,Datos!$C$2:$C$5000,$B344,Datos!$D$2:$D$5000,G$2)=0,"",SUMIFS(Datos!$E$2:$E$5000,Datos!$A$2:$A$5000,G$1,Datos!$B$2:$B$5000,$A344,Datos!$C$2:$C$5000,$B344,Datos!$D$2:$D$5000,G$2))</f>
        <v/>
      </c>
      <c r="H344" s="9">
        <f>IF(COUNTIFS(Datos!$A$2:$A$5000,H$1,Datos!$B$2:$B$5000,$A344,Datos!$C$2:$C$5000,$B344,Datos!$D$2:$D$5000,H$2)=0,"",SUMIFS(Datos!$E$2:$E$5000,Datos!$A$2:$A$5000,H$1,Datos!$B$2:$B$5000,$A344,Datos!$C$2:$C$5000,$B344,Datos!$D$2:$D$5000,H$2))</f>
        <v/>
      </c>
      <c r="I344" s="9">
        <f>IF(COUNTIFS(Datos!$A$2:$A$5000,I$1,Datos!$B$2:$B$5000,$A344,Datos!$C$2:$C$5000,$B344,Datos!$D$2:$D$5000,I$2)=0,"",SUMIFS(Datos!$E$2:$E$5000,Datos!$A$2:$A$5000,I$1,Datos!$B$2:$B$5000,$A344,Datos!$C$2:$C$5000,$B344,Datos!$D$2:$D$5000,I$2))</f>
        <v/>
      </c>
      <c r="J344" s="9">
        <f>IF(COUNTIFS(Datos!$A$2:$A$5000,J$1,Datos!$B$2:$B$5000,$A344,Datos!$C$2:$C$5000,$B344,Datos!$D$2:$D$5000,J$2)=0,"",SUMIFS(Datos!$E$2:$E$5000,Datos!$A$2:$A$5000,J$1,Datos!$B$2:$B$5000,$A344,Datos!$C$2:$C$5000,$B344,Datos!$D$2:$D$5000,J$2))</f>
        <v/>
      </c>
    </row>
    <row r="345">
      <c r="A345" s="8" t="inlineStr">
        <is>
          <t>Uruguay</t>
        </is>
      </c>
      <c r="B345" s="8" t="n">
        <v>2004</v>
      </c>
      <c r="C345" s="9">
        <f>IF(COUNTIFS(Datos!$A$2:$A$5000,C$1,Datos!$B$2:$B$5000,$A345,Datos!$C$2:$C$5000,$B345,Datos!$D$2:$D$5000,C$2)=0,"",SUMIFS(Datos!$E$2:$E$5000,Datos!$A$2:$A$5000,C$1,Datos!$B$2:$B$5000,$A345,Datos!$C$2:$C$5000,$B345,Datos!$D$2:$D$5000,C$2))</f>
        <v/>
      </c>
      <c r="D345" s="9">
        <f>IF(COUNTIFS(Datos!$A$2:$A$5000,D$1,Datos!$B$2:$B$5000,$A345,Datos!$C$2:$C$5000,$B345,Datos!$D$2:$D$5000,D$2)=0,"",SUMIFS(Datos!$E$2:$E$5000,Datos!$A$2:$A$5000,D$1,Datos!$B$2:$B$5000,$A345,Datos!$C$2:$C$5000,$B345,Datos!$D$2:$D$5000,D$2))</f>
        <v/>
      </c>
      <c r="E345" s="9">
        <f>IF(COUNTIFS(Datos!$A$2:$A$5000,E$1,Datos!$B$2:$B$5000,$A345,Datos!$C$2:$C$5000,$B345,Datos!$D$2:$D$5000,E$2)=0,"",SUMIFS(Datos!$E$2:$E$5000,Datos!$A$2:$A$5000,E$1,Datos!$B$2:$B$5000,$A345,Datos!$C$2:$C$5000,$B345,Datos!$D$2:$D$5000,E$2))</f>
        <v/>
      </c>
      <c r="F345" s="9">
        <f>IF(COUNTIFS(Datos!$A$2:$A$5000,F$1,Datos!$B$2:$B$5000,$A345,Datos!$C$2:$C$5000,$B345,Datos!$D$2:$D$5000,F$2)=0,"",SUMIFS(Datos!$E$2:$E$5000,Datos!$A$2:$A$5000,F$1,Datos!$B$2:$B$5000,$A345,Datos!$C$2:$C$5000,$B345,Datos!$D$2:$D$5000,F$2))</f>
        <v/>
      </c>
      <c r="G345" s="9">
        <f>IF(COUNTIFS(Datos!$A$2:$A$5000,G$1,Datos!$B$2:$B$5000,$A345,Datos!$C$2:$C$5000,$B345,Datos!$D$2:$D$5000,G$2)=0,"",SUMIFS(Datos!$E$2:$E$5000,Datos!$A$2:$A$5000,G$1,Datos!$B$2:$B$5000,$A345,Datos!$C$2:$C$5000,$B345,Datos!$D$2:$D$5000,G$2))</f>
        <v/>
      </c>
      <c r="H345" s="9">
        <f>IF(COUNTIFS(Datos!$A$2:$A$5000,H$1,Datos!$B$2:$B$5000,$A345,Datos!$C$2:$C$5000,$B345,Datos!$D$2:$D$5000,H$2)=0,"",SUMIFS(Datos!$E$2:$E$5000,Datos!$A$2:$A$5000,H$1,Datos!$B$2:$B$5000,$A345,Datos!$C$2:$C$5000,$B345,Datos!$D$2:$D$5000,H$2))</f>
        <v/>
      </c>
      <c r="I345" s="9">
        <f>IF(COUNTIFS(Datos!$A$2:$A$5000,I$1,Datos!$B$2:$B$5000,$A345,Datos!$C$2:$C$5000,$B345,Datos!$D$2:$D$5000,I$2)=0,"",SUMIFS(Datos!$E$2:$E$5000,Datos!$A$2:$A$5000,I$1,Datos!$B$2:$B$5000,$A345,Datos!$C$2:$C$5000,$B345,Datos!$D$2:$D$5000,I$2))</f>
        <v/>
      </c>
      <c r="J345" s="9">
        <f>IF(COUNTIFS(Datos!$A$2:$A$5000,J$1,Datos!$B$2:$B$5000,$A345,Datos!$C$2:$C$5000,$B345,Datos!$D$2:$D$5000,J$2)=0,"",SUMIFS(Datos!$E$2:$E$5000,Datos!$A$2:$A$5000,J$1,Datos!$B$2:$B$5000,$A345,Datos!$C$2:$C$5000,$B345,Datos!$D$2:$D$5000,J$2))</f>
        <v/>
      </c>
    </row>
    <row r="346">
      <c r="A346" s="8" t="inlineStr">
        <is>
          <t>Uruguay</t>
        </is>
      </c>
      <c r="B346" s="8" t="n">
        <v>2005</v>
      </c>
      <c r="C346" s="9">
        <f>IF(COUNTIFS(Datos!$A$2:$A$5000,C$1,Datos!$B$2:$B$5000,$A346,Datos!$C$2:$C$5000,$B346,Datos!$D$2:$D$5000,C$2)=0,"",SUMIFS(Datos!$E$2:$E$5000,Datos!$A$2:$A$5000,C$1,Datos!$B$2:$B$5000,$A346,Datos!$C$2:$C$5000,$B346,Datos!$D$2:$D$5000,C$2))</f>
        <v/>
      </c>
      <c r="D346" s="9">
        <f>IF(COUNTIFS(Datos!$A$2:$A$5000,D$1,Datos!$B$2:$B$5000,$A346,Datos!$C$2:$C$5000,$B346,Datos!$D$2:$D$5000,D$2)=0,"",SUMIFS(Datos!$E$2:$E$5000,Datos!$A$2:$A$5000,D$1,Datos!$B$2:$B$5000,$A346,Datos!$C$2:$C$5000,$B346,Datos!$D$2:$D$5000,D$2))</f>
        <v/>
      </c>
      <c r="E346" s="9">
        <f>IF(COUNTIFS(Datos!$A$2:$A$5000,E$1,Datos!$B$2:$B$5000,$A346,Datos!$C$2:$C$5000,$B346,Datos!$D$2:$D$5000,E$2)=0,"",SUMIFS(Datos!$E$2:$E$5000,Datos!$A$2:$A$5000,E$1,Datos!$B$2:$B$5000,$A346,Datos!$C$2:$C$5000,$B346,Datos!$D$2:$D$5000,E$2))</f>
        <v/>
      </c>
      <c r="F346" s="9">
        <f>IF(COUNTIFS(Datos!$A$2:$A$5000,F$1,Datos!$B$2:$B$5000,$A346,Datos!$C$2:$C$5000,$B346,Datos!$D$2:$D$5000,F$2)=0,"",SUMIFS(Datos!$E$2:$E$5000,Datos!$A$2:$A$5000,F$1,Datos!$B$2:$B$5000,$A346,Datos!$C$2:$C$5000,$B346,Datos!$D$2:$D$5000,F$2))</f>
        <v/>
      </c>
      <c r="G346" s="9">
        <f>IF(COUNTIFS(Datos!$A$2:$A$5000,G$1,Datos!$B$2:$B$5000,$A346,Datos!$C$2:$C$5000,$B346,Datos!$D$2:$D$5000,G$2)=0,"",SUMIFS(Datos!$E$2:$E$5000,Datos!$A$2:$A$5000,G$1,Datos!$B$2:$B$5000,$A346,Datos!$C$2:$C$5000,$B346,Datos!$D$2:$D$5000,G$2))</f>
        <v/>
      </c>
      <c r="H346" s="9">
        <f>IF(COUNTIFS(Datos!$A$2:$A$5000,H$1,Datos!$B$2:$B$5000,$A346,Datos!$C$2:$C$5000,$B346,Datos!$D$2:$D$5000,H$2)=0,"",SUMIFS(Datos!$E$2:$E$5000,Datos!$A$2:$A$5000,H$1,Datos!$B$2:$B$5000,$A346,Datos!$C$2:$C$5000,$B346,Datos!$D$2:$D$5000,H$2))</f>
        <v/>
      </c>
      <c r="I346" s="9">
        <f>IF(COUNTIFS(Datos!$A$2:$A$5000,I$1,Datos!$B$2:$B$5000,$A346,Datos!$C$2:$C$5000,$B346,Datos!$D$2:$D$5000,I$2)=0,"",SUMIFS(Datos!$E$2:$E$5000,Datos!$A$2:$A$5000,I$1,Datos!$B$2:$B$5000,$A346,Datos!$C$2:$C$5000,$B346,Datos!$D$2:$D$5000,I$2))</f>
        <v/>
      </c>
      <c r="J346" s="9">
        <f>IF(COUNTIFS(Datos!$A$2:$A$5000,J$1,Datos!$B$2:$B$5000,$A346,Datos!$C$2:$C$5000,$B346,Datos!$D$2:$D$5000,J$2)=0,"",SUMIFS(Datos!$E$2:$E$5000,Datos!$A$2:$A$5000,J$1,Datos!$B$2:$B$5000,$A346,Datos!$C$2:$C$5000,$B346,Datos!$D$2:$D$5000,J$2))</f>
        <v/>
      </c>
    </row>
    <row r="347">
      <c r="A347" s="8" t="inlineStr">
        <is>
          <t>Uruguay</t>
        </is>
      </c>
      <c r="B347" s="8" t="n">
        <v>2006</v>
      </c>
      <c r="C347" s="9">
        <f>IF(COUNTIFS(Datos!$A$2:$A$5000,C$1,Datos!$B$2:$B$5000,$A347,Datos!$C$2:$C$5000,$B347,Datos!$D$2:$D$5000,C$2)=0,"",SUMIFS(Datos!$E$2:$E$5000,Datos!$A$2:$A$5000,C$1,Datos!$B$2:$B$5000,$A347,Datos!$C$2:$C$5000,$B347,Datos!$D$2:$D$5000,C$2))</f>
        <v/>
      </c>
      <c r="D347" s="9">
        <f>IF(COUNTIFS(Datos!$A$2:$A$5000,D$1,Datos!$B$2:$B$5000,$A347,Datos!$C$2:$C$5000,$B347,Datos!$D$2:$D$5000,D$2)=0,"",SUMIFS(Datos!$E$2:$E$5000,Datos!$A$2:$A$5000,D$1,Datos!$B$2:$B$5000,$A347,Datos!$C$2:$C$5000,$B347,Datos!$D$2:$D$5000,D$2))</f>
        <v/>
      </c>
      <c r="E347" s="9">
        <f>IF(COUNTIFS(Datos!$A$2:$A$5000,E$1,Datos!$B$2:$B$5000,$A347,Datos!$C$2:$C$5000,$B347,Datos!$D$2:$D$5000,E$2)=0,"",SUMIFS(Datos!$E$2:$E$5000,Datos!$A$2:$A$5000,E$1,Datos!$B$2:$B$5000,$A347,Datos!$C$2:$C$5000,$B347,Datos!$D$2:$D$5000,E$2))</f>
        <v/>
      </c>
      <c r="F347" s="9">
        <f>IF(COUNTIFS(Datos!$A$2:$A$5000,F$1,Datos!$B$2:$B$5000,$A347,Datos!$C$2:$C$5000,$B347,Datos!$D$2:$D$5000,F$2)=0,"",SUMIFS(Datos!$E$2:$E$5000,Datos!$A$2:$A$5000,F$1,Datos!$B$2:$B$5000,$A347,Datos!$C$2:$C$5000,$B347,Datos!$D$2:$D$5000,F$2))</f>
        <v/>
      </c>
      <c r="G347" s="9">
        <f>IF(COUNTIFS(Datos!$A$2:$A$5000,G$1,Datos!$B$2:$B$5000,$A347,Datos!$C$2:$C$5000,$B347,Datos!$D$2:$D$5000,G$2)=0,"",SUMIFS(Datos!$E$2:$E$5000,Datos!$A$2:$A$5000,G$1,Datos!$B$2:$B$5000,$A347,Datos!$C$2:$C$5000,$B347,Datos!$D$2:$D$5000,G$2))</f>
        <v/>
      </c>
      <c r="H347" s="9">
        <f>IF(COUNTIFS(Datos!$A$2:$A$5000,H$1,Datos!$B$2:$B$5000,$A347,Datos!$C$2:$C$5000,$B347,Datos!$D$2:$D$5000,H$2)=0,"",SUMIFS(Datos!$E$2:$E$5000,Datos!$A$2:$A$5000,H$1,Datos!$B$2:$B$5000,$A347,Datos!$C$2:$C$5000,$B347,Datos!$D$2:$D$5000,H$2))</f>
        <v/>
      </c>
      <c r="I347" s="9">
        <f>IF(COUNTIFS(Datos!$A$2:$A$5000,I$1,Datos!$B$2:$B$5000,$A347,Datos!$C$2:$C$5000,$B347,Datos!$D$2:$D$5000,I$2)=0,"",SUMIFS(Datos!$E$2:$E$5000,Datos!$A$2:$A$5000,I$1,Datos!$B$2:$B$5000,$A347,Datos!$C$2:$C$5000,$B347,Datos!$D$2:$D$5000,I$2))</f>
        <v/>
      </c>
      <c r="J347" s="9">
        <f>IF(COUNTIFS(Datos!$A$2:$A$5000,J$1,Datos!$B$2:$B$5000,$A347,Datos!$C$2:$C$5000,$B347,Datos!$D$2:$D$5000,J$2)=0,"",SUMIFS(Datos!$E$2:$E$5000,Datos!$A$2:$A$5000,J$1,Datos!$B$2:$B$5000,$A347,Datos!$C$2:$C$5000,$B347,Datos!$D$2:$D$5000,J$2))</f>
        <v/>
      </c>
    </row>
    <row r="348">
      <c r="A348" s="8" t="inlineStr">
        <is>
          <t>Uruguay</t>
        </is>
      </c>
      <c r="B348" s="8" t="n">
        <v>2007</v>
      </c>
      <c r="C348" s="9">
        <f>IF(COUNTIFS(Datos!$A$2:$A$5000,C$1,Datos!$B$2:$B$5000,$A348,Datos!$C$2:$C$5000,$B348,Datos!$D$2:$D$5000,C$2)=0,"",SUMIFS(Datos!$E$2:$E$5000,Datos!$A$2:$A$5000,C$1,Datos!$B$2:$B$5000,$A348,Datos!$C$2:$C$5000,$B348,Datos!$D$2:$D$5000,C$2))</f>
        <v/>
      </c>
      <c r="D348" s="9">
        <f>IF(COUNTIFS(Datos!$A$2:$A$5000,D$1,Datos!$B$2:$B$5000,$A348,Datos!$C$2:$C$5000,$B348,Datos!$D$2:$D$5000,D$2)=0,"",SUMIFS(Datos!$E$2:$E$5000,Datos!$A$2:$A$5000,D$1,Datos!$B$2:$B$5000,$A348,Datos!$C$2:$C$5000,$B348,Datos!$D$2:$D$5000,D$2))</f>
        <v/>
      </c>
      <c r="E348" s="9">
        <f>IF(COUNTIFS(Datos!$A$2:$A$5000,E$1,Datos!$B$2:$B$5000,$A348,Datos!$C$2:$C$5000,$B348,Datos!$D$2:$D$5000,E$2)=0,"",SUMIFS(Datos!$E$2:$E$5000,Datos!$A$2:$A$5000,E$1,Datos!$B$2:$B$5000,$A348,Datos!$C$2:$C$5000,$B348,Datos!$D$2:$D$5000,E$2))</f>
        <v/>
      </c>
      <c r="F348" s="9">
        <f>IF(COUNTIFS(Datos!$A$2:$A$5000,F$1,Datos!$B$2:$B$5000,$A348,Datos!$C$2:$C$5000,$B348,Datos!$D$2:$D$5000,F$2)=0,"",SUMIFS(Datos!$E$2:$E$5000,Datos!$A$2:$A$5000,F$1,Datos!$B$2:$B$5000,$A348,Datos!$C$2:$C$5000,$B348,Datos!$D$2:$D$5000,F$2))</f>
        <v/>
      </c>
      <c r="G348" s="9">
        <f>IF(COUNTIFS(Datos!$A$2:$A$5000,G$1,Datos!$B$2:$B$5000,$A348,Datos!$C$2:$C$5000,$B348,Datos!$D$2:$D$5000,G$2)=0,"",SUMIFS(Datos!$E$2:$E$5000,Datos!$A$2:$A$5000,G$1,Datos!$B$2:$B$5000,$A348,Datos!$C$2:$C$5000,$B348,Datos!$D$2:$D$5000,G$2))</f>
        <v/>
      </c>
      <c r="H348" s="9">
        <f>IF(COUNTIFS(Datos!$A$2:$A$5000,H$1,Datos!$B$2:$B$5000,$A348,Datos!$C$2:$C$5000,$B348,Datos!$D$2:$D$5000,H$2)=0,"",SUMIFS(Datos!$E$2:$E$5000,Datos!$A$2:$A$5000,H$1,Datos!$B$2:$B$5000,$A348,Datos!$C$2:$C$5000,$B348,Datos!$D$2:$D$5000,H$2))</f>
        <v/>
      </c>
      <c r="I348" s="9">
        <f>IF(COUNTIFS(Datos!$A$2:$A$5000,I$1,Datos!$B$2:$B$5000,$A348,Datos!$C$2:$C$5000,$B348,Datos!$D$2:$D$5000,I$2)=0,"",SUMIFS(Datos!$E$2:$E$5000,Datos!$A$2:$A$5000,I$1,Datos!$B$2:$B$5000,$A348,Datos!$C$2:$C$5000,$B348,Datos!$D$2:$D$5000,I$2))</f>
        <v/>
      </c>
      <c r="J348" s="9">
        <f>IF(COUNTIFS(Datos!$A$2:$A$5000,J$1,Datos!$B$2:$B$5000,$A348,Datos!$C$2:$C$5000,$B348,Datos!$D$2:$D$5000,J$2)=0,"",SUMIFS(Datos!$E$2:$E$5000,Datos!$A$2:$A$5000,J$1,Datos!$B$2:$B$5000,$A348,Datos!$C$2:$C$5000,$B348,Datos!$D$2:$D$5000,J$2))</f>
        <v/>
      </c>
    </row>
    <row r="349">
      <c r="A349" s="8" t="inlineStr">
        <is>
          <t>Uruguay</t>
        </is>
      </c>
      <c r="B349" s="8" t="n">
        <v>2008</v>
      </c>
      <c r="C349" s="9">
        <f>IF(COUNTIFS(Datos!$A$2:$A$5000,C$1,Datos!$B$2:$B$5000,$A349,Datos!$C$2:$C$5000,$B349,Datos!$D$2:$D$5000,C$2)=0,"",SUMIFS(Datos!$E$2:$E$5000,Datos!$A$2:$A$5000,C$1,Datos!$B$2:$B$5000,$A349,Datos!$C$2:$C$5000,$B349,Datos!$D$2:$D$5000,C$2))</f>
        <v/>
      </c>
      <c r="D349" s="9">
        <f>IF(COUNTIFS(Datos!$A$2:$A$5000,D$1,Datos!$B$2:$B$5000,$A349,Datos!$C$2:$C$5000,$B349,Datos!$D$2:$D$5000,D$2)=0,"",SUMIFS(Datos!$E$2:$E$5000,Datos!$A$2:$A$5000,D$1,Datos!$B$2:$B$5000,$A349,Datos!$C$2:$C$5000,$B349,Datos!$D$2:$D$5000,D$2))</f>
        <v/>
      </c>
      <c r="E349" s="9">
        <f>IF(COUNTIFS(Datos!$A$2:$A$5000,E$1,Datos!$B$2:$B$5000,$A349,Datos!$C$2:$C$5000,$B349,Datos!$D$2:$D$5000,E$2)=0,"",SUMIFS(Datos!$E$2:$E$5000,Datos!$A$2:$A$5000,E$1,Datos!$B$2:$B$5000,$A349,Datos!$C$2:$C$5000,$B349,Datos!$D$2:$D$5000,E$2))</f>
        <v/>
      </c>
      <c r="F349" s="9">
        <f>IF(COUNTIFS(Datos!$A$2:$A$5000,F$1,Datos!$B$2:$B$5000,$A349,Datos!$C$2:$C$5000,$B349,Datos!$D$2:$D$5000,F$2)=0,"",SUMIFS(Datos!$E$2:$E$5000,Datos!$A$2:$A$5000,F$1,Datos!$B$2:$B$5000,$A349,Datos!$C$2:$C$5000,$B349,Datos!$D$2:$D$5000,F$2))</f>
        <v/>
      </c>
      <c r="G349" s="9">
        <f>IF(COUNTIFS(Datos!$A$2:$A$5000,G$1,Datos!$B$2:$B$5000,$A349,Datos!$C$2:$C$5000,$B349,Datos!$D$2:$D$5000,G$2)=0,"",SUMIFS(Datos!$E$2:$E$5000,Datos!$A$2:$A$5000,G$1,Datos!$B$2:$B$5000,$A349,Datos!$C$2:$C$5000,$B349,Datos!$D$2:$D$5000,G$2))</f>
        <v/>
      </c>
      <c r="H349" s="9">
        <f>IF(COUNTIFS(Datos!$A$2:$A$5000,H$1,Datos!$B$2:$B$5000,$A349,Datos!$C$2:$C$5000,$B349,Datos!$D$2:$D$5000,H$2)=0,"",SUMIFS(Datos!$E$2:$E$5000,Datos!$A$2:$A$5000,H$1,Datos!$B$2:$B$5000,$A349,Datos!$C$2:$C$5000,$B349,Datos!$D$2:$D$5000,H$2))</f>
        <v/>
      </c>
      <c r="I349" s="9">
        <f>IF(COUNTIFS(Datos!$A$2:$A$5000,I$1,Datos!$B$2:$B$5000,$A349,Datos!$C$2:$C$5000,$B349,Datos!$D$2:$D$5000,I$2)=0,"",SUMIFS(Datos!$E$2:$E$5000,Datos!$A$2:$A$5000,I$1,Datos!$B$2:$B$5000,$A349,Datos!$C$2:$C$5000,$B349,Datos!$D$2:$D$5000,I$2))</f>
        <v/>
      </c>
      <c r="J349" s="9">
        <f>IF(COUNTIFS(Datos!$A$2:$A$5000,J$1,Datos!$B$2:$B$5000,$A349,Datos!$C$2:$C$5000,$B349,Datos!$D$2:$D$5000,J$2)=0,"",SUMIFS(Datos!$E$2:$E$5000,Datos!$A$2:$A$5000,J$1,Datos!$B$2:$B$5000,$A349,Datos!$C$2:$C$5000,$B349,Datos!$D$2:$D$5000,J$2))</f>
        <v/>
      </c>
    </row>
    <row r="350">
      <c r="A350" s="8" t="inlineStr">
        <is>
          <t>Uruguay</t>
        </is>
      </c>
      <c r="B350" s="8" t="n">
        <v>2009</v>
      </c>
      <c r="C350" s="9">
        <f>IF(COUNTIFS(Datos!$A$2:$A$5000,C$1,Datos!$B$2:$B$5000,$A350,Datos!$C$2:$C$5000,$B350,Datos!$D$2:$D$5000,C$2)=0,"",SUMIFS(Datos!$E$2:$E$5000,Datos!$A$2:$A$5000,C$1,Datos!$B$2:$B$5000,$A350,Datos!$C$2:$C$5000,$B350,Datos!$D$2:$D$5000,C$2))</f>
        <v/>
      </c>
      <c r="D350" s="9">
        <f>IF(COUNTIFS(Datos!$A$2:$A$5000,D$1,Datos!$B$2:$B$5000,$A350,Datos!$C$2:$C$5000,$B350,Datos!$D$2:$D$5000,D$2)=0,"",SUMIFS(Datos!$E$2:$E$5000,Datos!$A$2:$A$5000,D$1,Datos!$B$2:$B$5000,$A350,Datos!$C$2:$C$5000,$B350,Datos!$D$2:$D$5000,D$2))</f>
        <v/>
      </c>
      <c r="E350" s="9">
        <f>IF(COUNTIFS(Datos!$A$2:$A$5000,E$1,Datos!$B$2:$B$5000,$A350,Datos!$C$2:$C$5000,$B350,Datos!$D$2:$D$5000,E$2)=0,"",SUMIFS(Datos!$E$2:$E$5000,Datos!$A$2:$A$5000,E$1,Datos!$B$2:$B$5000,$A350,Datos!$C$2:$C$5000,$B350,Datos!$D$2:$D$5000,E$2))</f>
        <v/>
      </c>
      <c r="F350" s="9">
        <f>IF(COUNTIFS(Datos!$A$2:$A$5000,F$1,Datos!$B$2:$B$5000,$A350,Datos!$C$2:$C$5000,$B350,Datos!$D$2:$D$5000,F$2)=0,"",SUMIFS(Datos!$E$2:$E$5000,Datos!$A$2:$A$5000,F$1,Datos!$B$2:$B$5000,$A350,Datos!$C$2:$C$5000,$B350,Datos!$D$2:$D$5000,F$2))</f>
        <v/>
      </c>
      <c r="G350" s="9">
        <f>IF(COUNTIFS(Datos!$A$2:$A$5000,G$1,Datos!$B$2:$B$5000,$A350,Datos!$C$2:$C$5000,$B350,Datos!$D$2:$D$5000,G$2)=0,"",SUMIFS(Datos!$E$2:$E$5000,Datos!$A$2:$A$5000,G$1,Datos!$B$2:$B$5000,$A350,Datos!$C$2:$C$5000,$B350,Datos!$D$2:$D$5000,G$2))</f>
        <v/>
      </c>
      <c r="H350" s="9">
        <f>IF(COUNTIFS(Datos!$A$2:$A$5000,H$1,Datos!$B$2:$B$5000,$A350,Datos!$C$2:$C$5000,$B350,Datos!$D$2:$D$5000,H$2)=0,"",SUMIFS(Datos!$E$2:$E$5000,Datos!$A$2:$A$5000,H$1,Datos!$B$2:$B$5000,$A350,Datos!$C$2:$C$5000,$B350,Datos!$D$2:$D$5000,H$2))</f>
        <v/>
      </c>
      <c r="I350" s="9">
        <f>IF(COUNTIFS(Datos!$A$2:$A$5000,I$1,Datos!$B$2:$B$5000,$A350,Datos!$C$2:$C$5000,$B350,Datos!$D$2:$D$5000,I$2)=0,"",SUMIFS(Datos!$E$2:$E$5000,Datos!$A$2:$A$5000,I$1,Datos!$B$2:$B$5000,$A350,Datos!$C$2:$C$5000,$B350,Datos!$D$2:$D$5000,I$2))</f>
        <v/>
      </c>
      <c r="J350" s="9">
        <f>IF(COUNTIFS(Datos!$A$2:$A$5000,J$1,Datos!$B$2:$B$5000,$A350,Datos!$C$2:$C$5000,$B350,Datos!$D$2:$D$5000,J$2)=0,"",SUMIFS(Datos!$E$2:$E$5000,Datos!$A$2:$A$5000,J$1,Datos!$B$2:$B$5000,$A350,Datos!$C$2:$C$5000,$B350,Datos!$D$2:$D$5000,J$2))</f>
        <v/>
      </c>
    </row>
    <row r="351">
      <c r="A351" s="8" t="inlineStr">
        <is>
          <t>Uruguay</t>
        </is>
      </c>
      <c r="B351" s="8" t="n">
        <v>2010</v>
      </c>
      <c r="C351" s="9">
        <f>IF(COUNTIFS(Datos!$A$2:$A$5000,C$1,Datos!$B$2:$B$5000,$A351,Datos!$C$2:$C$5000,$B351,Datos!$D$2:$D$5000,C$2)=0,"",SUMIFS(Datos!$E$2:$E$5000,Datos!$A$2:$A$5000,C$1,Datos!$B$2:$B$5000,$A351,Datos!$C$2:$C$5000,$B351,Datos!$D$2:$D$5000,C$2))</f>
        <v/>
      </c>
      <c r="D351" s="9">
        <f>IF(COUNTIFS(Datos!$A$2:$A$5000,D$1,Datos!$B$2:$B$5000,$A351,Datos!$C$2:$C$5000,$B351,Datos!$D$2:$D$5000,D$2)=0,"",SUMIFS(Datos!$E$2:$E$5000,Datos!$A$2:$A$5000,D$1,Datos!$B$2:$B$5000,$A351,Datos!$C$2:$C$5000,$B351,Datos!$D$2:$D$5000,D$2))</f>
        <v/>
      </c>
      <c r="E351" s="9">
        <f>IF(COUNTIFS(Datos!$A$2:$A$5000,E$1,Datos!$B$2:$B$5000,$A351,Datos!$C$2:$C$5000,$B351,Datos!$D$2:$D$5000,E$2)=0,"",SUMIFS(Datos!$E$2:$E$5000,Datos!$A$2:$A$5000,E$1,Datos!$B$2:$B$5000,$A351,Datos!$C$2:$C$5000,$B351,Datos!$D$2:$D$5000,E$2))</f>
        <v/>
      </c>
      <c r="F351" s="9">
        <f>IF(COUNTIFS(Datos!$A$2:$A$5000,F$1,Datos!$B$2:$B$5000,$A351,Datos!$C$2:$C$5000,$B351,Datos!$D$2:$D$5000,F$2)=0,"",SUMIFS(Datos!$E$2:$E$5000,Datos!$A$2:$A$5000,F$1,Datos!$B$2:$B$5000,$A351,Datos!$C$2:$C$5000,$B351,Datos!$D$2:$D$5000,F$2))</f>
        <v/>
      </c>
      <c r="G351" s="9">
        <f>IF(COUNTIFS(Datos!$A$2:$A$5000,G$1,Datos!$B$2:$B$5000,$A351,Datos!$C$2:$C$5000,$B351,Datos!$D$2:$D$5000,G$2)=0,"",SUMIFS(Datos!$E$2:$E$5000,Datos!$A$2:$A$5000,G$1,Datos!$B$2:$B$5000,$A351,Datos!$C$2:$C$5000,$B351,Datos!$D$2:$D$5000,G$2))</f>
        <v/>
      </c>
      <c r="H351" s="9">
        <f>IF(COUNTIFS(Datos!$A$2:$A$5000,H$1,Datos!$B$2:$B$5000,$A351,Datos!$C$2:$C$5000,$B351,Datos!$D$2:$D$5000,H$2)=0,"",SUMIFS(Datos!$E$2:$E$5000,Datos!$A$2:$A$5000,H$1,Datos!$B$2:$B$5000,$A351,Datos!$C$2:$C$5000,$B351,Datos!$D$2:$D$5000,H$2))</f>
        <v/>
      </c>
      <c r="I351" s="9">
        <f>IF(COUNTIFS(Datos!$A$2:$A$5000,I$1,Datos!$B$2:$B$5000,$A351,Datos!$C$2:$C$5000,$B351,Datos!$D$2:$D$5000,I$2)=0,"",SUMIFS(Datos!$E$2:$E$5000,Datos!$A$2:$A$5000,I$1,Datos!$B$2:$B$5000,$A351,Datos!$C$2:$C$5000,$B351,Datos!$D$2:$D$5000,I$2))</f>
        <v/>
      </c>
      <c r="J351" s="9">
        <f>IF(COUNTIFS(Datos!$A$2:$A$5000,J$1,Datos!$B$2:$B$5000,$A351,Datos!$C$2:$C$5000,$B351,Datos!$D$2:$D$5000,J$2)=0,"",SUMIFS(Datos!$E$2:$E$5000,Datos!$A$2:$A$5000,J$1,Datos!$B$2:$B$5000,$A351,Datos!$C$2:$C$5000,$B351,Datos!$D$2:$D$5000,J$2))</f>
        <v/>
      </c>
    </row>
    <row r="352">
      <c r="A352" s="8" t="inlineStr">
        <is>
          <t>Uruguay</t>
        </is>
      </c>
      <c r="B352" s="8" t="n">
        <v>2011</v>
      </c>
      <c r="C352" s="9">
        <f>IF(COUNTIFS(Datos!$A$2:$A$5000,C$1,Datos!$B$2:$B$5000,$A352,Datos!$C$2:$C$5000,$B352,Datos!$D$2:$D$5000,C$2)=0,"",SUMIFS(Datos!$E$2:$E$5000,Datos!$A$2:$A$5000,C$1,Datos!$B$2:$B$5000,$A352,Datos!$C$2:$C$5000,$B352,Datos!$D$2:$D$5000,C$2))</f>
        <v/>
      </c>
      <c r="D352" s="9">
        <f>IF(COUNTIFS(Datos!$A$2:$A$5000,D$1,Datos!$B$2:$B$5000,$A352,Datos!$C$2:$C$5000,$B352,Datos!$D$2:$D$5000,D$2)=0,"",SUMIFS(Datos!$E$2:$E$5000,Datos!$A$2:$A$5000,D$1,Datos!$B$2:$B$5000,$A352,Datos!$C$2:$C$5000,$B352,Datos!$D$2:$D$5000,D$2))</f>
        <v/>
      </c>
      <c r="E352" s="9">
        <f>IF(COUNTIFS(Datos!$A$2:$A$5000,E$1,Datos!$B$2:$B$5000,$A352,Datos!$C$2:$C$5000,$B352,Datos!$D$2:$D$5000,E$2)=0,"",SUMIFS(Datos!$E$2:$E$5000,Datos!$A$2:$A$5000,E$1,Datos!$B$2:$B$5000,$A352,Datos!$C$2:$C$5000,$B352,Datos!$D$2:$D$5000,E$2))</f>
        <v/>
      </c>
      <c r="F352" s="9">
        <f>IF(COUNTIFS(Datos!$A$2:$A$5000,F$1,Datos!$B$2:$B$5000,$A352,Datos!$C$2:$C$5000,$B352,Datos!$D$2:$D$5000,F$2)=0,"",SUMIFS(Datos!$E$2:$E$5000,Datos!$A$2:$A$5000,F$1,Datos!$B$2:$B$5000,$A352,Datos!$C$2:$C$5000,$B352,Datos!$D$2:$D$5000,F$2))</f>
        <v/>
      </c>
      <c r="G352" s="9">
        <f>IF(COUNTIFS(Datos!$A$2:$A$5000,G$1,Datos!$B$2:$B$5000,$A352,Datos!$C$2:$C$5000,$B352,Datos!$D$2:$D$5000,G$2)=0,"",SUMIFS(Datos!$E$2:$E$5000,Datos!$A$2:$A$5000,G$1,Datos!$B$2:$B$5000,$A352,Datos!$C$2:$C$5000,$B352,Datos!$D$2:$D$5000,G$2))</f>
        <v/>
      </c>
      <c r="H352" s="9">
        <f>IF(COUNTIFS(Datos!$A$2:$A$5000,H$1,Datos!$B$2:$B$5000,$A352,Datos!$C$2:$C$5000,$B352,Datos!$D$2:$D$5000,H$2)=0,"",SUMIFS(Datos!$E$2:$E$5000,Datos!$A$2:$A$5000,H$1,Datos!$B$2:$B$5000,$A352,Datos!$C$2:$C$5000,$B352,Datos!$D$2:$D$5000,H$2))</f>
        <v/>
      </c>
      <c r="I352" s="9">
        <f>IF(COUNTIFS(Datos!$A$2:$A$5000,I$1,Datos!$B$2:$B$5000,$A352,Datos!$C$2:$C$5000,$B352,Datos!$D$2:$D$5000,I$2)=0,"",SUMIFS(Datos!$E$2:$E$5000,Datos!$A$2:$A$5000,I$1,Datos!$B$2:$B$5000,$A352,Datos!$C$2:$C$5000,$B352,Datos!$D$2:$D$5000,I$2))</f>
        <v/>
      </c>
      <c r="J352" s="9">
        <f>IF(COUNTIFS(Datos!$A$2:$A$5000,J$1,Datos!$B$2:$B$5000,$A352,Datos!$C$2:$C$5000,$B352,Datos!$D$2:$D$5000,J$2)=0,"",SUMIFS(Datos!$E$2:$E$5000,Datos!$A$2:$A$5000,J$1,Datos!$B$2:$B$5000,$A352,Datos!$C$2:$C$5000,$B352,Datos!$D$2:$D$5000,J$2))</f>
        <v/>
      </c>
    </row>
    <row r="353">
      <c r="A353" s="8" t="inlineStr">
        <is>
          <t>Uruguay</t>
        </is>
      </c>
      <c r="B353" s="8" t="n">
        <v>2016</v>
      </c>
      <c r="C353" s="9">
        <f>IF(COUNTIFS(Datos!$A$2:$A$5000,C$1,Datos!$B$2:$B$5000,$A353,Datos!$C$2:$C$5000,$B353,Datos!$D$2:$D$5000,C$2)=0,"",SUMIFS(Datos!$E$2:$E$5000,Datos!$A$2:$A$5000,C$1,Datos!$B$2:$B$5000,$A353,Datos!$C$2:$C$5000,$B353,Datos!$D$2:$D$5000,C$2))</f>
        <v/>
      </c>
      <c r="D353" s="9">
        <f>IF(COUNTIFS(Datos!$A$2:$A$5000,D$1,Datos!$B$2:$B$5000,$A353,Datos!$C$2:$C$5000,$B353,Datos!$D$2:$D$5000,D$2)=0,"",SUMIFS(Datos!$E$2:$E$5000,Datos!$A$2:$A$5000,D$1,Datos!$B$2:$B$5000,$A353,Datos!$C$2:$C$5000,$B353,Datos!$D$2:$D$5000,D$2))</f>
        <v/>
      </c>
      <c r="E353" s="9">
        <f>IF(COUNTIFS(Datos!$A$2:$A$5000,E$1,Datos!$B$2:$B$5000,$A353,Datos!$C$2:$C$5000,$B353,Datos!$D$2:$D$5000,E$2)=0,"",SUMIFS(Datos!$E$2:$E$5000,Datos!$A$2:$A$5000,E$1,Datos!$B$2:$B$5000,$A353,Datos!$C$2:$C$5000,$B353,Datos!$D$2:$D$5000,E$2))</f>
        <v/>
      </c>
      <c r="F353" s="9">
        <f>IF(COUNTIFS(Datos!$A$2:$A$5000,F$1,Datos!$B$2:$B$5000,$A353,Datos!$C$2:$C$5000,$B353,Datos!$D$2:$D$5000,F$2)=0,"",SUMIFS(Datos!$E$2:$E$5000,Datos!$A$2:$A$5000,F$1,Datos!$B$2:$B$5000,$A353,Datos!$C$2:$C$5000,$B353,Datos!$D$2:$D$5000,F$2))</f>
        <v/>
      </c>
      <c r="G353" s="9">
        <f>IF(COUNTIFS(Datos!$A$2:$A$5000,G$1,Datos!$B$2:$B$5000,$A353,Datos!$C$2:$C$5000,$B353,Datos!$D$2:$D$5000,G$2)=0,"",SUMIFS(Datos!$E$2:$E$5000,Datos!$A$2:$A$5000,G$1,Datos!$B$2:$B$5000,$A353,Datos!$C$2:$C$5000,$B353,Datos!$D$2:$D$5000,G$2))</f>
        <v/>
      </c>
      <c r="H353" s="9">
        <f>IF(COUNTIFS(Datos!$A$2:$A$5000,H$1,Datos!$B$2:$B$5000,$A353,Datos!$C$2:$C$5000,$B353,Datos!$D$2:$D$5000,H$2)=0,"",SUMIFS(Datos!$E$2:$E$5000,Datos!$A$2:$A$5000,H$1,Datos!$B$2:$B$5000,$A353,Datos!$C$2:$C$5000,$B353,Datos!$D$2:$D$5000,H$2))</f>
        <v/>
      </c>
      <c r="I353" s="9">
        <f>IF(COUNTIFS(Datos!$A$2:$A$5000,I$1,Datos!$B$2:$B$5000,$A353,Datos!$C$2:$C$5000,$B353,Datos!$D$2:$D$5000,I$2)=0,"",SUMIFS(Datos!$E$2:$E$5000,Datos!$A$2:$A$5000,I$1,Datos!$B$2:$B$5000,$A353,Datos!$C$2:$C$5000,$B353,Datos!$D$2:$D$5000,I$2))</f>
        <v/>
      </c>
      <c r="J353" s="9">
        <f>IF(COUNTIFS(Datos!$A$2:$A$5000,J$1,Datos!$B$2:$B$5000,$A353,Datos!$C$2:$C$5000,$B353,Datos!$D$2:$D$5000,J$2)=0,"",SUMIFS(Datos!$E$2:$E$5000,Datos!$A$2:$A$5000,J$1,Datos!$B$2:$B$5000,$A353,Datos!$C$2:$C$5000,$B353,Datos!$D$2:$D$5000,J$2))</f>
        <v/>
      </c>
    </row>
    <row r="354">
      <c r="A354" s="8" t="inlineStr">
        <is>
          <t>Uruguay</t>
        </is>
      </c>
      <c r="B354" s="8" t="n">
        <v>2017</v>
      </c>
      <c r="C354" s="9">
        <f>IF(COUNTIFS(Datos!$A$2:$A$5000,C$1,Datos!$B$2:$B$5000,$A354,Datos!$C$2:$C$5000,$B354,Datos!$D$2:$D$5000,C$2)=0,"",SUMIFS(Datos!$E$2:$E$5000,Datos!$A$2:$A$5000,C$1,Datos!$B$2:$B$5000,$A354,Datos!$C$2:$C$5000,$B354,Datos!$D$2:$D$5000,C$2))</f>
        <v/>
      </c>
      <c r="D354" s="9">
        <f>IF(COUNTIFS(Datos!$A$2:$A$5000,D$1,Datos!$B$2:$B$5000,$A354,Datos!$C$2:$C$5000,$B354,Datos!$D$2:$D$5000,D$2)=0,"",SUMIFS(Datos!$E$2:$E$5000,Datos!$A$2:$A$5000,D$1,Datos!$B$2:$B$5000,$A354,Datos!$C$2:$C$5000,$B354,Datos!$D$2:$D$5000,D$2))</f>
        <v/>
      </c>
      <c r="E354" s="9">
        <f>IF(COUNTIFS(Datos!$A$2:$A$5000,E$1,Datos!$B$2:$B$5000,$A354,Datos!$C$2:$C$5000,$B354,Datos!$D$2:$D$5000,E$2)=0,"",SUMIFS(Datos!$E$2:$E$5000,Datos!$A$2:$A$5000,E$1,Datos!$B$2:$B$5000,$A354,Datos!$C$2:$C$5000,$B354,Datos!$D$2:$D$5000,E$2))</f>
        <v/>
      </c>
      <c r="F354" s="9">
        <f>IF(COUNTIFS(Datos!$A$2:$A$5000,F$1,Datos!$B$2:$B$5000,$A354,Datos!$C$2:$C$5000,$B354,Datos!$D$2:$D$5000,F$2)=0,"",SUMIFS(Datos!$E$2:$E$5000,Datos!$A$2:$A$5000,F$1,Datos!$B$2:$B$5000,$A354,Datos!$C$2:$C$5000,$B354,Datos!$D$2:$D$5000,F$2))</f>
        <v/>
      </c>
      <c r="G354" s="9">
        <f>IF(COUNTIFS(Datos!$A$2:$A$5000,G$1,Datos!$B$2:$B$5000,$A354,Datos!$C$2:$C$5000,$B354,Datos!$D$2:$D$5000,G$2)=0,"",SUMIFS(Datos!$E$2:$E$5000,Datos!$A$2:$A$5000,G$1,Datos!$B$2:$B$5000,$A354,Datos!$C$2:$C$5000,$B354,Datos!$D$2:$D$5000,G$2))</f>
        <v/>
      </c>
      <c r="H354" s="9">
        <f>IF(COUNTIFS(Datos!$A$2:$A$5000,H$1,Datos!$B$2:$B$5000,$A354,Datos!$C$2:$C$5000,$B354,Datos!$D$2:$D$5000,H$2)=0,"",SUMIFS(Datos!$E$2:$E$5000,Datos!$A$2:$A$5000,H$1,Datos!$B$2:$B$5000,$A354,Datos!$C$2:$C$5000,$B354,Datos!$D$2:$D$5000,H$2))</f>
        <v/>
      </c>
      <c r="I354" s="9">
        <f>IF(COUNTIFS(Datos!$A$2:$A$5000,I$1,Datos!$B$2:$B$5000,$A354,Datos!$C$2:$C$5000,$B354,Datos!$D$2:$D$5000,I$2)=0,"",SUMIFS(Datos!$E$2:$E$5000,Datos!$A$2:$A$5000,I$1,Datos!$B$2:$B$5000,$A354,Datos!$C$2:$C$5000,$B354,Datos!$D$2:$D$5000,I$2))</f>
        <v/>
      </c>
      <c r="J354" s="9">
        <f>IF(COUNTIFS(Datos!$A$2:$A$5000,J$1,Datos!$B$2:$B$5000,$A354,Datos!$C$2:$C$5000,$B354,Datos!$D$2:$D$5000,J$2)=0,"",SUMIFS(Datos!$E$2:$E$5000,Datos!$A$2:$A$5000,J$1,Datos!$B$2:$B$5000,$A354,Datos!$C$2:$C$5000,$B354,Datos!$D$2:$D$5000,J$2))</f>
        <v/>
      </c>
    </row>
    <row r="355">
      <c r="A355" s="8" t="inlineStr">
        <is>
          <t>Uruguay</t>
        </is>
      </c>
      <c r="B355" s="8" t="n">
        <v>2018</v>
      </c>
      <c r="C355" s="9">
        <f>IF(COUNTIFS(Datos!$A$2:$A$5000,C$1,Datos!$B$2:$B$5000,$A355,Datos!$C$2:$C$5000,$B355,Datos!$D$2:$D$5000,C$2)=0,"",SUMIFS(Datos!$E$2:$E$5000,Datos!$A$2:$A$5000,C$1,Datos!$B$2:$B$5000,$A355,Datos!$C$2:$C$5000,$B355,Datos!$D$2:$D$5000,C$2))</f>
        <v/>
      </c>
      <c r="D355" s="9">
        <f>IF(COUNTIFS(Datos!$A$2:$A$5000,D$1,Datos!$B$2:$B$5000,$A355,Datos!$C$2:$C$5000,$B355,Datos!$D$2:$D$5000,D$2)=0,"",SUMIFS(Datos!$E$2:$E$5000,Datos!$A$2:$A$5000,D$1,Datos!$B$2:$B$5000,$A355,Datos!$C$2:$C$5000,$B355,Datos!$D$2:$D$5000,D$2))</f>
        <v/>
      </c>
      <c r="E355" s="9">
        <f>IF(COUNTIFS(Datos!$A$2:$A$5000,E$1,Datos!$B$2:$B$5000,$A355,Datos!$C$2:$C$5000,$B355,Datos!$D$2:$D$5000,E$2)=0,"",SUMIFS(Datos!$E$2:$E$5000,Datos!$A$2:$A$5000,E$1,Datos!$B$2:$B$5000,$A355,Datos!$C$2:$C$5000,$B355,Datos!$D$2:$D$5000,E$2))</f>
        <v/>
      </c>
      <c r="F355" s="9">
        <f>IF(COUNTIFS(Datos!$A$2:$A$5000,F$1,Datos!$B$2:$B$5000,$A355,Datos!$C$2:$C$5000,$B355,Datos!$D$2:$D$5000,F$2)=0,"",SUMIFS(Datos!$E$2:$E$5000,Datos!$A$2:$A$5000,F$1,Datos!$B$2:$B$5000,$A355,Datos!$C$2:$C$5000,$B355,Datos!$D$2:$D$5000,F$2))</f>
        <v/>
      </c>
      <c r="G355" s="9">
        <f>IF(COUNTIFS(Datos!$A$2:$A$5000,G$1,Datos!$B$2:$B$5000,$A355,Datos!$C$2:$C$5000,$B355,Datos!$D$2:$D$5000,G$2)=0,"",SUMIFS(Datos!$E$2:$E$5000,Datos!$A$2:$A$5000,G$1,Datos!$B$2:$B$5000,$A355,Datos!$C$2:$C$5000,$B355,Datos!$D$2:$D$5000,G$2))</f>
        <v/>
      </c>
      <c r="H355" s="9">
        <f>IF(COUNTIFS(Datos!$A$2:$A$5000,H$1,Datos!$B$2:$B$5000,$A355,Datos!$C$2:$C$5000,$B355,Datos!$D$2:$D$5000,H$2)=0,"",SUMIFS(Datos!$E$2:$E$5000,Datos!$A$2:$A$5000,H$1,Datos!$B$2:$B$5000,$A355,Datos!$C$2:$C$5000,$B355,Datos!$D$2:$D$5000,H$2))</f>
        <v/>
      </c>
      <c r="I355" s="9">
        <f>IF(COUNTIFS(Datos!$A$2:$A$5000,I$1,Datos!$B$2:$B$5000,$A355,Datos!$C$2:$C$5000,$B355,Datos!$D$2:$D$5000,I$2)=0,"",SUMIFS(Datos!$E$2:$E$5000,Datos!$A$2:$A$5000,I$1,Datos!$B$2:$B$5000,$A355,Datos!$C$2:$C$5000,$B355,Datos!$D$2:$D$5000,I$2))</f>
        <v/>
      </c>
      <c r="J355" s="9">
        <f>IF(COUNTIFS(Datos!$A$2:$A$5000,J$1,Datos!$B$2:$B$5000,$A355,Datos!$C$2:$C$5000,$B355,Datos!$D$2:$D$5000,J$2)=0,"",SUMIFS(Datos!$E$2:$E$5000,Datos!$A$2:$A$5000,J$1,Datos!$B$2:$B$5000,$A355,Datos!$C$2:$C$5000,$B355,Datos!$D$2:$D$5000,J$2))</f>
        <v/>
      </c>
    </row>
    <row r="356">
      <c r="A356" s="8" t="inlineStr">
        <is>
          <t>Uruguay</t>
        </is>
      </c>
      <c r="B356" s="8" t="n">
        <v>2020</v>
      </c>
      <c r="C356" s="9">
        <f>IF(COUNTIFS(Datos!$A$2:$A$5000,C$1,Datos!$B$2:$B$5000,$A356,Datos!$C$2:$C$5000,$B356,Datos!$D$2:$D$5000,C$2)=0,"",SUMIFS(Datos!$E$2:$E$5000,Datos!$A$2:$A$5000,C$1,Datos!$B$2:$B$5000,$A356,Datos!$C$2:$C$5000,$B356,Datos!$D$2:$D$5000,C$2))</f>
        <v/>
      </c>
      <c r="D356" s="9">
        <f>IF(COUNTIFS(Datos!$A$2:$A$5000,D$1,Datos!$B$2:$B$5000,$A356,Datos!$C$2:$C$5000,$B356,Datos!$D$2:$D$5000,D$2)=0,"",SUMIFS(Datos!$E$2:$E$5000,Datos!$A$2:$A$5000,D$1,Datos!$B$2:$B$5000,$A356,Datos!$C$2:$C$5000,$B356,Datos!$D$2:$D$5000,D$2))</f>
        <v/>
      </c>
      <c r="E356" s="9">
        <f>IF(COUNTIFS(Datos!$A$2:$A$5000,E$1,Datos!$B$2:$B$5000,$A356,Datos!$C$2:$C$5000,$B356,Datos!$D$2:$D$5000,E$2)=0,"",SUMIFS(Datos!$E$2:$E$5000,Datos!$A$2:$A$5000,E$1,Datos!$B$2:$B$5000,$A356,Datos!$C$2:$C$5000,$B356,Datos!$D$2:$D$5000,E$2))</f>
        <v/>
      </c>
      <c r="F356" s="9">
        <f>IF(COUNTIFS(Datos!$A$2:$A$5000,F$1,Datos!$B$2:$B$5000,$A356,Datos!$C$2:$C$5000,$B356,Datos!$D$2:$D$5000,F$2)=0,"",SUMIFS(Datos!$E$2:$E$5000,Datos!$A$2:$A$5000,F$1,Datos!$B$2:$B$5000,$A356,Datos!$C$2:$C$5000,$B356,Datos!$D$2:$D$5000,F$2))</f>
        <v/>
      </c>
      <c r="G356" s="9">
        <f>IF(COUNTIFS(Datos!$A$2:$A$5000,G$1,Datos!$B$2:$B$5000,$A356,Datos!$C$2:$C$5000,$B356,Datos!$D$2:$D$5000,G$2)=0,"",SUMIFS(Datos!$E$2:$E$5000,Datos!$A$2:$A$5000,G$1,Datos!$B$2:$B$5000,$A356,Datos!$C$2:$C$5000,$B356,Datos!$D$2:$D$5000,G$2))</f>
        <v/>
      </c>
      <c r="H356" s="9">
        <f>IF(COUNTIFS(Datos!$A$2:$A$5000,H$1,Datos!$B$2:$B$5000,$A356,Datos!$C$2:$C$5000,$B356,Datos!$D$2:$D$5000,H$2)=0,"",SUMIFS(Datos!$E$2:$E$5000,Datos!$A$2:$A$5000,H$1,Datos!$B$2:$B$5000,$A356,Datos!$C$2:$C$5000,$B356,Datos!$D$2:$D$5000,H$2))</f>
        <v/>
      </c>
      <c r="I356" s="9">
        <f>IF(COUNTIFS(Datos!$A$2:$A$5000,I$1,Datos!$B$2:$B$5000,$A356,Datos!$C$2:$C$5000,$B356,Datos!$D$2:$D$5000,I$2)=0,"",SUMIFS(Datos!$E$2:$E$5000,Datos!$A$2:$A$5000,I$1,Datos!$B$2:$B$5000,$A356,Datos!$C$2:$C$5000,$B356,Datos!$D$2:$D$5000,I$2))</f>
        <v/>
      </c>
      <c r="J356" s="9">
        <f>IF(COUNTIFS(Datos!$A$2:$A$5000,J$1,Datos!$B$2:$B$5000,$A356,Datos!$C$2:$C$5000,$B356,Datos!$D$2:$D$5000,J$2)=0,"",SUMIFS(Datos!$E$2:$E$5000,Datos!$A$2:$A$5000,J$1,Datos!$B$2:$B$5000,$A356,Datos!$C$2:$C$5000,$B356,Datos!$D$2:$D$5000,J$2))</f>
        <v/>
      </c>
    </row>
    <row r="357">
      <c r="A357" s="8" t="inlineStr">
        <is>
          <t>Uruguay</t>
        </is>
      </c>
      <c r="B357" s="8" t="n">
        <v>2024</v>
      </c>
      <c r="C357" s="9">
        <f>IF(COUNTIFS(Datos!$A$2:$A$5000,C$1,Datos!$B$2:$B$5000,$A357,Datos!$C$2:$C$5000,$B357,Datos!$D$2:$D$5000,C$2)=0,"",SUMIFS(Datos!$E$2:$E$5000,Datos!$A$2:$A$5000,C$1,Datos!$B$2:$B$5000,$A357,Datos!$C$2:$C$5000,$B357,Datos!$D$2:$D$5000,C$2))</f>
        <v/>
      </c>
      <c r="D357" s="9">
        <f>IF(COUNTIFS(Datos!$A$2:$A$5000,D$1,Datos!$B$2:$B$5000,$A357,Datos!$C$2:$C$5000,$B357,Datos!$D$2:$D$5000,D$2)=0,"",SUMIFS(Datos!$E$2:$E$5000,Datos!$A$2:$A$5000,D$1,Datos!$B$2:$B$5000,$A357,Datos!$C$2:$C$5000,$B357,Datos!$D$2:$D$5000,D$2))</f>
        <v/>
      </c>
      <c r="E357" s="9">
        <f>IF(COUNTIFS(Datos!$A$2:$A$5000,E$1,Datos!$B$2:$B$5000,$A357,Datos!$C$2:$C$5000,$B357,Datos!$D$2:$D$5000,E$2)=0,"",SUMIFS(Datos!$E$2:$E$5000,Datos!$A$2:$A$5000,E$1,Datos!$B$2:$B$5000,$A357,Datos!$C$2:$C$5000,$B357,Datos!$D$2:$D$5000,E$2))</f>
        <v/>
      </c>
      <c r="F357" s="9">
        <f>IF(COUNTIFS(Datos!$A$2:$A$5000,F$1,Datos!$B$2:$B$5000,$A357,Datos!$C$2:$C$5000,$B357,Datos!$D$2:$D$5000,F$2)=0,"",SUMIFS(Datos!$E$2:$E$5000,Datos!$A$2:$A$5000,F$1,Datos!$B$2:$B$5000,$A357,Datos!$C$2:$C$5000,$B357,Datos!$D$2:$D$5000,F$2))</f>
        <v/>
      </c>
      <c r="G357" s="9">
        <f>IF(COUNTIFS(Datos!$A$2:$A$5000,G$1,Datos!$B$2:$B$5000,$A357,Datos!$C$2:$C$5000,$B357,Datos!$D$2:$D$5000,G$2)=0,"",SUMIFS(Datos!$E$2:$E$5000,Datos!$A$2:$A$5000,G$1,Datos!$B$2:$B$5000,$A357,Datos!$C$2:$C$5000,$B357,Datos!$D$2:$D$5000,G$2))</f>
        <v/>
      </c>
      <c r="H357" s="9">
        <f>IF(COUNTIFS(Datos!$A$2:$A$5000,H$1,Datos!$B$2:$B$5000,$A357,Datos!$C$2:$C$5000,$B357,Datos!$D$2:$D$5000,H$2)=0,"",SUMIFS(Datos!$E$2:$E$5000,Datos!$A$2:$A$5000,H$1,Datos!$B$2:$B$5000,$A357,Datos!$C$2:$C$5000,$B357,Datos!$D$2:$D$5000,H$2))</f>
        <v/>
      </c>
      <c r="I357" s="9">
        <f>IF(COUNTIFS(Datos!$A$2:$A$5000,I$1,Datos!$B$2:$B$5000,$A357,Datos!$C$2:$C$5000,$B357,Datos!$D$2:$D$5000,I$2)=0,"",SUMIFS(Datos!$E$2:$E$5000,Datos!$A$2:$A$5000,I$1,Datos!$B$2:$B$5000,$A357,Datos!$C$2:$C$5000,$B357,Datos!$D$2:$D$5000,I$2))</f>
        <v/>
      </c>
      <c r="J357" s="9">
        <f>IF(COUNTIFS(Datos!$A$2:$A$5000,J$1,Datos!$B$2:$B$5000,$A357,Datos!$C$2:$C$5000,$B357,Datos!$D$2:$D$5000,J$2)=0,"",SUMIFS(Datos!$E$2:$E$5000,Datos!$A$2:$A$5000,J$1,Datos!$B$2:$B$5000,$A357,Datos!$C$2:$C$5000,$B357,Datos!$D$2:$D$5000,J$2))</f>
        <v/>
      </c>
    </row>
    <row r="358">
      <c r="A358" s="8" t="inlineStr">
        <is>
          <t>Venezuela</t>
        </is>
      </c>
      <c r="B358" s="8" t="n">
        <v>1995</v>
      </c>
      <c r="C358" s="9">
        <f>IF(COUNTIFS(Datos!$A$2:$A$5000,C$1,Datos!$B$2:$B$5000,$A358,Datos!$C$2:$C$5000,$B358,Datos!$D$2:$D$5000,C$2)=0,"",SUMIFS(Datos!$E$2:$E$5000,Datos!$A$2:$A$5000,C$1,Datos!$B$2:$B$5000,$A358,Datos!$C$2:$C$5000,$B358,Datos!$D$2:$D$5000,C$2))</f>
        <v/>
      </c>
      <c r="D358" s="9">
        <f>IF(COUNTIFS(Datos!$A$2:$A$5000,D$1,Datos!$B$2:$B$5000,$A358,Datos!$C$2:$C$5000,$B358,Datos!$D$2:$D$5000,D$2)=0,"",SUMIFS(Datos!$E$2:$E$5000,Datos!$A$2:$A$5000,D$1,Datos!$B$2:$B$5000,$A358,Datos!$C$2:$C$5000,$B358,Datos!$D$2:$D$5000,D$2))</f>
        <v/>
      </c>
      <c r="E358" s="9">
        <f>IF(COUNTIFS(Datos!$A$2:$A$5000,E$1,Datos!$B$2:$B$5000,$A358,Datos!$C$2:$C$5000,$B358,Datos!$D$2:$D$5000,E$2)=0,"",SUMIFS(Datos!$E$2:$E$5000,Datos!$A$2:$A$5000,E$1,Datos!$B$2:$B$5000,$A358,Datos!$C$2:$C$5000,$B358,Datos!$D$2:$D$5000,E$2))</f>
        <v/>
      </c>
      <c r="F358" s="9">
        <f>IF(COUNTIFS(Datos!$A$2:$A$5000,F$1,Datos!$B$2:$B$5000,$A358,Datos!$C$2:$C$5000,$B358,Datos!$D$2:$D$5000,F$2)=0,"",SUMIFS(Datos!$E$2:$E$5000,Datos!$A$2:$A$5000,F$1,Datos!$B$2:$B$5000,$A358,Datos!$C$2:$C$5000,$B358,Datos!$D$2:$D$5000,F$2))</f>
        <v/>
      </c>
      <c r="G358" s="9">
        <f>IF(COUNTIFS(Datos!$A$2:$A$5000,G$1,Datos!$B$2:$B$5000,$A358,Datos!$C$2:$C$5000,$B358,Datos!$D$2:$D$5000,G$2)=0,"",SUMIFS(Datos!$E$2:$E$5000,Datos!$A$2:$A$5000,G$1,Datos!$B$2:$B$5000,$A358,Datos!$C$2:$C$5000,$B358,Datos!$D$2:$D$5000,G$2))</f>
        <v/>
      </c>
      <c r="H358" s="9">
        <f>IF(COUNTIFS(Datos!$A$2:$A$5000,H$1,Datos!$B$2:$B$5000,$A358,Datos!$C$2:$C$5000,$B358,Datos!$D$2:$D$5000,H$2)=0,"",SUMIFS(Datos!$E$2:$E$5000,Datos!$A$2:$A$5000,H$1,Datos!$B$2:$B$5000,$A358,Datos!$C$2:$C$5000,$B358,Datos!$D$2:$D$5000,H$2))</f>
        <v/>
      </c>
      <c r="I358" s="9">
        <f>IF(COUNTIFS(Datos!$A$2:$A$5000,I$1,Datos!$B$2:$B$5000,$A358,Datos!$C$2:$C$5000,$B358,Datos!$D$2:$D$5000,I$2)=0,"",SUMIFS(Datos!$E$2:$E$5000,Datos!$A$2:$A$5000,I$1,Datos!$B$2:$B$5000,$A358,Datos!$C$2:$C$5000,$B358,Datos!$D$2:$D$5000,I$2))</f>
        <v/>
      </c>
      <c r="J358" s="9">
        <f>IF(COUNTIFS(Datos!$A$2:$A$5000,J$1,Datos!$B$2:$B$5000,$A358,Datos!$C$2:$C$5000,$B358,Datos!$D$2:$D$5000,J$2)=0,"",SUMIFS(Datos!$E$2:$E$5000,Datos!$A$2:$A$5000,J$1,Datos!$B$2:$B$5000,$A358,Datos!$C$2:$C$5000,$B358,Datos!$D$2:$D$5000,J$2))</f>
        <v/>
      </c>
    </row>
    <row r="359">
      <c r="A359" s="8" t="inlineStr">
        <is>
          <t>Venezuela</t>
        </is>
      </c>
      <c r="B359" s="8" t="n">
        <v>1996</v>
      </c>
      <c r="C359" s="9">
        <f>IF(COUNTIFS(Datos!$A$2:$A$5000,C$1,Datos!$B$2:$B$5000,$A359,Datos!$C$2:$C$5000,$B359,Datos!$D$2:$D$5000,C$2)=0,"",SUMIFS(Datos!$E$2:$E$5000,Datos!$A$2:$A$5000,C$1,Datos!$B$2:$B$5000,$A359,Datos!$C$2:$C$5000,$B359,Datos!$D$2:$D$5000,C$2))</f>
        <v/>
      </c>
      <c r="D359" s="9">
        <f>IF(COUNTIFS(Datos!$A$2:$A$5000,D$1,Datos!$B$2:$B$5000,$A359,Datos!$C$2:$C$5000,$B359,Datos!$D$2:$D$5000,D$2)=0,"",SUMIFS(Datos!$E$2:$E$5000,Datos!$A$2:$A$5000,D$1,Datos!$B$2:$B$5000,$A359,Datos!$C$2:$C$5000,$B359,Datos!$D$2:$D$5000,D$2))</f>
        <v/>
      </c>
      <c r="E359" s="9">
        <f>IF(COUNTIFS(Datos!$A$2:$A$5000,E$1,Datos!$B$2:$B$5000,$A359,Datos!$C$2:$C$5000,$B359,Datos!$D$2:$D$5000,E$2)=0,"",SUMIFS(Datos!$E$2:$E$5000,Datos!$A$2:$A$5000,E$1,Datos!$B$2:$B$5000,$A359,Datos!$C$2:$C$5000,$B359,Datos!$D$2:$D$5000,E$2))</f>
        <v/>
      </c>
      <c r="F359" s="9">
        <f>IF(COUNTIFS(Datos!$A$2:$A$5000,F$1,Datos!$B$2:$B$5000,$A359,Datos!$C$2:$C$5000,$B359,Datos!$D$2:$D$5000,F$2)=0,"",SUMIFS(Datos!$E$2:$E$5000,Datos!$A$2:$A$5000,F$1,Datos!$B$2:$B$5000,$A359,Datos!$C$2:$C$5000,$B359,Datos!$D$2:$D$5000,F$2))</f>
        <v/>
      </c>
      <c r="G359" s="9">
        <f>IF(COUNTIFS(Datos!$A$2:$A$5000,G$1,Datos!$B$2:$B$5000,$A359,Datos!$C$2:$C$5000,$B359,Datos!$D$2:$D$5000,G$2)=0,"",SUMIFS(Datos!$E$2:$E$5000,Datos!$A$2:$A$5000,G$1,Datos!$B$2:$B$5000,$A359,Datos!$C$2:$C$5000,$B359,Datos!$D$2:$D$5000,G$2))</f>
        <v/>
      </c>
      <c r="H359" s="9">
        <f>IF(COUNTIFS(Datos!$A$2:$A$5000,H$1,Datos!$B$2:$B$5000,$A359,Datos!$C$2:$C$5000,$B359,Datos!$D$2:$D$5000,H$2)=0,"",SUMIFS(Datos!$E$2:$E$5000,Datos!$A$2:$A$5000,H$1,Datos!$B$2:$B$5000,$A359,Datos!$C$2:$C$5000,$B359,Datos!$D$2:$D$5000,H$2))</f>
        <v/>
      </c>
      <c r="I359" s="9">
        <f>IF(COUNTIFS(Datos!$A$2:$A$5000,I$1,Datos!$B$2:$B$5000,$A359,Datos!$C$2:$C$5000,$B359,Datos!$D$2:$D$5000,I$2)=0,"",SUMIFS(Datos!$E$2:$E$5000,Datos!$A$2:$A$5000,I$1,Datos!$B$2:$B$5000,$A359,Datos!$C$2:$C$5000,$B359,Datos!$D$2:$D$5000,I$2))</f>
        <v/>
      </c>
      <c r="J359" s="9">
        <f>IF(COUNTIFS(Datos!$A$2:$A$5000,J$1,Datos!$B$2:$B$5000,$A359,Datos!$C$2:$C$5000,$B359,Datos!$D$2:$D$5000,J$2)=0,"",SUMIFS(Datos!$E$2:$E$5000,Datos!$A$2:$A$5000,J$1,Datos!$B$2:$B$5000,$A359,Datos!$C$2:$C$5000,$B359,Datos!$D$2:$D$5000,J$2))</f>
        <v/>
      </c>
    </row>
    <row r="360">
      <c r="A360" s="8" t="inlineStr">
        <is>
          <t>Venezuela</t>
        </is>
      </c>
      <c r="B360" s="8" t="n">
        <v>1997</v>
      </c>
      <c r="C360" s="9">
        <f>IF(COUNTIFS(Datos!$A$2:$A$5000,C$1,Datos!$B$2:$B$5000,$A360,Datos!$C$2:$C$5000,$B360,Datos!$D$2:$D$5000,C$2)=0,"",SUMIFS(Datos!$E$2:$E$5000,Datos!$A$2:$A$5000,C$1,Datos!$B$2:$B$5000,$A360,Datos!$C$2:$C$5000,$B360,Datos!$D$2:$D$5000,C$2))</f>
        <v/>
      </c>
      <c r="D360" s="9">
        <f>IF(COUNTIFS(Datos!$A$2:$A$5000,D$1,Datos!$B$2:$B$5000,$A360,Datos!$C$2:$C$5000,$B360,Datos!$D$2:$D$5000,D$2)=0,"",SUMIFS(Datos!$E$2:$E$5000,Datos!$A$2:$A$5000,D$1,Datos!$B$2:$B$5000,$A360,Datos!$C$2:$C$5000,$B360,Datos!$D$2:$D$5000,D$2))</f>
        <v/>
      </c>
      <c r="E360" s="9">
        <f>IF(COUNTIFS(Datos!$A$2:$A$5000,E$1,Datos!$B$2:$B$5000,$A360,Datos!$C$2:$C$5000,$B360,Datos!$D$2:$D$5000,E$2)=0,"",SUMIFS(Datos!$E$2:$E$5000,Datos!$A$2:$A$5000,E$1,Datos!$B$2:$B$5000,$A360,Datos!$C$2:$C$5000,$B360,Datos!$D$2:$D$5000,E$2))</f>
        <v/>
      </c>
      <c r="F360" s="9">
        <f>IF(COUNTIFS(Datos!$A$2:$A$5000,F$1,Datos!$B$2:$B$5000,$A360,Datos!$C$2:$C$5000,$B360,Datos!$D$2:$D$5000,F$2)=0,"",SUMIFS(Datos!$E$2:$E$5000,Datos!$A$2:$A$5000,F$1,Datos!$B$2:$B$5000,$A360,Datos!$C$2:$C$5000,$B360,Datos!$D$2:$D$5000,F$2))</f>
        <v/>
      </c>
      <c r="G360" s="9">
        <f>IF(COUNTIFS(Datos!$A$2:$A$5000,G$1,Datos!$B$2:$B$5000,$A360,Datos!$C$2:$C$5000,$B360,Datos!$D$2:$D$5000,G$2)=0,"",SUMIFS(Datos!$E$2:$E$5000,Datos!$A$2:$A$5000,G$1,Datos!$B$2:$B$5000,$A360,Datos!$C$2:$C$5000,$B360,Datos!$D$2:$D$5000,G$2))</f>
        <v/>
      </c>
      <c r="H360" s="9">
        <f>IF(COUNTIFS(Datos!$A$2:$A$5000,H$1,Datos!$B$2:$B$5000,$A360,Datos!$C$2:$C$5000,$B360,Datos!$D$2:$D$5000,H$2)=0,"",SUMIFS(Datos!$E$2:$E$5000,Datos!$A$2:$A$5000,H$1,Datos!$B$2:$B$5000,$A360,Datos!$C$2:$C$5000,$B360,Datos!$D$2:$D$5000,H$2))</f>
        <v/>
      </c>
      <c r="I360" s="9">
        <f>IF(COUNTIFS(Datos!$A$2:$A$5000,I$1,Datos!$B$2:$B$5000,$A360,Datos!$C$2:$C$5000,$B360,Datos!$D$2:$D$5000,I$2)=0,"",SUMIFS(Datos!$E$2:$E$5000,Datos!$A$2:$A$5000,I$1,Datos!$B$2:$B$5000,$A360,Datos!$C$2:$C$5000,$B360,Datos!$D$2:$D$5000,I$2))</f>
        <v/>
      </c>
      <c r="J360" s="9">
        <f>IF(COUNTIFS(Datos!$A$2:$A$5000,J$1,Datos!$B$2:$B$5000,$A360,Datos!$C$2:$C$5000,$B360,Datos!$D$2:$D$5000,J$2)=0,"",SUMIFS(Datos!$E$2:$E$5000,Datos!$A$2:$A$5000,J$1,Datos!$B$2:$B$5000,$A360,Datos!$C$2:$C$5000,$B360,Datos!$D$2:$D$5000,J$2))</f>
        <v/>
      </c>
    </row>
    <row r="361">
      <c r="A361" s="8" t="inlineStr">
        <is>
          <t>Venezuela</t>
        </is>
      </c>
      <c r="B361" s="8" t="n">
        <v>1998</v>
      </c>
      <c r="C361" s="9">
        <f>IF(COUNTIFS(Datos!$A$2:$A$5000,C$1,Datos!$B$2:$B$5000,$A361,Datos!$C$2:$C$5000,$B361,Datos!$D$2:$D$5000,C$2)=0,"",SUMIFS(Datos!$E$2:$E$5000,Datos!$A$2:$A$5000,C$1,Datos!$B$2:$B$5000,$A361,Datos!$C$2:$C$5000,$B361,Datos!$D$2:$D$5000,C$2))</f>
        <v/>
      </c>
      <c r="D361" s="9">
        <f>IF(COUNTIFS(Datos!$A$2:$A$5000,D$1,Datos!$B$2:$B$5000,$A361,Datos!$C$2:$C$5000,$B361,Datos!$D$2:$D$5000,D$2)=0,"",SUMIFS(Datos!$E$2:$E$5000,Datos!$A$2:$A$5000,D$1,Datos!$B$2:$B$5000,$A361,Datos!$C$2:$C$5000,$B361,Datos!$D$2:$D$5000,D$2))</f>
        <v/>
      </c>
      <c r="E361" s="9">
        <f>IF(COUNTIFS(Datos!$A$2:$A$5000,E$1,Datos!$B$2:$B$5000,$A361,Datos!$C$2:$C$5000,$B361,Datos!$D$2:$D$5000,E$2)=0,"",SUMIFS(Datos!$E$2:$E$5000,Datos!$A$2:$A$5000,E$1,Datos!$B$2:$B$5000,$A361,Datos!$C$2:$C$5000,$B361,Datos!$D$2:$D$5000,E$2))</f>
        <v/>
      </c>
      <c r="F361" s="9">
        <f>IF(COUNTIFS(Datos!$A$2:$A$5000,F$1,Datos!$B$2:$B$5000,$A361,Datos!$C$2:$C$5000,$B361,Datos!$D$2:$D$5000,F$2)=0,"",SUMIFS(Datos!$E$2:$E$5000,Datos!$A$2:$A$5000,F$1,Datos!$B$2:$B$5000,$A361,Datos!$C$2:$C$5000,$B361,Datos!$D$2:$D$5000,F$2))</f>
        <v/>
      </c>
      <c r="G361" s="9">
        <f>IF(COUNTIFS(Datos!$A$2:$A$5000,G$1,Datos!$B$2:$B$5000,$A361,Datos!$C$2:$C$5000,$B361,Datos!$D$2:$D$5000,G$2)=0,"",SUMIFS(Datos!$E$2:$E$5000,Datos!$A$2:$A$5000,G$1,Datos!$B$2:$B$5000,$A361,Datos!$C$2:$C$5000,$B361,Datos!$D$2:$D$5000,G$2))</f>
        <v/>
      </c>
      <c r="H361" s="9">
        <f>IF(COUNTIFS(Datos!$A$2:$A$5000,H$1,Datos!$B$2:$B$5000,$A361,Datos!$C$2:$C$5000,$B361,Datos!$D$2:$D$5000,H$2)=0,"",SUMIFS(Datos!$E$2:$E$5000,Datos!$A$2:$A$5000,H$1,Datos!$B$2:$B$5000,$A361,Datos!$C$2:$C$5000,$B361,Datos!$D$2:$D$5000,H$2))</f>
        <v/>
      </c>
      <c r="I361" s="9">
        <f>IF(COUNTIFS(Datos!$A$2:$A$5000,I$1,Datos!$B$2:$B$5000,$A361,Datos!$C$2:$C$5000,$B361,Datos!$D$2:$D$5000,I$2)=0,"",SUMIFS(Datos!$E$2:$E$5000,Datos!$A$2:$A$5000,I$1,Datos!$B$2:$B$5000,$A361,Datos!$C$2:$C$5000,$B361,Datos!$D$2:$D$5000,I$2))</f>
        <v/>
      </c>
      <c r="J361" s="9">
        <f>IF(COUNTIFS(Datos!$A$2:$A$5000,J$1,Datos!$B$2:$B$5000,$A361,Datos!$C$2:$C$5000,$B361,Datos!$D$2:$D$5000,J$2)=0,"",SUMIFS(Datos!$E$2:$E$5000,Datos!$A$2:$A$5000,J$1,Datos!$B$2:$B$5000,$A361,Datos!$C$2:$C$5000,$B361,Datos!$D$2:$D$5000,J$2))</f>
        <v/>
      </c>
    </row>
    <row r="362">
      <c r="A362" s="8" t="inlineStr">
        <is>
          <t>Venezuela</t>
        </is>
      </c>
      <c r="B362" s="8" t="n">
        <v>2000</v>
      </c>
      <c r="C362" s="9">
        <f>IF(COUNTIFS(Datos!$A$2:$A$5000,C$1,Datos!$B$2:$B$5000,$A362,Datos!$C$2:$C$5000,$B362,Datos!$D$2:$D$5000,C$2)=0,"",SUMIFS(Datos!$E$2:$E$5000,Datos!$A$2:$A$5000,C$1,Datos!$B$2:$B$5000,$A362,Datos!$C$2:$C$5000,$B362,Datos!$D$2:$D$5000,C$2))</f>
        <v/>
      </c>
      <c r="D362" s="9">
        <f>IF(COUNTIFS(Datos!$A$2:$A$5000,D$1,Datos!$B$2:$B$5000,$A362,Datos!$C$2:$C$5000,$B362,Datos!$D$2:$D$5000,D$2)=0,"",SUMIFS(Datos!$E$2:$E$5000,Datos!$A$2:$A$5000,D$1,Datos!$B$2:$B$5000,$A362,Datos!$C$2:$C$5000,$B362,Datos!$D$2:$D$5000,D$2))</f>
        <v/>
      </c>
      <c r="E362" s="9">
        <f>IF(COUNTIFS(Datos!$A$2:$A$5000,E$1,Datos!$B$2:$B$5000,$A362,Datos!$C$2:$C$5000,$B362,Datos!$D$2:$D$5000,E$2)=0,"",SUMIFS(Datos!$E$2:$E$5000,Datos!$A$2:$A$5000,E$1,Datos!$B$2:$B$5000,$A362,Datos!$C$2:$C$5000,$B362,Datos!$D$2:$D$5000,E$2))</f>
        <v/>
      </c>
      <c r="F362" s="9">
        <f>IF(COUNTIFS(Datos!$A$2:$A$5000,F$1,Datos!$B$2:$B$5000,$A362,Datos!$C$2:$C$5000,$B362,Datos!$D$2:$D$5000,F$2)=0,"",SUMIFS(Datos!$E$2:$E$5000,Datos!$A$2:$A$5000,F$1,Datos!$B$2:$B$5000,$A362,Datos!$C$2:$C$5000,$B362,Datos!$D$2:$D$5000,F$2))</f>
        <v/>
      </c>
      <c r="G362" s="9">
        <f>IF(COUNTIFS(Datos!$A$2:$A$5000,G$1,Datos!$B$2:$B$5000,$A362,Datos!$C$2:$C$5000,$B362,Datos!$D$2:$D$5000,G$2)=0,"",SUMIFS(Datos!$E$2:$E$5000,Datos!$A$2:$A$5000,G$1,Datos!$B$2:$B$5000,$A362,Datos!$C$2:$C$5000,$B362,Datos!$D$2:$D$5000,G$2))</f>
        <v/>
      </c>
      <c r="H362" s="9">
        <f>IF(COUNTIFS(Datos!$A$2:$A$5000,H$1,Datos!$B$2:$B$5000,$A362,Datos!$C$2:$C$5000,$B362,Datos!$D$2:$D$5000,H$2)=0,"",SUMIFS(Datos!$E$2:$E$5000,Datos!$A$2:$A$5000,H$1,Datos!$B$2:$B$5000,$A362,Datos!$C$2:$C$5000,$B362,Datos!$D$2:$D$5000,H$2))</f>
        <v/>
      </c>
      <c r="I362" s="9">
        <f>IF(COUNTIFS(Datos!$A$2:$A$5000,I$1,Datos!$B$2:$B$5000,$A362,Datos!$C$2:$C$5000,$B362,Datos!$D$2:$D$5000,I$2)=0,"",SUMIFS(Datos!$E$2:$E$5000,Datos!$A$2:$A$5000,I$1,Datos!$B$2:$B$5000,$A362,Datos!$C$2:$C$5000,$B362,Datos!$D$2:$D$5000,I$2))</f>
        <v/>
      </c>
      <c r="J362" s="9">
        <f>IF(COUNTIFS(Datos!$A$2:$A$5000,J$1,Datos!$B$2:$B$5000,$A362,Datos!$C$2:$C$5000,$B362,Datos!$D$2:$D$5000,J$2)=0,"",SUMIFS(Datos!$E$2:$E$5000,Datos!$A$2:$A$5000,J$1,Datos!$B$2:$B$5000,$A362,Datos!$C$2:$C$5000,$B362,Datos!$D$2:$D$5000,J$2))</f>
        <v/>
      </c>
    </row>
    <row r="363">
      <c r="A363" s="8" t="inlineStr">
        <is>
          <t>Venezuela</t>
        </is>
      </c>
      <c r="B363" s="8" t="n">
        <v>2001</v>
      </c>
      <c r="C363" s="9">
        <f>IF(COUNTIFS(Datos!$A$2:$A$5000,C$1,Datos!$B$2:$B$5000,$A363,Datos!$C$2:$C$5000,$B363,Datos!$D$2:$D$5000,C$2)=0,"",SUMIFS(Datos!$E$2:$E$5000,Datos!$A$2:$A$5000,C$1,Datos!$B$2:$B$5000,$A363,Datos!$C$2:$C$5000,$B363,Datos!$D$2:$D$5000,C$2))</f>
        <v/>
      </c>
      <c r="D363" s="9">
        <f>IF(COUNTIFS(Datos!$A$2:$A$5000,D$1,Datos!$B$2:$B$5000,$A363,Datos!$C$2:$C$5000,$B363,Datos!$D$2:$D$5000,D$2)=0,"",SUMIFS(Datos!$E$2:$E$5000,Datos!$A$2:$A$5000,D$1,Datos!$B$2:$B$5000,$A363,Datos!$C$2:$C$5000,$B363,Datos!$D$2:$D$5000,D$2))</f>
        <v/>
      </c>
      <c r="E363" s="9">
        <f>IF(COUNTIFS(Datos!$A$2:$A$5000,E$1,Datos!$B$2:$B$5000,$A363,Datos!$C$2:$C$5000,$B363,Datos!$D$2:$D$5000,E$2)=0,"",SUMIFS(Datos!$E$2:$E$5000,Datos!$A$2:$A$5000,E$1,Datos!$B$2:$B$5000,$A363,Datos!$C$2:$C$5000,$B363,Datos!$D$2:$D$5000,E$2))</f>
        <v/>
      </c>
      <c r="F363" s="9">
        <f>IF(COUNTIFS(Datos!$A$2:$A$5000,F$1,Datos!$B$2:$B$5000,$A363,Datos!$C$2:$C$5000,$B363,Datos!$D$2:$D$5000,F$2)=0,"",SUMIFS(Datos!$E$2:$E$5000,Datos!$A$2:$A$5000,F$1,Datos!$B$2:$B$5000,$A363,Datos!$C$2:$C$5000,$B363,Datos!$D$2:$D$5000,F$2))</f>
        <v/>
      </c>
      <c r="G363" s="9">
        <f>IF(COUNTIFS(Datos!$A$2:$A$5000,G$1,Datos!$B$2:$B$5000,$A363,Datos!$C$2:$C$5000,$B363,Datos!$D$2:$D$5000,G$2)=0,"",SUMIFS(Datos!$E$2:$E$5000,Datos!$A$2:$A$5000,G$1,Datos!$B$2:$B$5000,$A363,Datos!$C$2:$C$5000,$B363,Datos!$D$2:$D$5000,G$2))</f>
        <v/>
      </c>
      <c r="H363" s="9">
        <f>IF(COUNTIFS(Datos!$A$2:$A$5000,H$1,Datos!$B$2:$B$5000,$A363,Datos!$C$2:$C$5000,$B363,Datos!$D$2:$D$5000,H$2)=0,"",SUMIFS(Datos!$E$2:$E$5000,Datos!$A$2:$A$5000,H$1,Datos!$B$2:$B$5000,$A363,Datos!$C$2:$C$5000,$B363,Datos!$D$2:$D$5000,H$2))</f>
        <v/>
      </c>
      <c r="I363" s="9">
        <f>IF(COUNTIFS(Datos!$A$2:$A$5000,I$1,Datos!$B$2:$B$5000,$A363,Datos!$C$2:$C$5000,$B363,Datos!$D$2:$D$5000,I$2)=0,"",SUMIFS(Datos!$E$2:$E$5000,Datos!$A$2:$A$5000,I$1,Datos!$B$2:$B$5000,$A363,Datos!$C$2:$C$5000,$B363,Datos!$D$2:$D$5000,I$2))</f>
        <v/>
      </c>
      <c r="J363" s="9">
        <f>IF(COUNTIFS(Datos!$A$2:$A$5000,J$1,Datos!$B$2:$B$5000,$A363,Datos!$C$2:$C$5000,$B363,Datos!$D$2:$D$5000,J$2)=0,"",SUMIFS(Datos!$E$2:$E$5000,Datos!$A$2:$A$5000,J$1,Datos!$B$2:$B$5000,$A363,Datos!$C$2:$C$5000,$B363,Datos!$D$2:$D$5000,J$2))</f>
        <v/>
      </c>
    </row>
    <row r="364">
      <c r="A364" s="8" t="inlineStr">
        <is>
          <t>Venezuela</t>
        </is>
      </c>
      <c r="B364" s="8" t="n">
        <v>2002</v>
      </c>
      <c r="C364" s="9">
        <f>IF(COUNTIFS(Datos!$A$2:$A$5000,C$1,Datos!$B$2:$B$5000,$A364,Datos!$C$2:$C$5000,$B364,Datos!$D$2:$D$5000,C$2)=0,"",SUMIFS(Datos!$E$2:$E$5000,Datos!$A$2:$A$5000,C$1,Datos!$B$2:$B$5000,$A364,Datos!$C$2:$C$5000,$B364,Datos!$D$2:$D$5000,C$2))</f>
        <v/>
      </c>
      <c r="D364" s="9">
        <f>IF(COUNTIFS(Datos!$A$2:$A$5000,D$1,Datos!$B$2:$B$5000,$A364,Datos!$C$2:$C$5000,$B364,Datos!$D$2:$D$5000,D$2)=0,"",SUMIFS(Datos!$E$2:$E$5000,Datos!$A$2:$A$5000,D$1,Datos!$B$2:$B$5000,$A364,Datos!$C$2:$C$5000,$B364,Datos!$D$2:$D$5000,D$2))</f>
        <v/>
      </c>
      <c r="E364" s="9">
        <f>IF(COUNTIFS(Datos!$A$2:$A$5000,E$1,Datos!$B$2:$B$5000,$A364,Datos!$C$2:$C$5000,$B364,Datos!$D$2:$D$5000,E$2)=0,"",SUMIFS(Datos!$E$2:$E$5000,Datos!$A$2:$A$5000,E$1,Datos!$B$2:$B$5000,$A364,Datos!$C$2:$C$5000,$B364,Datos!$D$2:$D$5000,E$2))</f>
        <v/>
      </c>
      <c r="F364" s="9">
        <f>IF(COUNTIFS(Datos!$A$2:$A$5000,F$1,Datos!$B$2:$B$5000,$A364,Datos!$C$2:$C$5000,$B364,Datos!$D$2:$D$5000,F$2)=0,"",SUMIFS(Datos!$E$2:$E$5000,Datos!$A$2:$A$5000,F$1,Datos!$B$2:$B$5000,$A364,Datos!$C$2:$C$5000,$B364,Datos!$D$2:$D$5000,F$2))</f>
        <v/>
      </c>
      <c r="G364" s="9">
        <f>IF(COUNTIFS(Datos!$A$2:$A$5000,G$1,Datos!$B$2:$B$5000,$A364,Datos!$C$2:$C$5000,$B364,Datos!$D$2:$D$5000,G$2)=0,"",SUMIFS(Datos!$E$2:$E$5000,Datos!$A$2:$A$5000,G$1,Datos!$B$2:$B$5000,$A364,Datos!$C$2:$C$5000,$B364,Datos!$D$2:$D$5000,G$2))</f>
        <v/>
      </c>
      <c r="H364" s="9">
        <f>IF(COUNTIFS(Datos!$A$2:$A$5000,H$1,Datos!$B$2:$B$5000,$A364,Datos!$C$2:$C$5000,$B364,Datos!$D$2:$D$5000,H$2)=0,"",SUMIFS(Datos!$E$2:$E$5000,Datos!$A$2:$A$5000,H$1,Datos!$B$2:$B$5000,$A364,Datos!$C$2:$C$5000,$B364,Datos!$D$2:$D$5000,H$2))</f>
        <v/>
      </c>
      <c r="I364" s="9">
        <f>IF(COUNTIFS(Datos!$A$2:$A$5000,I$1,Datos!$B$2:$B$5000,$A364,Datos!$C$2:$C$5000,$B364,Datos!$D$2:$D$5000,I$2)=0,"",SUMIFS(Datos!$E$2:$E$5000,Datos!$A$2:$A$5000,I$1,Datos!$B$2:$B$5000,$A364,Datos!$C$2:$C$5000,$B364,Datos!$D$2:$D$5000,I$2))</f>
        <v/>
      </c>
      <c r="J364" s="9">
        <f>IF(COUNTIFS(Datos!$A$2:$A$5000,J$1,Datos!$B$2:$B$5000,$A364,Datos!$C$2:$C$5000,$B364,Datos!$D$2:$D$5000,J$2)=0,"",SUMIFS(Datos!$E$2:$E$5000,Datos!$A$2:$A$5000,J$1,Datos!$B$2:$B$5000,$A364,Datos!$C$2:$C$5000,$B364,Datos!$D$2:$D$5000,J$2))</f>
        <v/>
      </c>
    </row>
    <row r="365">
      <c r="A365" s="8" t="inlineStr">
        <is>
          <t>Venezuela</t>
        </is>
      </c>
      <c r="B365" s="8" t="n">
        <v>2003</v>
      </c>
      <c r="C365" s="9">
        <f>IF(COUNTIFS(Datos!$A$2:$A$5000,C$1,Datos!$B$2:$B$5000,$A365,Datos!$C$2:$C$5000,$B365,Datos!$D$2:$D$5000,C$2)=0,"",SUMIFS(Datos!$E$2:$E$5000,Datos!$A$2:$A$5000,C$1,Datos!$B$2:$B$5000,$A365,Datos!$C$2:$C$5000,$B365,Datos!$D$2:$D$5000,C$2))</f>
        <v/>
      </c>
      <c r="D365" s="9">
        <f>IF(COUNTIFS(Datos!$A$2:$A$5000,D$1,Datos!$B$2:$B$5000,$A365,Datos!$C$2:$C$5000,$B365,Datos!$D$2:$D$5000,D$2)=0,"",SUMIFS(Datos!$E$2:$E$5000,Datos!$A$2:$A$5000,D$1,Datos!$B$2:$B$5000,$A365,Datos!$C$2:$C$5000,$B365,Datos!$D$2:$D$5000,D$2))</f>
        <v/>
      </c>
      <c r="E365" s="9">
        <f>IF(COUNTIFS(Datos!$A$2:$A$5000,E$1,Datos!$B$2:$B$5000,$A365,Datos!$C$2:$C$5000,$B365,Datos!$D$2:$D$5000,E$2)=0,"",SUMIFS(Datos!$E$2:$E$5000,Datos!$A$2:$A$5000,E$1,Datos!$B$2:$B$5000,$A365,Datos!$C$2:$C$5000,$B365,Datos!$D$2:$D$5000,E$2))</f>
        <v/>
      </c>
      <c r="F365" s="9">
        <f>IF(COUNTIFS(Datos!$A$2:$A$5000,F$1,Datos!$B$2:$B$5000,$A365,Datos!$C$2:$C$5000,$B365,Datos!$D$2:$D$5000,F$2)=0,"",SUMIFS(Datos!$E$2:$E$5000,Datos!$A$2:$A$5000,F$1,Datos!$B$2:$B$5000,$A365,Datos!$C$2:$C$5000,$B365,Datos!$D$2:$D$5000,F$2))</f>
        <v/>
      </c>
      <c r="G365" s="9">
        <f>IF(COUNTIFS(Datos!$A$2:$A$5000,G$1,Datos!$B$2:$B$5000,$A365,Datos!$C$2:$C$5000,$B365,Datos!$D$2:$D$5000,G$2)=0,"",SUMIFS(Datos!$E$2:$E$5000,Datos!$A$2:$A$5000,G$1,Datos!$B$2:$B$5000,$A365,Datos!$C$2:$C$5000,$B365,Datos!$D$2:$D$5000,G$2))</f>
        <v/>
      </c>
      <c r="H365" s="9">
        <f>IF(COUNTIFS(Datos!$A$2:$A$5000,H$1,Datos!$B$2:$B$5000,$A365,Datos!$C$2:$C$5000,$B365,Datos!$D$2:$D$5000,H$2)=0,"",SUMIFS(Datos!$E$2:$E$5000,Datos!$A$2:$A$5000,H$1,Datos!$B$2:$B$5000,$A365,Datos!$C$2:$C$5000,$B365,Datos!$D$2:$D$5000,H$2))</f>
        <v/>
      </c>
      <c r="I365" s="9">
        <f>IF(COUNTIFS(Datos!$A$2:$A$5000,I$1,Datos!$B$2:$B$5000,$A365,Datos!$C$2:$C$5000,$B365,Datos!$D$2:$D$5000,I$2)=0,"",SUMIFS(Datos!$E$2:$E$5000,Datos!$A$2:$A$5000,I$1,Datos!$B$2:$B$5000,$A365,Datos!$C$2:$C$5000,$B365,Datos!$D$2:$D$5000,I$2))</f>
        <v/>
      </c>
      <c r="J365" s="9">
        <f>IF(COUNTIFS(Datos!$A$2:$A$5000,J$1,Datos!$B$2:$B$5000,$A365,Datos!$C$2:$C$5000,$B365,Datos!$D$2:$D$5000,J$2)=0,"",SUMIFS(Datos!$E$2:$E$5000,Datos!$A$2:$A$5000,J$1,Datos!$B$2:$B$5000,$A365,Datos!$C$2:$C$5000,$B365,Datos!$D$2:$D$5000,J$2))</f>
        <v/>
      </c>
    </row>
    <row r="366">
      <c r="A366" s="8" t="inlineStr">
        <is>
          <t>Venezuela</t>
        </is>
      </c>
      <c r="B366" s="8" t="n">
        <v>2004</v>
      </c>
      <c r="C366" s="9">
        <f>IF(COUNTIFS(Datos!$A$2:$A$5000,C$1,Datos!$B$2:$B$5000,$A366,Datos!$C$2:$C$5000,$B366,Datos!$D$2:$D$5000,C$2)=0,"",SUMIFS(Datos!$E$2:$E$5000,Datos!$A$2:$A$5000,C$1,Datos!$B$2:$B$5000,$A366,Datos!$C$2:$C$5000,$B366,Datos!$D$2:$D$5000,C$2))</f>
        <v/>
      </c>
      <c r="D366" s="9">
        <f>IF(COUNTIFS(Datos!$A$2:$A$5000,D$1,Datos!$B$2:$B$5000,$A366,Datos!$C$2:$C$5000,$B366,Datos!$D$2:$D$5000,D$2)=0,"",SUMIFS(Datos!$E$2:$E$5000,Datos!$A$2:$A$5000,D$1,Datos!$B$2:$B$5000,$A366,Datos!$C$2:$C$5000,$B366,Datos!$D$2:$D$5000,D$2))</f>
        <v/>
      </c>
      <c r="E366" s="9">
        <f>IF(COUNTIFS(Datos!$A$2:$A$5000,E$1,Datos!$B$2:$B$5000,$A366,Datos!$C$2:$C$5000,$B366,Datos!$D$2:$D$5000,E$2)=0,"",SUMIFS(Datos!$E$2:$E$5000,Datos!$A$2:$A$5000,E$1,Datos!$B$2:$B$5000,$A366,Datos!$C$2:$C$5000,$B366,Datos!$D$2:$D$5000,E$2))</f>
        <v/>
      </c>
      <c r="F366" s="9">
        <f>IF(COUNTIFS(Datos!$A$2:$A$5000,F$1,Datos!$B$2:$B$5000,$A366,Datos!$C$2:$C$5000,$B366,Datos!$D$2:$D$5000,F$2)=0,"",SUMIFS(Datos!$E$2:$E$5000,Datos!$A$2:$A$5000,F$1,Datos!$B$2:$B$5000,$A366,Datos!$C$2:$C$5000,$B366,Datos!$D$2:$D$5000,F$2))</f>
        <v/>
      </c>
      <c r="G366" s="9">
        <f>IF(COUNTIFS(Datos!$A$2:$A$5000,G$1,Datos!$B$2:$B$5000,$A366,Datos!$C$2:$C$5000,$B366,Datos!$D$2:$D$5000,G$2)=0,"",SUMIFS(Datos!$E$2:$E$5000,Datos!$A$2:$A$5000,G$1,Datos!$B$2:$B$5000,$A366,Datos!$C$2:$C$5000,$B366,Datos!$D$2:$D$5000,G$2))</f>
        <v/>
      </c>
      <c r="H366" s="9">
        <f>IF(COUNTIFS(Datos!$A$2:$A$5000,H$1,Datos!$B$2:$B$5000,$A366,Datos!$C$2:$C$5000,$B366,Datos!$D$2:$D$5000,H$2)=0,"",SUMIFS(Datos!$E$2:$E$5000,Datos!$A$2:$A$5000,H$1,Datos!$B$2:$B$5000,$A366,Datos!$C$2:$C$5000,$B366,Datos!$D$2:$D$5000,H$2))</f>
        <v/>
      </c>
      <c r="I366" s="9">
        <f>IF(COUNTIFS(Datos!$A$2:$A$5000,I$1,Datos!$B$2:$B$5000,$A366,Datos!$C$2:$C$5000,$B366,Datos!$D$2:$D$5000,I$2)=0,"",SUMIFS(Datos!$E$2:$E$5000,Datos!$A$2:$A$5000,I$1,Datos!$B$2:$B$5000,$A366,Datos!$C$2:$C$5000,$B366,Datos!$D$2:$D$5000,I$2))</f>
        <v/>
      </c>
      <c r="J366" s="9">
        <f>IF(COUNTIFS(Datos!$A$2:$A$5000,J$1,Datos!$B$2:$B$5000,$A366,Datos!$C$2:$C$5000,$B366,Datos!$D$2:$D$5000,J$2)=0,"",SUMIFS(Datos!$E$2:$E$5000,Datos!$A$2:$A$5000,J$1,Datos!$B$2:$B$5000,$A366,Datos!$C$2:$C$5000,$B366,Datos!$D$2:$D$5000,J$2))</f>
        <v/>
      </c>
    </row>
    <row r="367">
      <c r="A367" s="8" t="inlineStr">
        <is>
          <t>Venezuela</t>
        </is>
      </c>
      <c r="B367" s="8" t="n">
        <v>2005</v>
      </c>
      <c r="C367" s="9">
        <f>IF(COUNTIFS(Datos!$A$2:$A$5000,C$1,Datos!$B$2:$B$5000,$A367,Datos!$C$2:$C$5000,$B367,Datos!$D$2:$D$5000,C$2)=0,"",SUMIFS(Datos!$E$2:$E$5000,Datos!$A$2:$A$5000,C$1,Datos!$B$2:$B$5000,$A367,Datos!$C$2:$C$5000,$B367,Datos!$D$2:$D$5000,C$2))</f>
        <v/>
      </c>
      <c r="D367" s="9">
        <f>IF(COUNTIFS(Datos!$A$2:$A$5000,D$1,Datos!$B$2:$B$5000,$A367,Datos!$C$2:$C$5000,$B367,Datos!$D$2:$D$5000,D$2)=0,"",SUMIFS(Datos!$E$2:$E$5000,Datos!$A$2:$A$5000,D$1,Datos!$B$2:$B$5000,$A367,Datos!$C$2:$C$5000,$B367,Datos!$D$2:$D$5000,D$2))</f>
        <v/>
      </c>
      <c r="E367" s="9">
        <f>IF(COUNTIFS(Datos!$A$2:$A$5000,E$1,Datos!$B$2:$B$5000,$A367,Datos!$C$2:$C$5000,$B367,Datos!$D$2:$D$5000,E$2)=0,"",SUMIFS(Datos!$E$2:$E$5000,Datos!$A$2:$A$5000,E$1,Datos!$B$2:$B$5000,$A367,Datos!$C$2:$C$5000,$B367,Datos!$D$2:$D$5000,E$2))</f>
        <v/>
      </c>
      <c r="F367" s="9">
        <f>IF(COUNTIFS(Datos!$A$2:$A$5000,F$1,Datos!$B$2:$B$5000,$A367,Datos!$C$2:$C$5000,$B367,Datos!$D$2:$D$5000,F$2)=0,"",SUMIFS(Datos!$E$2:$E$5000,Datos!$A$2:$A$5000,F$1,Datos!$B$2:$B$5000,$A367,Datos!$C$2:$C$5000,$B367,Datos!$D$2:$D$5000,F$2))</f>
        <v/>
      </c>
      <c r="G367" s="9">
        <f>IF(COUNTIFS(Datos!$A$2:$A$5000,G$1,Datos!$B$2:$B$5000,$A367,Datos!$C$2:$C$5000,$B367,Datos!$D$2:$D$5000,G$2)=0,"",SUMIFS(Datos!$E$2:$E$5000,Datos!$A$2:$A$5000,G$1,Datos!$B$2:$B$5000,$A367,Datos!$C$2:$C$5000,$B367,Datos!$D$2:$D$5000,G$2))</f>
        <v/>
      </c>
      <c r="H367" s="9">
        <f>IF(COUNTIFS(Datos!$A$2:$A$5000,H$1,Datos!$B$2:$B$5000,$A367,Datos!$C$2:$C$5000,$B367,Datos!$D$2:$D$5000,H$2)=0,"",SUMIFS(Datos!$E$2:$E$5000,Datos!$A$2:$A$5000,H$1,Datos!$B$2:$B$5000,$A367,Datos!$C$2:$C$5000,$B367,Datos!$D$2:$D$5000,H$2))</f>
        <v/>
      </c>
      <c r="I367" s="9">
        <f>IF(COUNTIFS(Datos!$A$2:$A$5000,I$1,Datos!$B$2:$B$5000,$A367,Datos!$C$2:$C$5000,$B367,Datos!$D$2:$D$5000,I$2)=0,"",SUMIFS(Datos!$E$2:$E$5000,Datos!$A$2:$A$5000,I$1,Datos!$B$2:$B$5000,$A367,Datos!$C$2:$C$5000,$B367,Datos!$D$2:$D$5000,I$2))</f>
        <v/>
      </c>
      <c r="J367" s="9">
        <f>IF(COUNTIFS(Datos!$A$2:$A$5000,J$1,Datos!$B$2:$B$5000,$A367,Datos!$C$2:$C$5000,$B367,Datos!$D$2:$D$5000,J$2)=0,"",SUMIFS(Datos!$E$2:$E$5000,Datos!$A$2:$A$5000,J$1,Datos!$B$2:$B$5000,$A367,Datos!$C$2:$C$5000,$B367,Datos!$D$2:$D$5000,J$2))</f>
        <v/>
      </c>
    </row>
    <row r="368">
      <c r="A368" s="8" t="inlineStr">
        <is>
          <t>Venezuela</t>
        </is>
      </c>
      <c r="B368" s="8" t="n">
        <v>2006</v>
      </c>
      <c r="C368" s="9">
        <f>IF(COUNTIFS(Datos!$A$2:$A$5000,C$1,Datos!$B$2:$B$5000,$A368,Datos!$C$2:$C$5000,$B368,Datos!$D$2:$D$5000,C$2)=0,"",SUMIFS(Datos!$E$2:$E$5000,Datos!$A$2:$A$5000,C$1,Datos!$B$2:$B$5000,$A368,Datos!$C$2:$C$5000,$B368,Datos!$D$2:$D$5000,C$2))</f>
        <v/>
      </c>
      <c r="D368" s="9">
        <f>IF(COUNTIFS(Datos!$A$2:$A$5000,D$1,Datos!$B$2:$B$5000,$A368,Datos!$C$2:$C$5000,$B368,Datos!$D$2:$D$5000,D$2)=0,"",SUMIFS(Datos!$E$2:$E$5000,Datos!$A$2:$A$5000,D$1,Datos!$B$2:$B$5000,$A368,Datos!$C$2:$C$5000,$B368,Datos!$D$2:$D$5000,D$2))</f>
        <v/>
      </c>
      <c r="E368" s="9">
        <f>IF(COUNTIFS(Datos!$A$2:$A$5000,E$1,Datos!$B$2:$B$5000,$A368,Datos!$C$2:$C$5000,$B368,Datos!$D$2:$D$5000,E$2)=0,"",SUMIFS(Datos!$E$2:$E$5000,Datos!$A$2:$A$5000,E$1,Datos!$B$2:$B$5000,$A368,Datos!$C$2:$C$5000,$B368,Datos!$D$2:$D$5000,E$2))</f>
        <v/>
      </c>
      <c r="F368" s="9">
        <f>IF(COUNTIFS(Datos!$A$2:$A$5000,F$1,Datos!$B$2:$B$5000,$A368,Datos!$C$2:$C$5000,$B368,Datos!$D$2:$D$5000,F$2)=0,"",SUMIFS(Datos!$E$2:$E$5000,Datos!$A$2:$A$5000,F$1,Datos!$B$2:$B$5000,$A368,Datos!$C$2:$C$5000,$B368,Datos!$D$2:$D$5000,F$2))</f>
        <v/>
      </c>
      <c r="G368" s="9">
        <f>IF(COUNTIFS(Datos!$A$2:$A$5000,G$1,Datos!$B$2:$B$5000,$A368,Datos!$C$2:$C$5000,$B368,Datos!$D$2:$D$5000,G$2)=0,"",SUMIFS(Datos!$E$2:$E$5000,Datos!$A$2:$A$5000,G$1,Datos!$B$2:$B$5000,$A368,Datos!$C$2:$C$5000,$B368,Datos!$D$2:$D$5000,G$2))</f>
        <v/>
      </c>
      <c r="H368" s="9">
        <f>IF(COUNTIFS(Datos!$A$2:$A$5000,H$1,Datos!$B$2:$B$5000,$A368,Datos!$C$2:$C$5000,$B368,Datos!$D$2:$D$5000,H$2)=0,"",SUMIFS(Datos!$E$2:$E$5000,Datos!$A$2:$A$5000,H$1,Datos!$B$2:$B$5000,$A368,Datos!$C$2:$C$5000,$B368,Datos!$D$2:$D$5000,H$2))</f>
        <v/>
      </c>
      <c r="I368" s="9">
        <f>IF(COUNTIFS(Datos!$A$2:$A$5000,I$1,Datos!$B$2:$B$5000,$A368,Datos!$C$2:$C$5000,$B368,Datos!$D$2:$D$5000,I$2)=0,"",SUMIFS(Datos!$E$2:$E$5000,Datos!$A$2:$A$5000,I$1,Datos!$B$2:$B$5000,$A368,Datos!$C$2:$C$5000,$B368,Datos!$D$2:$D$5000,I$2))</f>
        <v/>
      </c>
      <c r="J368" s="9">
        <f>IF(COUNTIFS(Datos!$A$2:$A$5000,J$1,Datos!$B$2:$B$5000,$A368,Datos!$C$2:$C$5000,$B368,Datos!$D$2:$D$5000,J$2)=0,"",SUMIFS(Datos!$E$2:$E$5000,Datos!$A$2:$A$5000,J$1,Datos!$B$2:$B$5000,$A368,Datos!$C$2:$C$5000,$B368,Datos!$D$2:$D$5000,J$2))</f>
        <v/>
      </c>
    </row>
    <row r="369">
      <c r="A369" s="8" t="inlineStr">
        <is>
          <t>Venezuela</t>
        </is>
      </c>
      <c r="B369" s="8" t="n">
        <v>2007</v>
      </c>
      <c r="C369" s="9">
        <f>IF(COUNTIFS(Datos!$A$2:$A$5000,C$1,Datos!$B$2:$B$5000,$A369,Datos!$C$2:$C$5000,$B369,Datos!$D$2:$D$5000,C$2)=0,"",SUMIFS(Datos!$E$2:$E$5000,Datos!$A$2:$A$5000,C$1,Datos!$B$2:$B$5000,$A369,Datos!$C$2:$C$5000,$B369,Datos!$D$2:$D$5000,C$2))</f>
        <v/>
      </c>
      <c r="D369" s="9">
        <f>IF(COUNTIFS(Datos!$A$2:$A$5000,D$1,Datos!$B$2:$B$5000,$A369,Datos!$C$2:$C$5000,$B369,Datos!$D$2:$D$5000,D$2)=0,"",SUMIFS(Datos!$E$2:$E$5000,Datos!$A$2:$A$5000,D$1,Datos!$B$2:$B$5000,$A369,Datos!$C$2:$C$5000,$B369,Datos!$D$2:$D$5000,D$2))</f>
        <v/>
      </c>
      <c r="E369" s="9">
        <f>IF(COUNTIFS(Datos!$A$2:$A$5000,E$1,Datos!$B$2:$B$5000,$A369,Datos!$C$2:$C$5000,$B369,Datos!$D$2:$D$5000,E$2)=0,"",SUMIFS(Datos!$E$2:$E$5000,Datos!$A$2:$A$5000,E$1,Datos!$B$2:$B$5000,$A369,Datos!$C$2:$C$5000,$B369,Datos!$D$2:$D$5000,E$2))</f>
        <v/>
      </c>
      <c r="F369" s="9">
        <f>IF(COUNTIFS(Datos!$A$2:$A$5000,F$1,Datos!$B$2:$B$5000,$A369,Datos!$C$2:$C$5000,$B369,Datos!$D$2:$D$5000,F$2)=0,"",SUMIFS(Datos!$E$2:$E$5000,Datos!$A$2:$A$5000,F$1,Datos!$B$2:$B$5000,$A369,Datos!$C$2:$C$5000,$B369,Datos!$D$2:$D$5000,F$2))</f>
        <v/>
      </c>
      <c r="G369" s="9">
        <f>IF(COUNTIFS(Datos!$A$2:$A$5000,G$1,Datos!$B$2:$B$5000,$A369,Datos!$C$2:$C$5000,$B369,Datos!$D$2:$D$5000,G$2)=0,"",SUMIFS(Datos!$E$2:$E$5000,Datos!$A$2:$A$5000,G$1,Datos!$B$2:$B$5000,$A369,Datos!$C$2:$C$5000,$B369,Datos!$D$2:$D$5000,G$2))</f>
        <v/>
      </c>
      <c r="H369" s="9">
        <f>IF(COUNTIFS(Datos!$A$2:$A$5000,H$1,Datos!$B$2:$B$5000,$A369,Datos!$C$2:$C$5000,$B369,Datos!$D$2:$D$5000,H$2)=0,"",SUMIFS(Datos!$E$2:$E$5000,Datos!$A$2:$A$5000,H$1,Datos!$B$2:$B$5000,$A369,Datos!$C$2:$C$5000,$B369,Datos!$D$2:$D$5000,H$2))</f>
        <v/>
      </c>
      <c r="I369" s="9">
        <f>IF(COUNTIFS(Datos!$A$2:$A$5000,I$1,Datos!$B$2:$B$5000,$A369,Datos!$C$2:$C$5000,$B369,Datos!$D$2:$D$5000,I$2)=0,"",SUMIFS(Datos!$E$2:$E$5000,Datos!$A$2:$A$5000,I$1,Datos!$B$2:$B$5000,$A369,Datos!$C$2:$C$5000,$B369,Datos!$D$2:$D$5000,I$2))</f>
        <v/>
      </c>
      <c r="J369" s="9">
        <f>IF(COUNTIFS(Datos!$A$2:$A$5000,J$1,Datos!$B$2:$B$5000,$A369,Datos!$C$2:$C$5000,$B369,Datos!$D$2:$D$5000,J$2)=0,"",SUMIFS(Datos!$E$2:$E$5000,Datos!$A$2:$A$5000,J$1,Datos!$B$2:$B$5000,$A369,Datos!$C$2:$C$5000,$B369,Datos!$D$2:$D$5000,J$2))</f>
        <v/>
      </c>
    </row>
    <row r="370">
      <c r="A370" s="8" t="inlineStr">
        <is>
          <t>Venezuela</t>
        </is>
      </c>
      <c r="B370" s="8" t="n">
        <v>2008</v>
      </c>
      <c r="C370" s="9">
        <f>IF(COUNTIFS(Datos!$A$2:$A$5000,C$1,Datos!$B$2:$B$5000,$A370,Datos!$C$2:$C$5000,$B370,Datos!$D$2:$D$5000,C$2)=0,"",SUMIFS(Datos!$E$2:$E$5000,Datos!$A$2:$A$5000,C$1,Datos!$B$2:$B$5000,$A370,Datos!$C$2:$C$5000,$B370,Datos!$D$2:$D$5000,C$2))</f>
        <v/>
      </c>
      <c r="D370" s="9">
        <f>IF(COUNTIFS(Datos!$A$2:$A$5000,D$1,Datos!$B$2:$B$5000,$A370,Datos!$C$2:$C$5000,$B370,Datos!$D$2:$D$5000,D$2)=0,"",SUMIFS(Datos!$E$2:$E$5000,Datos!$A$2:$A$5000,D$1,Datos!$B$2:$B$5000,$A370,Datos!$C$2:$C$5000,$B370,Datos!$D$2:$D$5000,D$2))</f>
        <v/>
      </c>
      <c r="E370" s="9">
        <f>IF(COUNTIFS(Datos!$A$2:$A$5000,E$1,Datos!$B$2:$B$5000,$A370,Datos!$C$2:$C$5000,$B370,Datos!$D$2:$D$5000,E$2)=0,"",SUMIFS(Datos!$E$2:$E$5000,Datos!$A$2:$A$5000,E$1,Datos!$B$2:$B$5000,$A370,Datos!$C$2:$C$5000,$B370,Datos!$D$2:$D$5000,E$2))</f>
        <v/>
      </c>
      <c r="F370" s="9">
        <f>IF(COUNTIFS(Datos!$A$2:$A$5000,F$1,Datos!$B$2:$B$5000,$A370,Datos!$C$2:$C$5000,$B370,Datos!$D$2:$D$5000,F$2)=0,"",SUMIFS(Datos!$E$2:$E$5000,Datos!$A$2:$A$5000,F$1,Datos!$B$2:$B$5000,$A370,Datos!$C$2:$C$5000,$B370,Datos!$D$2:$D$5000,F$2))</f>
        <v/>
      </c>
      <c r="G370" s="9">
        <f>IF(COUNTIFS(Datos!$A$2:$A$5000,G$1,Datos!$B$2:$B$5000,$A370,Datos!$C$2:$C$5000,$B370,Datos!$D$2:$D$5000,G$2)=0,"",SUMIFS(Datos!$E$2:$E$5000,Datos!$A$2:$A$5000,G$1,Datos!$B$2:$B$5000,$A370,Datos!$C$2:$C$5000,$B370,Datos!$D$2:$D$5000,G$2))</f>
        <v/>
      </c>
      <c r="H370" s="9">
        <f>IF(COUNTIFS(Datos!$A$2:$A$5000,H$1,Datos!$B$2:$B$5000,$A370,Datos!$C$2:$C$5000,$B370,Datos!$D$2:$D$5000,H$2)=0,"",SUMIFS(Datos!$E$2:$E$5000,Datos!$A$2:$A$5000,H$1,Datos!$B$2:$B$5000,$A370,Datos!$C$2:$C$5000,$B370,Datos!$D$2:$D$5000,H$2))</f>
        <v/>
      </c>
      <c r="I370" s="9">
        <f>IF(COUNTIFS(Datos!$A$2:$A$5000,I$1,Datos!$B$2:$B$5000,$A370,Datos!$C$2:$C$5000,$B370,Datos!$D$2:$D$5000,I$2)=0,"",SUMIFS(Datos!$E$2:$E$5000,Datos!$A$2:$A$5000,I$1,Datos!$B$2:$B$5000,$A370,Datos!$C$2:$C$5000,$B370,Datos!$D$2:$D$5000,I$2))</f>
        <v/>
      </c>
      <c r="J370" s="9">
        <f>IF(COUNTIFS(Datos!$A$2:$A$5000,J$1,Datos!$B$2:$B$5000,$A370,Datos!$C$2:$C$5000,$B370,Datos!$D$2:$D$5000,J$2)=0,"",SUMIFS(Datos!$E$2:$E$5000,Datos!$A$2:$A$5000,J$1,Datos!$B$2:$B$5000,$A370,Datos!$C$2:$C$5000,$B370,Datos!$D$2:$D$5000,J$2))</f>
        <v/>
      </c>
    </row>
    <row r="371">
      <c r="A371" s="8" t="inlineStr">
        <is>
          <t>Venezuela</t>
        </is>
      </c>
      <c r="B371" s="8" t="n">
        <v>2009</v>
      </c>
      <c r="C371" s="9">
        <f>IF(COUNTIFS(Datos!$A$2:$A$5000,C$1,Datos!$B$2:$B$5000,$A371,Datos!$C$2:$C$5000,$B371,Datos!$D$2:$D$5000,C$2)=0,"",SUMIFS(Datos!$E$2:$E$5000,Datos!$A$2:$A$5000,C$1,Datos!$B$2:$B$5000,$A371,Datos!$C$2:$C$5000,$B371,Datos!$D$2:$D$5000,C$2))</f>
        <v/>
      </c>
      <c r="D371" s="9">
        <f>IF(COUNTIFS(Datos!$A$2:$A$5000,D$1,Datos!$B$2:$B$5000,$A371,Datos!$C$2:$C$5000,$B371,Datos!$D$2:$D$5000,D$2)=0,"",SUMIFS(Datos!$E$2:$E$5000,Datos!$A$2:$A$5000,D$1,Datos!$B$2:$B$5000,$A371,Datos!$C$2:$C$5000,$B371,Datos!$D$2:$D$5000,D$2))</f>
        <v/>
      </c>
      <c r="E371" s="9">
        <f>IF(COUNTIFS(Datos!$A$2:$A$5000,E$1,Datos!$B$2:$B$5000,$A371,Datos!$C$2:$C$5000,$B371,Datos!$D$2:$D$5000,E$2)=0,"",SUMIFS(Datos!$E$2:$E$5000,Datos!$A$2:$A$5000,E$1,Datos!$B$2:$B$5000,$A371,Datos!$C$2:$C$5000,$B371,Datos!$D$2:$D$5000,E$2))</f>
        <v/>
      </c>
      <c r="F371" s="9">
        <f>IF(COUNTIFS(Datos!$A$2:$A$5000,F$1,Datos!$B$2:$B$5000,$A371,Datos!$C$2:$C$5000,$B371,Datos!$D$2:$D$5000,F$2)=0,"",SUMIFS(Datos!$E$2:$E$5000,Datos!$A$2:$A$5000,F$1,Datos!$B$2:$B$5000,$A371,Datos!$C$2:$C$5000,$B371,Datos!$D$2:$D$5000,F$2))</f>
        <v/>
      </c>
      <c r="G371" s="9">
        <f>IF(COUNTIFS(Datos!$A$2:$A$5000,G$1,Datos!$B$2:$B$5000,$A371,Datos!$C$2:$C$5000,$B371,Datos!$D$2:$D$5000,G$2)=0,"",SUMIFS(Datos!$E$2:$E$5000,Datos!$A$2:$A$5000,G$1,Datos!$B$2:$B$5000,$A371,Datos!$C$2:$C$5000,$B371,Datos!$D$2:$D$5000,G$2))</f>
        <v/>
      </c>
      <c r="H371" s="9">
        <f>IF(COUNTIFS(Datos!$A$2:$A$5000,H$1,Datos!$B$2:$B$5000,$A371,Datos!$C$2:$C$5000,$B371,Datos!$D$2:$D$5000,H$2)=0,"",SUMIFS(Datos!$E$2:$E$5000,Datos!$A$2:$A$5000,H$1,Datos!$B$2:$B$5000,$A371,Datos!$C$2:$C$5000,$B371,Datos!$D$2:$D$5000,H$2))</f>
        <v/>
      </c>
      <c r="I371" s="9">
        <f>IF(COUNTIFS(Datos!$A$2:$A$5000,I$1,Datos!$B$2:$B$5000,$A371,Datos!$C$2:$C$5000,$B371,Datos!$D$2:$D$5000,I$2)=0,"",SUMIFS(Datos!$E$2:$E$5000,Datos!$A$2:$A$5000,I$1,Datos!$B$2:$B$5000,$A371,Datos!$C$2:$C$5000,$B371,Datos!$D$2:$D$5000,I$2))</f>
        <v/>
      </c>
      <c r="J371" s="9">
        <f>IF(COUNTIFS(Datos!$A$2:$A$5000,J$1,Datos!$B$2:$B$5000,$A371,Datos!$C$2:$C$5000,$B371,Datos!$D$2:$D$5000,J$2)=0,"",SUMIFS(Datos!$E$2:$E$5000,Datos!$A$2:$A$5000,J$1,Datos!$B$2:$B$5000,$A371,Datos!$C$2:$C$5000,$B371,Datos!$D$2:$D$5000,J$2))</f>
        <v/>
      </c>
    </row>
    <row r="372">
      <c r="A372" s="8" t="inlineStr">
        <is>
          <t>Venezuela</t>
        </is>
      </c>
      <c r="B372" s="8" t="n">
        <v>2010</v>
      </c>
      <c r="C372" s="9">
        <f>IF(COUNTIFS(Datos!$A$2:$A$5000,C$1,Datos!$B$2:$B$5000,$A372,Datos!$C$2:$C$5000,$B372,Datos!$D$2:$D$5000,C$2)=0,"",SUMIFS(Datos!$E$2:$E$5000,Datos!$A$2:$A$5000,C$1,Datos!$B$2:$B$5000,$A372,Datos!$C$2:$C$5000,$B372,Datos!$D$2:$D$5000,C$2))</f>
        <v/>
      </c>
      <c r="D372" s="9">
        <f>IF(COUNTIFS(Datos!$A$2:$A$5000,D$1,Datos!$B$2:$B$5000,$A372,Datos!$C$2:$C$5000,$B372,Datos!$D$2:$D$5000,D$2)=0,"",SUMIFS(Datos!$E$2:$E$5000,Datos!$A$2:$A$5000,D$1,Datos!$B$2:$B$5000,$A372,Datos!$C$2:$C$5000,$B372,Datos!$D$2:$D$5000,D$2))</f>
        <v/>
      </c>
      <c r="E372" s="9">
        <f>IF(COUNTIFS(Datos!$A$2:$A$5000,E$1,Datos!$B$2:$B$5000,$A372,Datos!$C$2:$C$5000,$B372,Datos!$D$2:$D$5000,E$2)=0,"",SUMIFS(Datos!$E$2:$E$5000,Datos!$A$2:$A$5000,E$1,Datos!$B$2:$B$5000,$A372,Datos!$C$2:$C$5000,$B372,Datos!$D$2:$D$5000,E$2))</f>
        <v/>
      </c>
      <c r="F372" s="9">
        <f>IF(COUNTIFS(Datos!$A$2:$A$5000,F$1,Datos!$B$2:$B$5000,$A372,Datos!$C$2:$C$5000,$B372,Datos!$D$2:$D$5000,F$2)=0,"",SUMIFS(Datos!$E$2:$E$5000,Datos!$A$2:$A$5000,F$1,Datos!$B$2:$B$5000,$A372,Datos!$C$2:$C$5000,$B372,Datos!$D$2:$D$5000,F$2))</f>
        <v/>
      </c>
      <c r="G372" s="9">
        <f>IF(COUNTIFS(Datos!$A$2:$A$5000,G$1,Datos!$B$2:$B$5000,$A372,Datos!$C$2:$C$5000,$B372,Datos!$D$2:$D$5000,G$2)=0,"",SUMIFS(Datos!$E$2:$E$5000,Datos!$A$2:$A$5000,G$1,Datos!$B$2:$B$5000,$A372,Datos!$C$2:$C$5000,$B372,Datos!$D$2:$D$5000,G$2))</f>
        <v/>
      </c>
      <c r="H372" s="9">
        <f>IF(COUNTIFS(Datos!$A$2:$A$5000,H$1,Datos!$B$2:$B$5000,$A372,Datos!$C$2:$C$5000,$B372,Datos!$D$2:$D$5000,H$2)=0,"",SUMIFS(Datos!$E$2:$E$5000,Datos!$A$2:$A$5000,H$1,Datos!$B$2:$B$5000,$A372,Datos!$C$2:$C$5000,$B372,Datos!$D$2:$D$5000,H$2))</f>
        <v/>
      </c>
      <c r="I372" s="9">
        <f>IF(COUNTIFS(Datos!$A$2:$A$5000,I$1,Datos!$B$2:$B$5000,$A372,Datos!$C$2:$C$5000,$B372,Datos!$D$2:$D$5000,I$2)=0,"",SUMIFS(Datos!$E$2:$E$5000,Datos!$A$2:$A$5000,I$1,Datos!$B$2:$B$5000,$A372,Datos!$C$2:$C$5000,$B372,Datos!$D$2:$D$5000,I$2))</f>
        <v/>
      </c>
      <c r="J372" s="9">
        <f>IF(COUNTIFS(Datos!$A$2:$A$5000,J$1,Datos!$B$2:$B$5000,$A372,Datos!$C$2:$C$5000,$B372,Datos!$D$2:$D$5000,J$2)=0,"",SUMIFS(Datos!$E$2:$E$5000,Datos!$A$2:$A$5000,J$1,Datos!$B$2:$B$5000,$A372,Datos!$C$2:$C$5000,$B372,Datos!$D$2:$D$5000,J$2))</f>
        <v/>
      </c>
    </row>
    <row r="373">
      <c r="A373" s="8" t="inlineStr">
        <is>
          <t>Venezuela</t>
        </is>
      </c>
      <c r="B373" s="8" t="n">
        <v>2011</v>
      </c>
      <c r="C373" s="9">
        <f>IF(COUNTIFS(Datos!$A$2:$A$5000,C$1,Datos!$B$2:$B$5000,$A373,Datos!$C$2:$C$5000,$B373,Datos!$D$2:$D$5000,C$2)=0,"",SUMIFS(Datos!$E$2:$E$5000,Datos!$A$2:$A$5000,C$1,Datos!$B$2:$B$5000,$A373,Datos!$C$2:$C$5000,$B373,Datos!$D$2:$D$5000,C$2))</f>
        <v/>
      </c>
      <c r="D373" s="9">
        <f>IF(COUNTIFS(Datos!$A$2:$A$5000,D$1,Datos!$B$2:$B$5000,$A373,Datos!$C$2:$C$5000,$B373,Datos!$D$2:$D$5000,D$2)=0,"",SUMIFS(Datos!$E$2:$E$5000,Datos!$A$2:$A$5000,D$1,Datos!$B$2:$B$5000,$A373,Datos!$C$2:$C$5000,$B373,Datos!$D$2:$D$5000,D$2))</f>
        <v/>
      </c>
      <c r="E373" s="9">
        <f>IF(COUNTIFS(Datos!$A$2:$A$5000,E$1,Datos!$B$2:$B$5000,$A373,Datos!$C$2:$C$5000,$B373,Datos!$D$2:$D$5000,E$2)=0,"",SUMIFS(Datos!$E$2:$E$5000,Datos!$A$2:$A$5000,E$1,Datos!$B$2:$B$5000,$A373,Datos!$C$2:$C$5000,$B373,Datos!$D$2:$D$5000,E$2))</f>
        <v/>
      </c>
      <c r="F373" s="9">
        <f>IF(COUNTIFS(Datos!$A$2:$A$5000,F$1,Datos!$B$2:$B$5000,$A373,Datos!$C$2:$C$5000,$B373,Datos!$D$2:$D$5000,F$2)=0,"",SUMIFS(Datos!$E$2:$E$5000,Datos!$A$2:$A$5000,F$1,Datos!$B$2:$B$5000,$A373,Datos!$C$2:$C$5000,$B373,Datos!$D$2:$D$5000,F$2))</f>
        <v/>
      </c>
      <c r="G373" s="9">
        <f>IF(COUNTIFS(Datos!$A$2:$A$5000,G$1,Datos!$B$2:$B$5000,$A373,Datos!$C$2:$C$5000,$B373,Datos!$D$2:$D$5000,G$2)=0,"",SUMIFS(Datos!$E$2:$E$5000,Datos!$A$2:$A$5000,G$1,Datos!$B$2:$B$5000,$A373,Datos!$C$2:$C$5000,$B373,Datos!$D$2:$D$5000,G$2))</f>
        <v/>
      </c>
      <c r="H373" s="9">
        <f>IF(COUNTIFS(Datos!$A$2:$A$5000,H$1,Datos!$B$2:$B$5000,$A373,Datos!$C$2:$C$5000,$B373,Datos!$D$2:$D$5000,H$2)=0,"",SUMIFS(Datos!$E$2:$E$5000,Datos!$A$2:$A$5000,H$1,Datos!$B$2:$B$5000,$A373,Datos!$C$2:$C$5000,$B373,Datos!$D$2:$D$5000,H$2))</f>
        <v/>
      </c>
      <c r="I373" s="9">
        <f>IF(COUNTIFS(Datos!$A$2:$A$5000,I$1,Datos!$B$2:$B$5000,$A373,Datos!$C$2:$C$5000,$B373,Datos!$D$2:$D$5000,I$2)=0,"",SUMIFS(Datos!$E$2:$E$5000,Datos!$A$2:$A$5000,I$1,Datos!$B$2:$B$5000,$A373,Datos!$C$2:$C$5000,$B373,Datos!$D$2:$D$5000,I$2))</f>
        <v/>
      </c>
      <c r="J373" s="9">
        <f>IF(COUNTIFS(Datos!$A$2:$A$5000,J$1,Datos!$B$2:$B$5000,$A373,Datos!$C$2:$C$5000,$B373,Datos!$D$2:$D$5000,J$2)=0,"",SUMIFS(Datos!$E$2:$E$5000,Datos!$A$2:$A$5000,J$1,Datos!$B$2:$B$5000,$A373,Datos!$C$2:$C$5000,$B373,Datos!$D$2:$D$5000,J$2))</f>
        <v/>
      </c>
    </row>
    <row r="374">
      <c r="A374" s="8" t="inlineStr">
        <is>
          <t>Venezuela</t>
        </is>
      </c>
      <c r="B374" s="8" t="n">
        <v>2016</v>
      </c>
      <c r="C374" s="9">
        <f>IF(COUNTIFS(Datos!$A$2:$A$5000,C$1,Datos!$B$2:$B$5000,$A374,Datos!$C$2:$C$5000,$B374,Datos!$D$2:$D$5000,C$2)=0,"",SUMIFS(Datos!$E$2:$E$5000,Datos!$A$2:$A$5000,C$1,Datos!$B$2:$B$5000,$A374,Datos!$C$2:$C$5000,$B374,Datos!$D$2:$D$5000,C$2))</f>
        <v/>
      </c>
      <c r="D374" s="9">
        <f>IF(COUNTIFS(Datos!$A$2:$A$5000,D$1,Datos!$B$2:$B$5000,$A374,Datos!$C$2:$C$5000,$B374,Datos!$D$2:$D$5000,D$2)=0,"",SUMIFS(Datos!$E$2:$E$5000,Datos!$A$2:$A$5000,D$1,Datos!$B$2:$B$5000,$A374,Datos!$C$2:$C$5000,$B374,Datos!$D$2:$D$5000,D$2))</f>
        <v/>
      </c>
      <c r="E374" s="9">
        <f>IF(COUNTIFS(Datos!$A$2:$A$5000,E$1,Datos!$B$2:$B$5000,$A374,Datos!$C$2:$C$5000,$B374,Datos!$D$2:$D$5000,E$2)=0,"",SUMIFS(Datos!$E$2:$E$5000,Datos!$A$2:$A$5000,E$1,Datos!$B$2:$B$5000,$A374,Datos!$C$2:$C$5000,$B374,Datos!$D$2:$D$5000,E$2))</f>
        <v/>
      </c>
      <c r="F374" s="9">
        <f>IF(COUNTIFS(Datos!$A$2:$A$5000,F$1,Datos!$B$2:$B$5000,$A374,Datos!$C$2:$C$5000,$B374,Datos!$D$2:$D$5000,F$2)=0,"",SUMIFS(Datos!$E$2:$E$5000,Datos!$A$2:$A$5000,F$1,Datos!$B$2:$B$5000,$A374,Datos!$C$2:$C$5000,$B374,Datos!$D$2:$D$5000,F$2))</f>
        <v/>
      </c>
      <c r="G374" s="9">
        <f>IF(COUNTIFS(Datos!$A$2:$A$5000,G$1,Datos!$B$2:$B$5000,$A374,Datos!$C$2:$C$5000,$B374,Datos!$D$2:$D$5000,G$2)=0,"",SUMIFS(Datos!$E$2:$E$5000,Datos!$A$2:$A$5000,G$1,Datos!$B$2:$B$5000,$A374,Datos!$C$2:$C$5000,$B374,Datos!$D$2:$D$5000,G$2))</f>
        <v/>
      </c>
      <c r="H374" s="9">
        <f>IF(COUNTIFS(Datos!$A$2:$A$5000,H$1,Datos!$B$2:$B$5000,$A374,Datos!$C$2:$C$5000,$B374,Datos!$D$2:$D$5000,H$2)=0,"",SUMIFS(Datos!$E$2:$E$5000,Datos!$A$2:$A$5000,H$1,Datos!$B$2:$B$5000,$A374,Datos!$C$2:$C$5000,$B374,Datos!$D$2:$D$5000,H$2))</f>
        <v/>
      </c>
      <c r="I374" s="9">
        <f>IF(COUNTIFS(Datos!$A$2:$A$5000,I$1,Datos!$B$2:$B$5000,$A374,Datos!$C$2:$C$5000,$B374,Datos!$D$2:$D$5000,I$2)=0,"",SUMIFS(Datos!$E$2:$E$5000,Datos!$A$2:$A$5000,I$1,Datos!$B$2:$B$5000,$A374,Datos!$C$2:$C$5000,$B374,Datos!$D$2:$D$5000,I$2))</f>
        <v/>
      </c>
      <c r="J374" s="9">
        <f>IF(COUNTIFS(Datos!$A$2:$A$5000,J$1,Datos!$B$2:$B$5000,$A374,Datos!$C$2:$C$5000,$B374,Datos!$D$2:$D$5000,J$2)=0,"",SUMIFS(Datos!$E$2:$E$5000,Datos!$A$2:$A$5000,J$1,Datos!$B$2:$B$5000,$A374,Datos!$C$2:$C$5000,$B374,Datos!$D$2:$D$5000,J$2))</f>
        <v/>
      </c>
    </row>
    <row r="375">
      <c r="A375" s="8" t="inlineStr">
        <is>
          <t>Venezuela</t>
        </is>
      </c>
      <c r="B375" s="8" t="n">
        <v>2017</v>
      </c>
      <c r="C375" s="9">
        <f>IF(COUNTIFS(Datos!$A$2:$A$5000,C$1,Datos!$B$2:$B$5000,$A375,Datos!$C$2:$C$5000,$B375,Datos!$D$2:$D$5000,C$2)=0,"",SUMIFS(Datos!$E$2:$E$5000,Datos!$A$2:$A$5000,C$1,Datos!$B$2:$B$5000,$A375,Datos!$C$2:$C$5000,$B375,Datos!$D$2:$D$5000,C$2))</f>
        <v/>
      </c>
      <c r="D375" s="9">
        <f>IF(COUNTIFS(Datos!$A$2:$A$5000,D$1,Datos!$B$2:$B$5000,$A375,Datos!$C$2:$C$5000,$B375,Datos!$D$2:$D$5000,D$2)=0,"",SUMIFS(Datos!$E$2:$E$5000,Datos!$A$2:$A$5000,D$1,Datos!$B$2:$B$5000,$A375,Datos!$C$2:$C$5000,$B375,Datos!$D$2:$D$5000,D$2))</f>
        <v/>
      </c>
      <c r="E375" s="9">
        <f>IF(COUNTIFS(Datos!$A$2:$A$5000,E$1,Datos!$B$2:$B$5000,$A375,Datos!$C$2:$C$5000,$B375,Datos!$D$2:$D$5000,E$2)=0,"",SUMIFS(Datos!$E$2:$E$5000,Datos!$A$2:$A$5000,E$1,Datos!$B$2:$B$5000,$A375,Datos!$C$2:$C$5000,$B375,Datos!$D$2:$D$5000,E$2))</f>
        <v/>
      </c>
      <c r="F375" s="9">
        <f>IF(COUNTIFS(Datos!$A$2:$A$5000,F$1,Datos!$B$2:$B$5000,$A375,Datos!$C$2:$C$5000,$B375,Datos!$D$2:$D$5000,F$2)=0,"",SUMIFS(Datos!$E$2:$E$5000,Datos!$A$2:$A$5000,F$1,Datos!$B$2:$B$5000,$A375,Datos!$C$2:$C$5000,$B375,Datos!$D$2:$D$5000,F$2))</f>
        <v/>
      </c>
      <c r="G375" s="9">
        <f>IF(COUNTIFS(Datos!$A$2:$A$5000,G$1,Datos!$B$2:$B$5000,$A375,Datos!$C$2:$C$5000,$B375,Datos!$D$2:$D$5000,G$2)=0,"",SUMIFS(Datos!$E$2:$E$5000,Datos!$A$2:$A$5000,G$1,Datos!$B$2:$B$5000,$A375,Datos!$C$2:$C$5000,$B375,Datos!$D$2:$D$5000,G$2))</f>
        <v/>
      </c>
      <c r="H375" s="9">
        <f>IF(COUNTIFS(Datos!$A$2:$A$5000,H$1,Datos!$B$2:$B$5000,$A375,Datos!$C$2:$C$5000,$B375,Datos!$D$2:$D$5000,H$2)=0,"",SUMIFS(Datos!$E$2:$E$5000,Datos!$A$2:$A$5000,H$1,Datos!$B$2:$B$5000,$A375,Datos!$C$2:$C$5000,$B375,Datos!$D$2:$D$5000,H$2))</f>
        <v/>
      </c>
      <c r="I375" s="9">
        <f>IF(COUNTIFS(Datos!$A$2:$A$5000,I$1,Datos!$B$2:$B$5000,$A375,Datos!$C$2:$C$5000,$B375,Datos!$D$2:$D$5000,I$2)=0,"",SUMIFS(Datos!$E$2:$E$5000,Datos!$A$2:$A$5000,I$1,Datos!$B$2:$B$5000,$A375,Datos!$C$2:$C$5000,$B375,Datos!$D$2:$D$5000,I$2))</f>
        <v/>
      </c>
      <c r="J375" s="9">
        <f>IF(COUNTIFS(Datos!$A$2:$A$5000,J$1,Datos!$B$2:$B$5000,$A375,Datos!$C$2:$C$5000,$B375,Datos!$D$2:$D$5000,J$2)=0,"",SUMIFS(Datos!$E$2:$E$5000,Datos!$A$2:$A$5000,J$1,Datos!$B$2:$B$5000,$A375,Datos!$C$2:$C$5000,$B375,Datos!$D$2:$D$5000,J$2))</f>
        <v/>
      </c>
    </row>
    <row r="376">
      <c r="A376" s="8" t="inlineStr">
        <is>
          <t>Venezuela</t>
        </is>
      </c>
      <c r="B376" s="8" t="n">
        <v>2018</v>
      </c>
      <c r="C376" s="9">
        <f>IF(COUNTIFS(Datos!$A$2:$A$5000,C$1,Datos!$B$2:$B$5000,$A376,Datos!$C$2:$C$5000,$B376,Datos!$D$2:$D$5000,C$2)=0,"",SUMIFS(Datos!$E$2:$E$5000,Datos!$A$2:$A$5000,C$1,Datos!$B$2:$B$5000,$A376,Datos!$C$2:$C$5000,$B376,Datos!$D$2:$D$5000,C$2))</f>
        <v/>
      </c>
      <c r="D376" s="9">
        <f>IF(COUNTIFS(Datos!$A$2:$A$5000,D$1,Datos!$B$2:$B$5000,$A376,Datos!$C$2:$C$5000,$B376,Datos!$D$2:$D$5000,D$2)=0,"",SUMIFS(Datos!$E$2:$E$5000,Datos!$A$2:$A$5000,D$1,Datos!$B$2:$B$5000,$A376,Datos!$C$2:$C$5000,$B376,Datos!$D$2:$D$5000,D$2))</f>
        <v/>
      </c>
      <c r="E376" s="9">
        <f>IF(COUNTIFS(Datos!$A$2:$A$5000,E$1,Datos!$B$2:$B$5000,$A376,Datos!$C$2:$C$5000,$B376,Datos!$D$2:$D$5000,E$2)=0,"",SUMIFS(Datos!$E$2:$E$5000,Datos!$A$2:$A$5000,E$1,Datos!$B$2:$B$5000,$A376,Datos!$C$2:$C$5000,$B376,Datos!$D$2:$D$5000,E$2))</f>
        <v/>
      </c>
      <c r="F376" s="9">
        <f>IF(COUNTIFS(Datos!$A$2:$A$5000,F$1,Datos!$B$2:$B$5000,$A376,Datos!$C$2:$C$5000,$B376,Datos!$D$2:$D$5000,F$2)=0,"",SUMIFS(Datos!$E$2:$E$5000,Datos!$A$2:$A$5000,F$1,Datos!$B$2:$B$5000,$A376,Datos!$C$2:$C$5000,$B376,Datos!$D$2:$D$5000,F$2))</f>
        <v/>
      </c>
      <c r="G376" s="9">
        <f>IF(COUNTIFS(Datos!$A$2:$A$5000,G$1,Datos!$B$2:$B$5000,$A376,Datos!$C$2:$C$5000,$B376,Datos!$D$2:$D$5000,G$2)=0,"",SUMIFS(Datos!$E$2:$E$5000,Datos!$A$2:$A$5000,G$1,Datos!$B$2:$B$5000,$A376,Datos!$C$2:$C$5000,$B376,Datos!$D$2:$D$5000,G$2))</f>
        <v/>
      </c>
      <c r="H376" s="9">
        <f>IF(COUNTIFS(Datos!$A$2:$A$5000,H$1,Datos!$B$2:$B$5000,$A376,Datos!$C$2:$C$5000,$B376,Datos!$D$2:$D$5000,H$2)=0,"",SUMIFS(Datos!$E$2:$E$5000,Datos!$A$2:$A$5000,H$1,Datos!$B$2:$B$5000,$A376,Datos!$C$2:$C$5000,$B376,Datos!$D$2:$D$5000,H$2))</f>
        <v/>
      </c>
      <c r="I376" s="9">
        <f>IF(COUNTIFS(Datos!$A$2:$A$5000,I$1,Datos!$B$2:$B$5000,$A376,Datos!$C$2:$C$5000,$B376,Datos!$D$2:$D$5000,I$2)=0,"",SUMIFS(Datos!$E$2:$E$5000,Datos!$A$2:$A$5000,I$1,Datos!$B$2:$B$5000,$A376,Datos!$C$2:$C$5000,$B376,Datos!$D$2:$D$5000,I$2))</f>
        <v/>
      </c>
      <c r="J376" s="9">
        <f>IF(COUNTIFS(Datos!$A$2:$A$5000,J$1,Datos!$B$2:$B$5000,$A376,Datos!$C$2:$C$5000,$B376,Datos!$D$2:$D$5000,J$2)=0,"",SUMIFS(Datos!$E$2:$E$5000,Datos!$A$2:$A$5000,J$1,Datos!$B$2:$B$5000,$A376,Datos!$C$2:$C$5000,$B376,Datos!$D$2:$D$5000,J$2))</f>
        <v/>
      </c>
    </row>
    <row r="377">
      <c r="A377" s="8" t="inlineStr">
        <is>
          <t>Venezuela</t>
        </is>
      </c>
      <c r="B377" s="8" t="n">
        <v>2020</v>
      </c>
      <c r="C377" s="9">
        <f>IF(COUNTIFS(Datos!$A$2:$A$5000,C$1,Datos!$B$2:$B$5000,$A377,Datos!$C$2:$C$5000,$B377,Datos!$D$2:$D$5000,C$2)=0,"",SUMIFS(Datos!$E$2:$E$5000,Datos!$A$2:$A$5000,C$1,Datos!$B$2:$B$5000,$A377,Datos!$C$2:$C$5000,$B377,Datos!$D$2:$D$5000,C$2))</f>
        <v/>
      </c>
      <c r="D377" s="9">
        <f>IF(COUNTIFS(Datos!$A$2:$A$5000,D$1,Datos!$B$2:$B$5000,$A377,Datos!$C$2:$C$5000,$B377,Datos!$D$2:$D$5000,D$2)=0,"",SUMIFS(Datos!$E$2:$E$5000,Datos!$A$2:$A$5000,D$1,Datos!$B$2:$B$5000,$A377,Datos!$C$2:$C$5000,$B377,Datos!$D$2:$D$5000,D$2))</f>
        <v/>
      </c>
      <c r="E377" s="9">
        <f>IF(COUNTIFS(Datos!$A$2:$A$5000,E$1,Datos!$B$2:$B$5000,$A377,Datos!$C$2:$C$5000,$B377,Datos!$D$2:$D$5000,E$2)=0,"",SUMIFS(Datos!$E$2:$E$5000,Datos!$A$2:$A$5000,E$1,Datos!$B$2:$B$5000,$A377,Datos!$C$2:$C$5000,$B377,Datos!$D$2:$D$5000,E$2))</f>
        <v/>
      </c>
      <c r="F377" s="9">
        <f>IF(COUNTIFS(Datos!$A$2:$A$5000,F$1,Datos!$B$2:$B$5000,$A377,Datos!$C$2:$C$5000,$B377,Datos!$D$2:$D$5000,F$2)=0,"",SUMIFS(Datos!$E$2:$E$5000,Datos!$A$2:$A$5000,F$1,Datos!$B$2:$B$5000,$A377,Datos!$C$2:$C$5000,$B377,Datos!$D$2:$D$5000,F$2))</f>
        <v/>
      </c>
      <c r="G377" s="9">
        <f>IF(COUNTIFS(Datos!$A$2:$A$5000,G$1,Datos!$B$2:$B$5000,$A377,Datos!$C$2:$C$5000,$B377,Datos!$D$2:$D$5000,G$2)=0,"",SUMIFS(Datos!$E$2:$E$5000,Datos!$A$2:$A$5000,G$1,Datos!$B$2:$B$5000,$A377,Datos!$C$2:$C$5000,$B377,Datos!$D$2:$D$5000,G$2))</f>
        <v/>
      </c>
      <c r="H377" s="9">
        <f>IF(COUNTIFS(Datos!$A$2:$A$5000,H$1,Datos!$B$2:$B$5000,$A377,Datos!$C$2:$C$5000,$B377,Datos!$D$2:$D$5000,H$2)=0,"",SUMIFS(Datos!$E$2:$E$5000,Datos!$A$2:$A$5000,H$1,Datos!$B$2:$B$5000,$A377,Datos!$C$2:$C$5000,$B377,Datos!$D$2:$D$5000,H$2))</f>
        <v/>
      </c>
      <c r="I377" s="9">
        <f>IF(COUNTIFS(Datos!$A$2:$A$5000,I$1,Datos!$B$2:$B$5000,$A377,Datos!$C$2:$C$5000,$B377,Datos!$D$2:$D$5000,I$2)=0,"",SUMIFS(Datos!$E$2:$E$5000,Datos!$A$2:$A$5000,I$1,Datos!$B$2:$B$5000,$A377,Datos!$C$2:$C$5000,$B377,Datos!$D$2:$D$5000,I$2))</f>
        <v/>
      </c>
      <c r="J377" s="9">
        <f>IF(COUNTIFS(Datos!$A$2:$A$5000,J$1,Datos!$B$2:$B$5000,$A377,Datos!$C$2:$C$5000,$B377,Datos!$D$2:$D$5000,J$2)=0,"",SUMIFS(Datos!$E$2:$E$5000,Datos!$A$2:$A$5000,J$1,Datos!$B$2:$B$5000,$A377,Datos!$C$2:$C$5000,$B377,Datos!$D$2:$D$5000,J$2))</f>
        <v/>
      </c>
    </row>
    <row r="378">
      <c r="A378" s="8" t="inlineStr">
        <is>
          <t>Venezuela</t>
        </is>
      </c>
      <c r="B378" s="8" t="n">
        <v>2024</v>
      </c>
      <c r="C378" s="9">
        <f>IF(COUNTIFS(Datos!$A$2:$A$5000,C$1,Datos!$B$2:$B$5000,$A378,Datos!$C$2:$C$5000,$B378,Datos!$D$2:$D$5000,C$2)=0,"",SUMIFS(Datos!$E$2:$E$5000,Datos!$A$2:$A$5000,C$1,Datos!$B$2:$B$5000,$A378,Datos!$C$2:$C$5000,$B378,Datos!$D$2:$D$5000,C$2))</f>
        <v/>
      </c>
      <c r="D378" s="9">
        <f>IF(COUNTIFS(Datos!$A$2:$A$5000,D$1,Datos!$B$2:$B$5000,$A378,Datos!$C$2:$C$5000,$B378,Datos!$D$2:$D$5000,D$2)=0,"",SUMIFS(Datos!$E$2:$E$5000,Datos!$A$2:$A$5000,D$1,Datos!$B$2:$B$5000,$A378,Datos!$C$2:$C$5000,$B378,Datos!$D$2:$D$5000,D$2))</f>
        <v/>
      </c>
      <c r="E378" s="9">
        <f>IF(COUNTIFS(Datos!$A$2:$A$5000,E$1,Datos!$B$2:$B$5000,$A378,Datos!$C$2:$C$5000,$B378,Datos!$D$2:$D$5000,E$2)=0,"",SUMIFS(Datos!$E$2:$E$5000,Datos!$A$2:$A$5000,E$1,Datos!$B$2:$B$5000,$A378,Datos!$C$2:$C$5000,$B378,Datos!$D$2:$D$5000,E$2))</f>
        <v/>
      </c>
      <c r="F378" s="9">
        <f>IF(COUNTIFS(Datos!$A$2:$A$5000,F$1,Datos!$B$2:$B$5000,$A378,Datos!$C$2:$C$5000,$B378,Datos!$D$2:$D$5000,F$2)=0,"",SUMIFS(Datos!$E$2:$E$5000,Datos!$A$2:$A$5000,F$1,Datos!$B$2:$B$5000,$A378,Datos!$C$2:$C$5000,$B378,Datos!$D$2:$D$5000,F$2))</f>
        <v/>
      </c>
      <c r="G378" s="9">
        <f>IF(COUNTIFS(Datos!$A$2:$A$5000,G$1,Datos!$B$2:$B$5000,$A378,Datos!$C$2:$C$5000,$B378,Datos!$D$2:$D$5000,G$2)=0,"",SUMIFS(Datos!$E$2:$E$5000,Datos!$A$2:$A$5000,G$1,Datos!$B$2:$B$5000,$A378,Datos!$C$2:$C$5000,$B378,Datos!$D$2:$D$5000,G$2))</f>
        <v/>
      </c>
      <c r="H378" s="9">
        <f>IF(COUNTIFS(Datos!$A$2:$A$5000,H$1,Datos!$B$2:$B$5000,$A378,Datos!$C$2:$C$5000,$B378,Datos!$D$2:$D$5000,H$2)=0,"",SUMIFS(Datos!$E$2:$E$5000,Datos!$A$2:$A$5000,H$1,Datos!$B$2:$B$5000,$A378,Datos!$C$2:$C$5000,$B378,Datos!$D$2:$D$5000,H$2))</f>
        <v/>
      </c>
      <c r="I378" s="9">
        <f>IF(COUNTIFS(Datos!$A$2:$A$5000,I$1,Datos!$B$2:$B$5000,$A378,Datos!$C$2:$C$5000,$B378,Datos!$D$2:$D$5000,I$2)=0,"",SUMIFS(Datos!$E$2:$E$5000,Datos!$A$2:$A$5000,I$1,Datos!$B$2:$B$5000,$A378,Datos!$C$2:$C$5000,$B378,Datos!$D$2:$D$5000,I$2))</f>
        <v/>
      </c>
      <c r="J378" s="9">
        <f>IF(COUNTIFS(Datos!$A$2:$A$5000,J$1,Datos!$B$2:$B$5000,$A378,Datos!$C$2:$C$5000,$B378,Datos!$D$2:$D$5000,J$2)=0,"",SUMIFS(Datos!$E$2:$E$5000,Datos!$A$2:$A$5000,J$1,Datos!$B$2:$B$5000,$A378,Datos!$C$2:$C$5000,$B378,Datos!$D$2:$D$5000,J$2))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3" customWidth="1" min="3" max="3"/>
    <col width="40" customWidth="1" min="4" max="4"/>
    <col width="22" customWidth="1" min="5" max="5"/>
  </cols>
  <sheetData>
    <row r="1">
      <c r="A1" s="4" t="inlineStr">
        <is>
          <t>País</t>
        </is>
      </c>
      <c r="B1" s="4" t="inlineStr">
        <is>
          <t>Año</t>
        </is>
      </c>
      <c r="C1" s="4" t="inlineStr">
        <is>
          <t>Gini (0-100)</t>
        </is>
      </c>
      <c r="D1" s="4" t="inlineStr">
        <is>
          <t>Fuente</t>
        </is>
      </c>
      <c r="E1" s="4" t="inlineStr">
        <is>
          <t>Clave</t>
        </is>
      </c>
    </row>
    <row r="2">
      <c r="A2" s="8" t="inlineStr">
        <is>
          <t>Argentina</t>
        </is>
      </c>
      <c r="B2" s="8" t="n">
        <v>1995</v>
      </c>
      <c r="C2" s="10" t="n"/>
      <c r="D2" s="10" t="n"/>
      <c r="E2" s="8">
        <f>A2&amp;"|"&amp;B2</f>
        <v/>
      </c>
    </row>
    <row r="3">
      <c r="A3" s="8" t="inlineStr">
        <is>
          <t>Argentina</t>
        </is>
      </c>
      <c r="B3" s="8" t="n">
        <v>1996</v>
      </c>
      <c r="C3" s="10" t="n"/>
      <c r="D3" s="10" t="n"/>
      <c r="E3" s="8">
        <f>A3&amp;"|"&amp;B3</f>
        <v/>
      </c>
    </row>
    <row r="4">
      <c r="A4" s="8" t="inlineStr">
        <is>
          <t>Argentina</t>
        </is>
      </c>
      <c r="B4" s="8" t="n">
        <v>1997</v>
      </c>
      <c r="C4" s="10" t="n"/>
      <c r="D4" s="10" t="n"/>
      <c r="E4" s="8">
        <f>A4&amp;"|"&amp;B4</f>
        <v/>
      </c>
    </row>
    <row r="5">
      <c r="A5" s="8" t="inlineStr">
        <is>
          <t>Argentina</t>
        </is>
      </c>
      <c r="B5" s="8" t="n">
        <v>1998</v>
      </c>
      <c r="C5" s="10" t="n"/>
      <c r="D5" s="10" t="n"/>
      <c r="E5" s="8">
        <f>A5&amp;"|"&amp;B5</f>
        <v/>
      </c>
    </row>
    <row r="6">
      <c r="A6" s="8" t="inlineStr">
        <is>
          <t>Argentina</t>
        </is>
      </c>
      <c r="B6" s="8" t="n">
        <v>2000</v>
      </c>
      <c r="C6" s="10" t="n"/>
      <c r="D6" s="10" t="n"/>
      <c r="E6" s="8">
        <f>A6&amp;"|"&amp;B6</f>
        <v/>
      </c>
    </row>
    <row r="7">
      <c r="A7" s="8" t="inlineStr">
        <is>
          <t>Argentina</t>
        </is>
      </c>
      <c r="B7" s="8" t="n">
        <v>2001</v>
      </c>
      <c r="C7" s="10" t="n"/>
      <c r="D7" s="10" t="n"/>
      <c r="E7" s="8">
        <f>A7&amp;"|"&amp;B7</f>
        <v/>
      </c>
    </row>
    <row r="8">
      <c r="A8" s="8" t="inlineStr">
        <is>
          <t>Argentina</t>
        </is>
      </c>
      <c r="B8" s="8" t="n">
        <v>2002</v>
      </c>
      <c r="C8" s="10" t="n"/>
      <c r="D8" s="10" t="n"/>
      <c r="E8" s="8">
        <f>A8&amp;"|"&amp;B8</f>
        <v/>
      </c>
    </row>
    <row r="9">
      <c r="A9" s="8" t="inlineStr">
        <is>
          <t>Argentina</t>
        </is>
      </c>
      <c r="B9" s="8" t="n">
        <v>2003</v>
      </c>
      <c r="C9" s="10" t="n"/>
      <c r="D9" s="10" t="n"/>
      <c r="E9" s="8">
        <f>A9&amp;"|"&amp;B9</f>
        <v/>
      </c>
    </row>
    <row r="10">
      <c r="A10" s="8" t="inlineStr">
        <is>
          <t>Argentina</t>
        </is>
      </c>
      <c r="B10" s="8" t="n">
        <v>2004</v>
      </c>
      <c r="C10" s="10" t="n"/>
      <c r="D10" s="10" t="n"/>
      <c r="E10" s="8">
        <f>A10&amp;"|"&amp;B10</f>
        <v/>
      </c>
    </row>
    <row r="11">
      <c r="A11" s="8" t="inlineStr">
        <is>
          <t>Argentina</t>
        </is>
      </c>
      <c r="B11" s="8" t="n">
        <v>2005</v>
      </c>
      <c r="C11" s="10" t="n"/>
      <c r="D11" s="10" t="n"/>
      <c r="E11" s="8">
        <f>A11&amp;"|"&amp;B11</f>
        <v/>
      </c>
    </row>
    <row r="12">
      <c r="A12" s="8" t="inlineStr">
        <is>
          <t>Argentina</t>
        </is>
      </c>
      <c r="B12" s="8" t="n">
        <v>2006</v>
      </c>
      <c r="C12" s="10" t="n"/>
      <c r="D12" s="10" t="n"/>
      <c r="E12" s="8">
        <f>A12&amp;"|"&amp;B12</f>
        <v/>
      </c>
    </row>
    <row r="13">
      <c r="A13" s="8" t="inlineStr">
        <is>
          <t>Argentina</t>
        </is>
      </c>
      <c r="B13" s="8" t="n">
        <v>2007</v>
      </c>
      <c r="C13" s="10" t="n"/>
      <c r="D13" s="10" t="n"/>
      <c r="E13" s="8">
        <f>A13&amp;"|"&amp;B13</f>
        <v/>
      </c>
    </row>
    <row r="14">
      <c r="A14" s="8" t="inlineStr">
        <is>
          <t>Argentina</t>
        </is>
      </c>
      <c r="B14" s="8" t="n">
        <v>2008</v>
      </c>
      <c r="C14" s="10" t="n"/>
      <c r="D14" s="10" t="n"/>
      <c r="E14" s="8">
        <f>A14&amp;"|"&amp;B14</f>
        <v/>
      </c>
    </row>
    <row r="15">
      <c r="A15" s="8" t="inlineStr">
        <is>
          <t>Argentina</t>
        </is>
      </c>
      <c r="B15" s="8" t="n">
        <v>2009</v>
      </c>
      <c r="C15" s="10" t="n"/>
      <c r="D15" s="10" t="n"/>
      <c r="E15" s="8">
        <f>A15&amp;"|"&amp;B15</f>
        <v/>
      </c>
    </row>
    <row r="16">
      <c r="A16" s="8" t="inlineStr">
        <is>
          <t>Argentina</t>
        </is>
      </c>
      <c r="B16" s="8" t="n">
        <v>2010</v>
      </c>
      <c r="C16" s="10" t="n"/>
      <c r="D16" s="10" t="n"/>
      <c r="E16" s="8">
        <f>A16&amp;"|"&amp;B16</f>
        <v/>
      </c>
    </row>
    <row r="17">
      <c r="A17" s="8" t="inlineStr">
        <is>
          <t>Argentina</t>
        </is>
      </c>
      <c r="B17" s="8" t="n">
        <v>2011</v>
      </c>
      <c r="C17" s="10" t="n"/>
      <c r="D17" s="10" t="n"/>
      <c r="E17" s="8">
        <f>A17&amp;"|"&amp;B17</f>
        <v/>
      </c>
    </row>
    <row r="18">
      <c r="A18" s="8" t="inlineStr">
        <is>
          <t>Argentina</t>
        </is>
      </c>
      <c r="B18" s="8" t="n">
        <v>2015</v>
      </c>
      <c r="C18" s="10" t="n"/>
      <c r="D18" s="10" t="n"/>
      <c r="E18" s="8">
        <f>A18&amp;"|"&amp;B18</f>
        <v/>
      </c>
    </row>
    <row r="19">
      <c r="A19" s="8" t="inlineStr">
        <is>
          <t>Argentina</t>
        </is>
      </c>
      <c r="B19" s="8" t="n">
        <v>2016</v>
      </c>
      <c r="C19" s="10" t="n"/>
      <c r="D19" s="10" t="n"/>
      <c r="E19" s="8">
        <f>A19&amp;"|"&amp;B19</f>
        <v/>
      </c>
    </row>
    <row r="20">
      <c r="A20" s="8" t="inlineStr">
        <is>
          <t>Argentina</t>
        </is>
      </c>
      <c r="B20" s="8" t="n">
        <v>2017</v>
      </c>
      <c r="C20" s="10" t="n"/>
      <c r="D20" s="10" t="n"/>
      <c r="E20" s="8">
        <f>A20&amp;"|"&amp;B20</f>
        <v/>
      </c>
    </row>
    <row r="21">
      <c r="A21" s="8" t="inlineStr">
        <is>
          <t>Argentina</t>
        </is>
      </c>
      <c r="B21" s="8" t="n">
        <v>2018</v>
      </c>
      <c r="C21" s="10" t="n"/>
      <c r="D21" s="10" t="n"/>
      <c r="E21" s="8">
        <f>A21&amp;"|"&amp;B21</f>
        <v/>
      </c>
    </row>
    <row r="22">
      <c r="A22" s="8" t="inlineStr">
        <is>
          <t>Argentina</t>
        </is>
      </c>
      <c r="B22" s="8" t="n">
        <v>2020</v>
      </c>
      <c r="C22" s="10" t="n"/>
      <c r="D22" s="10" t="n"/>
      <c r="E22" s="8">
        <f>A22&amp;"|"&amp;B22</f>
        <v/>
      </c>
    </row>
    <row r="23">
      <c r="A23" s="8" t="inlineStr">
        <is>
          <t>Argentina</t>
        </is>
      </c>
      <c r="B23" s="8" t="n">
        <v>2024</v>
      </c>
      <c r="C23" s="10" t="n"/>
      <c r="D23" s="10" t="n"/>
      <c r="E23" s="8">
        <f>A23&amp;"|"&amp;B23</f>
        <v/>
      </c>
    </row>
    <row r="24">
      <c r="A24" s="8" t="inlineStr">
        <is>
          <t>Bolivia</t>
        </is>
      </c>
      <c r="B24" s="8" t="n">
        <v>1996</v>
      </c>
      <c r="C24" s="10" t="n"/>
      <c r="D24" s="10" t="n"/>
      <c r="E24" s="8">
        <f>A24&amp;"|"&amp;B24</f>
        <v/>
      </c>
    </row>
    <row r="25">
      <c r="A25" s="8" t="inlineStr">
        <is>
          <t>Bolivia</t>
        </is>
      </c>
      <c r="B25" s="8" t="n">
        <v>1997</v>
      </c>
      <c r="C25" s="10" t="n"/>
      <c r="D25" s="10" t="n"/>
      <c r="E25" s="8">
        <f>A25&amp;"|"&amp;B25</f>
        <v/>
      </c>
    </row>
    <row r="26">
      <c r="A26" s="8" t="inlineStr">
        <is>
          <t>Bolivia</t>
        </is>
      </c>
      <c r="B26" s="8" t="n">
        <v>1998</v>
      </c>
      <c r="C26" s="10" t="n"/>
      <c r="D26" s="10" t="n"/>
      <c r="E26" s="8">
        <f>A26&amp;"|"&amp;B26</f>
        <v/>
      </c>
    </row>
    <row r="27">
      <c r="A27" s="8" t="inlineStr">
        <is>
          <t>Bolivia</t>
        </is>
      </c>
      <c r="B27" s="8" t="n">
        <v>2000</v>
      </c>
      <c r="C27" s="10" t="n"/>
      <c r="D27" s="10" t="n"/>
      <c r="E27" s="8">
        <f>A27&amp;"|"&amp;B27</f>
        <v/>
      </c>
    </row>
    <row r="28">
      <c r="A28" s="8" t="inlineStr">
        <is>
          <t>Bolivia</t>
        </is>
      </c>
      <c r="B28" s="8" t="n">
        <v>2001</v>
      </c>
      <c r="C28" s="10" t="n"/>
      <c r="D28" s="10" t="n"/>
      <c r="E28" s="8">
        <f>A28&amp;"|"&amp;B28</f>
        <v/>
      </c>
    </row>
    <row r="29">
      <c r="A29" s="8" t="inlineStr">
        <is>
          <t>Bolivia</t>
        </is>
      </c>
      <c r="B29" s="8" t="n">
        <v>2002</v>
      </c>
      <c r="C29" s="10" t="n"/>
      <c r="D29" s="10" t="n"/>
      <c r="E29" s="8">
        <f>A29&amp;"|"&amp;B29</f>
        <v/>
      </c>
    </row>
    <row r="30">
      <c r="A30" s="8" t="inlineStr">
        <is>
          <t>Bolivia</t>
        </is>
      </c>
      <c r="B30" s="8" t="n">
        <v>2003</v>
      </c>
      <c r="C30" s="10" t="n"/>
      <c r="D30" s="10" t="n"/>
      <c r="E30" s="8">
        <f>A30&amp;"|"&amp;B30</f>
        <v/>
      </c>
    </row>
    <row r="31">
      <c r="A31" s="8" t="inlineStr">
        <is>
          <t>Bolivia</t>
        </is>
      </c>
      <c r="B31" s="8" t="n">
        <v>2004</v>
      </c>
      <c r="C31" s="10" t="n"/>
      <c r="D31" s="10" t="n"/>
      <c r="E31" s="8">
        <f>A31&amp;"|"&amp;B31</f>
        <v/>
      </c>
    </row>
    <row r="32">
      <c r="A32" s="8" t="inlineStr">
        <is>
          <t>Bolivia</t>
        </is>
      </c>
      <c r="B32" s="8" t="n">
        <v>2005</v>
      </c>
      <c r="C32" s="10" t="n"/>
      <c r="D32" s="10" t="n"/>
      <c r="E32" s="8">
        <f>A32&amp;"|"&amp;B32</f>
        <v/>
      </c>
    </row>
    <row r="33">
      <c r="A33" s="8" t="inlineStr">
        <is>
          <t>Bolivia</t>
        </is>
      </c>
      <c r="B33" s="8" t="n">
        <v>2006</v>
      </c>
      <c r="C33" s="10" t="n"/>
      <c r="D33" s="10" t="n"/>
      <c r="E33" s="8">
        <f>A33&amp;"|"&amp;B33</f>
        <v/>
      </c>
    </row>
    <row r="34">
      <c r="A34" s="8" t="inlineStr">
        <is>
          <t>Bolivia</t>
        </is>
      </c>
      <c r="B34" s="8" t="n">
        <v>2007</v>
      </c>
      <c r="C34" s="10" t="n"/>
      <c r="D34" s="10" t="n"/>
      <c r="E34" s="8">
        <f>A34&amp;"|"&amp;B34</f>
        <v/>
      </c>
    </row>
    <row r="35">
      <c r="A35" s="8" t="inlineStr">
        <is>
          <t>Bolivia</t>
        </is>
      </c>
      <c r="B35" s="8" t="n">
        <v>2008</v>
      </c>
      <c r="C35" s="10" t="n"/>
      <c r="D35" s="10" t="n"/>
      <c r="E35" s="8">
        <f>A35&amp;"|"&amp;B35</f>
        <v/>
      </c>
    </row>
    <row r="36">
      <c r="A36" s="8" t="inlineStr">
        <is>
          <t>Bolivia</t>
        </is>
      </c>
      <c r="B36" s="8" t="n">
        <v>2009</v>
      </c>
      <c r="C36" s="10" t="n"/>
      <c r="D36" s="10" t="n"/>
      <c r="E36" s="8">
        <f>A36&amp;"|"&amp;B36</f>
        <v/>
      </c>
    </row>
    <row r="37">
      <c r="A37" s="8" t="inlineStr">
        <is>
          <t>Bolivia</t>
        </is>
      </c>
      <c r="B37" s="8" t="n">
        <v>2010</v>
      </c>
      <c r="C37" s="10" t="n"/>
      <c r="D37" s="10" t="n"/>
      <c r="E37" s="8">
        <f>A37&amp;"|"&amp;B37</f>
        <v/>
      </c>
    </row>
    <row r="38">
      <c r="A38" s="8" t="inlineStr">
        <is>
          <t>Bolivia</t>
        </is>
      </c>
      <c r="B38" s="8" t="n">
        <v>2011</v>
      </c>
      <c r="C38" s="10" t="n"/>
      <c r="D38" s="10" t="n"/>
      <c r="E38" s="8">
        <f>A38&amp;"|"&amp;B38</f>
        <v/>
      </c>
    </row>
    <row r="39">
      <c r="A39" s="8" t="inlineStr">
        <is>
          <t>Bolivia</t>
        </is>
      </c>
      <c r="B39" s="8" t="n">
        <v>2016</v>
      </c>
      <c r="C39" s="10" t="n"/>
      <c r="D39" s="10" t="n"/>
      <c r="E39" s="8">
        <f>A39&amp;"|"&amp;B39</f>
        <v/>
      </c>
    </row>
    <row r="40">
      <c r="A40" s="8" t="inlineStr">
        <is>
          <t>Bolivia</t>
        </is>
      </c>
      <c r="B40" s="8" t="n">
        <v>2017</v>
      </c>
      <c r="C40" s="10" t="n"/>
      <c r="D40" s="10" t="n"/>
      <c r="E40" s="8">
        <f>A40&amp;"|"&amp;B40</f>
        <v/>
      </c>
    </row>
    <row r="41">
      <c r="A41" s="8" t="inlineStr">
        <is>
          <t>Bolivia</t>
        </is>
      </c>
      <c r="B41" s="8" t="n">
        <v>2018</v>
      </c>
      <c r="C41" s="10" t="n"/>
      <c r="D41" s="10" t="n"/>
      <c r="E41" s="8">
        <f>A41&amp;"|"&amp;B41</f>
        <v/>
      </c>
    </row>
    <row r="42">
      <c r="A42" s="8" t="inlineStr">
        <is>
          <t>Bolivia</t>
        </is>
      </c>
      <c r="B42" s="8" t="n">
        <v>2020</v>
      </c>
      <c r="C42" s="10" t="n"/>
      <c r="D42" s="10" t="n"/>
      <c r="E42" s="8">
        <f>A42&amp;"|"&amp;B42</f>
        <v/>
      </c>
    </row>
    <row r="43">
      <c r="A43" s="8" t="inlineStr">
        <is>
          <t>Bolivia</t>
        </is>
      </c>
      <c r="B43" s="8" t="n">
        <v>2024</v>
      </c>
      <c r="C43" s="10" t="n"/>
      <c r="D43" s="10" t="n"/>
      <c r="E43" s="8">
        <f>A43&amp;"|"&amp;B43</f>
        <v/>
      </c>
    </row>
    <row r="44">
      <c r="A44" s="8" t="inlineStr">
        <is>
          <t>Brasil</t>
        </is>
      </c>
      <c r="B44" s="8" t="n">
        <v>1995</v>
      </c>
      <c r="C44" s="10" t="n"/>
      <c r="D44" s="10" t="n"/>
      <c r="E44" s="8">
        <f>A44&amp;"|"&amp;B44</f>
        <v/>
      </c>
    </row>
    <row r="45">
      <c r="A45" s="8" t="inlineStr">
        <is>
          <t>Brasil</t>
        </is>
      </c>
      <c r="B45" s="8" t="n">
        <v>1996</v>
      </c>
      <c r="C45" s="10" t="n"/>
      <c r="D45" s="10" t="n"/>
      <c r="E45" s="8">
        <f>A45&amp;"|"&amp;B45</f>
        <v/>
      </c>
    </row>
    <row r="46">
      <c r="A46" s="8" t="inlineStr">
        <is>
          <t>Brasil</t>
        </is>
      </c>
      <c r="B46" s="8" t="n">
        <v>1997</v>
      </c>
      <c r="C46" s="10" t="n"/>
      <c r="D46" s="10" t="n"/>
      <c r="E46" s="8">
        <f>A46&amp;"|"&amp;B46</f>
        <v/>
      </c>
    </row>
    <row r="47">
      <c r="A47" s="8" t="inlineStr">
        <is>
          <t>Brasil</t>
        </is>
      </c>
      <c r="B47" s="8" t="n">
        <v>1998</v>
      </c>
      <c r="C47" s="10" t="n"/>
      <c r="D47" s="10" t="n"/>
      <c r="E47" s="8">
        <f>A47&amp;"|"&amp;B47</f>
        <v/>
      </c>
    </row>
    <row r="48">
      <c r="A48" s="8" t="inlineStr">
        <is>
          <t>Brasil</t>
        </is>
      </c>
      <c r="B48" s="8" t="n">
        <v>2000</v>
      </c>
      <c r="C48" s="10" t="n"/>
      <c r="D48" s="10" t="n"/>
      <c r="E48" s="8">
        <f>A48&amp;"|"&amp;B48</f>
        <v/>
      </c>
    </row>
    <row r="49">
      <c r="A49" s="8" t="inlineStr">
        <is>
          <t>Brasil</t>
        </is>
      </c>
      <c r="B49" s="8" t="n">
        <v>2001</v>
      </c>
      <c r="C49" s="10" t="n"/>
      <c r="D49" s="10" t="n"/>
      <c r="E49" s="8">
        <f>A49&amp;"|"&amp;B49</f>
        <v/>
      </c>
    </row>
    <row r="50">
      <c r="A50" s="8" t="inlineStr">
        <is>
          <t>Brasil</t>
        </is>
      </c>
      <c r="B50" s="8" t="n">
        <v>2002</v>
      </c>
      <c r="C50" s="10" t="n"/>
      <c r="D50" s="10" t="n"/>
      <c r="E50" s="8">
        <f>A50&amp;"|"&amp;B50</f>
        <v/>
      </c>
    </row>
    <row r="51">
      <c r="A51" s="8" t="inlineStr">
        <is>
          <t>Brasil</t>
        </is>
      </c>
      <c r="B51" s="8" t="n">
        <v>2003</v>
      </c>
      <c r="C51" s="10" t="n"/>
      <c r="D51" s="10" t="n"/>
      <c r="E51" s="8">
        <f>A51&amp;"|"&amp;B51</f>
        <v/>
      </c>
    </row>
    <row r="52">
      <c r="A52" s="8" t="inlineStr">
        <is>
          <t>Brasil</t>
        </is>
      </c>
      <c r="B52" s="8" t="n">
        <v>2004</v>
      </c>
      <c r="C52" s="10" t="n"/>
      <c r="D52" s="10" t="n"/>
      <c r="E52" s="8">
        <f>A52&amp;"|"&amp;B52</f>
        <v/>
      </c>
    </row>
    <row r="53">
      <c r="A53" s="8" t="inlineStr">
        <is>
          <t>Brasil</t>
        </is>
      </c>
      <c r="B53" s="8" t="n">
        <v>2005</v>
      </c>
      <c r="C53" s="10" t="n"/>
      <c r="D53" s="10" t="n"/>
      <c r="E53" s="8">
        <f>A53&amp;"|"&amp;B53</f>
        <v/>
      </c>
    </row>
    <row r="54">
      <c r="A54" s="8" t="inlineStr">
        <is>
          <t>Brasil</t>
        </is>
      </c>
      <c r="B54" s="8" t="n">
        <v>2006</v>
      </c>
      <c r="C54" s="10" t="n"/>
      <c r="D54" s="10" t="n"/>
      <c r="E54" s="8">
        <f>A54&amp;"|"&amp;B54</f>
        <v/>
      </c>
    </row>
    <row r="55">
      <c r="A55" s="8" t="inlineStr">
        <is>
          <t>Brasil</t>
        </is>
      </c>
      <c r="B55" s="8" t="n">
        <v>2007</v>
      </c>
      <c r="C55" s="10" t="n"/>
      <c r="D55" s="10" t="n"/>
      <c r="E55" s="8">
        <f>A55&amp;"|"&amp;B55</f>
        <v/>
      </c>
    </row>
    <row r="56">
      <c r="A56" s="8" t="inlineStr">
        <is>
          <t>Brasil</t>
        </is>
      </c>
      <c r="B56" s="8" t="n">
        <v>2008</v>
      </c>
      <c r="C56" s="10" t="n"/>
      <c r="D56" s="10" t="n"/>
      <c r="E56" s="8">
        <f>A56&amp;"|"&amp;B56</f>
        <v/>
      </c>
    </row>
    <row r="57">
      <c r="A57" s="8" t="inlineStr">
        <is>
          <t>Brasil</t>
        </is>
      </c>
      <c r="B57" s="8" t="n">
        <v>2009</v>
      </c>
      <c r="C57" s="10" t="n"/>
      <c r="D57" s="10" t="n"/>
      <c r="E57" s="8">
        <f>A57&amp;"|"&amp;B57</f>
        <v/>
      </c>
    </row>
    <row r="58">
      <c r="A58" s="8" t="inlineStr">
        <is>
          <t>Brasil</t>
        </is>
      </c>
      <c r="B58" s="8" t="n">
        <v>2010</v>
      </c>
      <c r="C58" s="10" t="n"/>
      <c r="D58" s="10" t="n"/>
      <c r="E58" s="8">
        <f>A58&amp;"|"&amp;B58</f>
        <v/>
      </c>
    </row>
    <row r="59">
      <c r="A59" s="8" t="inlineStr">
        <is>
          <t>Brasil</t>
        </is>
      </c>
      <c r="B59" s="8" t="n">
        <v>2011</v>
      </c>
      <c r="C59" s="10" t="n"/>
      <c r="D59" s="10" t="n"/>
      <c r="E59" s="8">
        <f>A59&amp;"|"&amp;B59</f>
        <v/>
      </c>
    </row>
    <row r="60">
      <c r="A60" s="8" t="inlineStr">
        <is>
          <t>Brasil</t>
        </is>
      </c>
      <c r="B60" s="8" t="n">
        <v>2015</v>
      </c>
      <c r="C60" s="10" t="n"/>
      <c r="D60" s="10" t="n"/>
      <c r="E60" s="8">
        <f>A60&amp;"|"&amp;B60</f>
        <v/>
      </c>
    </row>
    <row r="61">
      <c r="A61" s="8" t="inlineStr">
        <is>
          <t>Brasil</t>
        </is>
      </c>
      <c r="B61" s="8" t="n">
        <v>2016</v>
      </c>
      <c r="C61" s="10" t="n"/>
      <c r="D61" s="10" t="n"/>
      <c r="E61" s="8">
        <f>A61&amp;"|"&amp;B61</f>
        <v/>
      </c>
    </row>
    <row r="62">
      <c r="A62" s="8" t="inlineStr">
        <is>
          <t>Brasil</t>
        </is>
      </c>
      <c r="B62" s="8" t="n">
        <v>2017</v>
      </c>
      <c r="C62" s="10" t="n"/>
      <c r="D62" s="10" t="n"/>
      <c r="E62" s="8">
        <f>A62&amp;"|"&amp;B62</f>
        <v/>
      </c>
    </row>
    <row r="63">
      <c r="A63" s="8" t="inlineStr">
        <is>
          <t>Brasil</t>
        </is>
      </c>
      <c r="B63" s="8" t="n">
        <v>2018</v>
      </c>
      <c r="C63" s="10" t="n"/>
      <c r="D63" s="10" t="n"/>
      <c r="E63" s="8">
        <f>A63&amp;"|"&amp;B63</f>
        <v/>
      </c>
    </row>
    <row r="64">
      <c r="A64" s="8" t="inlineStr">
        <is>
          <t>Brasil</t>
        </is>
      </c>
      <c r="B64" s="8" t="n">
        <v>2020</v>
      </c>
      <c r="C64" s="10" t="n"/>
      <c r="D64" s="10" t="n"/>
      <c r="E64" s="8">
        <f>A64&amp;"|"&amp;B64</f>
        <v/>
      </c>
    </row>
    <row r="65">
      <c r="A65" s="8" t="inlineStr">
        <is>
          <t>Brasil</t>
        </is>
      </c>
      <c r="B65" s="8" t="n">
        <v>2024</v>
      </c>
      <c r="C65" s="10" t="n"/>
      <c r="D65" s="10" t="n"/>
      <c r="E65" s="8">
        <f>A65&amp;"|"&amp;B65</f>
        <v/>
      </c>
    </row>
    <row r="66">
      <c r="A66" s="8" t="inlineStr">
        <is>
          <t>Chile</t>
        </is>
      </c>
      <c r="B66" s="8" t="n">
        <v>1995</v>
      </c>
      <c r="C66" s="10" t="n"/>
      <c r="D66" s="10" t="n"/>
      <c r="E66" s="8">
        <f>A66&amp;"|"&amp;B66</f>
        <v/>
      </c>
    </row>
    <row r="67">
      <c r="A67" s="8" t="inlineStr">
        <is>
          <t>Chile</t>
        </is>
      </c>
      <c r="B67" s="8" t="n">
        <v>1996</v>
      </c>
      <c r="C67" s="10" t="n"/>
      <c r="D67" s="10" t="n"/>
      <c r="E67" s="8">
        <f>A67&amp;"|"&amp;B67</f>
        <v/>
      </c>
    </row>
    <row r="68">
      <c r="A68" s="8" t="inlineStr">
        <is>
          <t>Chile</t>
        </is>
      </c>
      <c r="B68" s="8" t="n">
        <v>1997</v>
      </c>
      <c r="C68" s="10" t="n"/>
      <c r="D68" s="10" t="n"/>
      <c r="E68" s="8">
        <f>A68&amp;"|"&amp;B68</f>
        <v/>
      </c>
    </row>
    <row r="69">
      <c r="A69" s="8" t="inlineStr">
        <is>
          <t>Chile</t>
        </is>
      </c>
      <c r="B69" s="8" t="n">
        <v>1998</v>
      </c>
      <c r="C69" s="10" t="n"/>
      <c r="D69" s="10" t="n"/>
      <c r="E69" s="8">
        <f>A69&amp;"|"&amp;B69</f>
        <v/>
      </c>
    </row>
    <row r="70">
      <c r="A70" s="8" t="inlineStr">
        <is>
          <t>Chile</t>
        </is>
      </c>
      <c r="B70" s="8" t="n">
        <v>2000</v>
      </c>
      <c r="C70" s="10" t="n"/>
      <c r="D70" s="10" t="n"/>
      <c r="E70" s="8">
        <f>A70&amp;"|"&amp;B70</f>
        <v/>
      </c>
    </row>
    <row r="71">
      <c r="A71" s="8" t="inlineStr">
        <is>
          <t>Chile</t>
        </is>
      </c>
      <c r="B71" s="8" t="n">
        <v>2001</v>
      </c>
      <c r="C71" s="10" t="n"/>
      <c r="D71" s="10" t="n"/>
      <c r="E71" s="8">
        <f>A71&amp;"|"&amp;B71</f>
        <v/>
      </c>
    </row>
    <row r="72">
      <c r="A72" s="8" t="inlineStr">
        <is>
          <t>Chile</t>
        </is>
      </c>
      <c r="B72" s="8" t="n">
        <v>2002</v>
      </c>
      <c r="C72" s="10" t="n"/>
      <c r="D72" s="10" t="n"/>
      <c r="E72" s="8">
        <f>A72&amp;"|"&amp;B72</f>
        <v/>
      </c>
    </row>
    <row r="73">
      <c r="A73" s="8" t="inlineStr">
        <is>
          <t>Chile</t>
        </is>
      </c>
      <c r="B73" s="8" t="n">
        <v>2003</v>
      </c>
      <c r="C73" s="10" t="n"/>
      <c r="D73" s="10" t="n"/>
      <c r="E73" s="8">
        <f>A73&amp;"|"&amp;B73</f>
        <v/>
      </c>
    </row>
    <row r="74">
      <c r="A74" s="8" t="inlineStr">
        <is>
          <t>Chile</t>
        </is>
      </c>
      <c r="B74" s="8" t="n">
        <v>2004</v>
      </c>
      <c r="C74" s="10" t="n"/>
      <c r="D74" s="10" t="n"/>
      <c r="E74" s="8">
        <f>A74&amp;"|"&amp;B74</f>
        <v/>
      </c>
    </row>
    <row r="75">
      <c r="A75" s="8" t="inlineStr">
        <is>
          <t>Chile</t>
        </is>
      </c>
      <c r="B75" s="8" t="n">
        <v>2005</v>
      </c>
      <c r="C75" s="10" t="n"/>
      <c r="D75" s="10" t="n"/>
      <c r="E75" s="8">
        <f>A75&amp;"|"&amp;B75</f>
        <v/>
      </c>
    </row>
    <row r="76">
      <c r="A76" s="8" t="inlineStr">
        <is>
          <t>Chile</t>
        </is>
      </c>
      <c r="B76" s="8" t="n">
        <v>2006</v>
      </c>
      <c r="C76" s="10" t="n"/>
      <c r="D76" s="10" t="n"/>
      <c r="E76" s="8">
        <f>A76&amp;"|"&amp;B76</f>
        <v/>
      </c>
    </row>
    <row r="77">
      <c r="A77" s="8" t="inlineStr">
        <is>
          <t>Chile</t>
        </is>
      </c>
      <c r="B77" s="8" t="n">
        <v>2007</v>
      </c>
      <c r="C77" s="10" t="n"/>
      <c r="D77" s="10" t="n"/>
      <c r="E77" s="8">
        <f>A77&amp;"|"&amp;B77</f>
        <v/>
      </c>
    </row>
    <row r="78">
      <c r="A78" s="8" t="inlineStr">
        <is>
          <t>Chile</t>
        </is>
      </c>
      <c r="B78" s="8" t="n">
        <v>2008</v>
      </c>
      <c r="C78" s="10" t="n"/>
      <c r="D78" s="10" t="n"/>
      <c r="E78" s="8">
        <f>A78&amp;"|"&amp;B78</f>
        <v/>
      </c>
    </row>
    <row r="79">
      <c r="A79" s="8" t="inlineStr">
        <is>
          <t>Chile</t>
        </is>
      </c>
      <c r="B79" s="8" t="n">
        <v>2009</v>
      </c>
      <c r="C79" s="10" t="n"/>
      <c r="D79" s="10" t="n"/>
      <c r="E79" s="8">
        <f>A79&amp;"|"&amp;B79</f>
        <v/>
      </c>
    </row>
    <row r="80">
      <c r="A80" s="8" t="inlineStr">
        <is>
          <t>Chile</t>
        </is>
      </c>
      <c r="B80" s="8" t="n">
        <v>2010</v>
      </c>
      <c r="C80" s="10" t="n"/>
      <c r="D80" s="10" t="n"/>
      <c r="E80" s="8">
        <f>A80&amp;"|"&amp;B80</f>
        <v/>
      </c>
    </row>
    <row r="81">
      <c r="A81" s="8" t="inlineStr">
        <is>
          <t>Chile</t>
        </is>
      </c>
      <c r="B81" s="8" t="n">
        <v>2011</v>
      </c>
      <c r="C81" s="10" t="n"/>
      <c r="D81" s="10" t="n"/>
      <c r="E81" s="8">
        <f>A81&amp;"|"&amp;B81</f>
        <v/>
      </c>
    </row>
    <row r="82">
      <c r="A82" s="8" t="inlineStr">
        <is>
          <t>Chile</t>
        </is>
      </c>
      <c r="B82" s="8" t="n">
        <v>2016</v>
      </c>
      <c r="C82" s="10" t="n"/>
      <c r="D82" s="10" t="n"/>
      <c r="E82" s="8">
        <f>A82&amp;"|"&amp;B82</f>
        <v/>
      </c>
    </row>
    <row r="83">
      <c r="A83" s="8" t="inlineStr">
        <is>
          <t>Chile</t>
        </is>
      </c>
      <c r="B83" s="8" t="n">
        <v>2017</v>
      </c>
      <c r="C83" s="10" t="n"/>
      <c r="D83" s="10" t="n"/>
      <c r="E83" s="8">
        <f>A83&amp;"|"&amp;B83</f>
        <v/>
      </c>
    </row>
    <row r="84">
      <c r="A84" s="8" t="inlineStr">
        <is>
          <t>Chile</t>
        </is>
      </c>
      <c r="B84" s="8" t="n">
        <v>2018</v>
      </c>
      <c r="C84" s="10" t="n"/>
      <c r="D84" s="10" t="n"/>
      <c r="E84" s="8">
        <f>A84&amp;"|"&amp;B84</f>
        <v/>
      </c>
    </row>
    <row r="85">
      <c r="A85" s="8" t="inlineStr">
        <is>
          <t>Chile</t>
        </is>
      </c>
      <c r="B85" s="8" t="n">
        <v>2020</v>
      </c>
      <c r="C85" s="10" t="n"/>
      <c r="D85" s="10" t="n"/>
      <c r="E85" s="8">
        <f>A85&amp;"|"&amp;B85</f>
        <v/>
      </c>
    </row>
    <row r="86">
      <c r="A86" s="8" t="inlineStr">
        <is>
          <t>Chile</t>
        </is>
      </c>
      <c r="B86" s="8" t="n">
        <v>2024</v>
      </c>
      <c r="C86" s="10" t="n"/>
      <c r="D86" s="10" t="n"/>
      <c r="E86" s="8">
        <f>A86&amp;"|"&amp;B86</f>
        <v/>
      </c>
    </row>
    <row r="87">
      <c r="A87" s="8" t="inlineStr">
        <is>
          <t>Colombia</t>
        </is>
      </c>
      <c r="B87" s="8" t="n">
        <v>1996</v>
      </c>
      <c r="C87" s="10" t="n"/>
      <c r="D87" s="10" t="n"/>
      <c r="E87" s="8">
        <f>A87&amp;"|"&amp;B87</f>
        <v/>
      </c>
    </row>
    <row r="88">
      <c r="A88" s="8" t="inlineStr">
        <is>
          <t>Colombia</t>
        </is>
      </c>
      <c r="B88" s="8" t="n">
        <v>1997</v>
      </c>
      <c r="C88" s="10" t="n"/>
      <c r="D88" s="10" t="n"/>
      <c r="E88" s="8">
        <f>A88&amp;"|"&amp;B88</f>
        <v/>
      </c>
    </row>
    <row r="89">
      <c r="A89" s="8" t="inlineStr">
        <is>
          <t>Colombia</t>
        </is>
      </c>
      <c r="B89" s="8" t="n">
        <v>1998</v>
      </c>
      <c r="C89" s="10" t="n"/>
      <c r="D89" s="10" t="n"/>
      <c r="E89" s="8">
        <f>A89&amp;"|"&amp;B89</f>
        <v/>
      </c>
    </row>
    <row r="90">
      <c r="A90" s="8" t="inlineStr">
        <is>
          <t>Colombia</t>
        </is>
      </c>
      <c r="B90" s="8" t="n">
        <v>2000</v>
      </c>
      <c r="C90" s="10" t="n"/>
      <c r="D90" s="10" t="n"/>
      <c r="E90" s="8">
        <f>A90&amp;"|"&amp;B90</f>
        <v/>
      </c>
    </row>
    <row r="91">
      <c r="A91" s="8" t="inlineStr">
        <is>
          <t>Colombia</t>
        </is>
      </c>
      <c r="B91" s="8" t="n">
        <v>2001</v>
      </c>
      <c r="C91" s="10" t="n"/>
      <c r="D91" s="10" t="n"/>
      <c r="E91" s="8">
        <f>A91&amp;"|"&amp;B91</f>
        <v/>
      </c>
    </row>
    <row r="92">
      <c r="A92" s="8" t="inlineStr">
        <is>
          <t>Colombia</t>
        </is>
      </c>
      <c r="B92" s="8" t="n">
        <v>2002</v>
      </c>
      <c r="C92" s="10" t="n"/>
      <c r="D92" s="10" t="n"/>
      <c r="E92" s="8">
        <f>A92&amp;"|"&amp;B92</f>
        <v/>
      </c>
    </row>
    <row r="93">
      <c r="A93" s="8" t="inlineStr">
        <is>
          <t>Colombia</t>
        </is>
      </c>
      <c r="B93" s="8" t="n">
        <v>2003</v>
      </c>
      <c r="C93" s="10" t="n"/>
      <c r="D93" s="10" t="n"/>
      <c r="E93" s="8">
        <f>A93&amp;"|"&amp;B93</f>
        <v/>
      </c>
    </row>
    <row r="94">
      <c r="A94" s="8" t="inlineStr">
        <is>
          <t>Colombia</t>
        </is>
      </c>
      <c r="B94" s="8" t="n">
        <v>2004</v>
      </c>
      <c r="C94" s="10" t="n"/>
      <c r="D94" s="10" t="n"/>
      <c r="E94" s="8">
        <f>A94&amp;"|"&amp;B94</f>
        <v/>
      </c>
    </row>
    <row r="95">
      <c r="A95" s="8" t="inlineStr">
        <is>
          <t>Colombia</t>
        </is>
      </c>
      <c r="B95" s="8" t="n">
        <v>2005</v>
      </c>
      <c r="C95" s="10" t="n"/>
      <c r="D95" s="10" t="n"/>
      <c r="E95" s="8">
        <f>A95&amp;"|"&amp;B95</f>
        <v/>
      </c>
    </row>
    <row r="96">
      <c r="A96" s="8" t="inlineStr">
        <is>
          <t>Colombia</t>
        </is>
      </c>
      <c r="B96" s="8" t="n">
        <v>2006</v>
      </c>
      <c r="C96" s="10" t="n"/>
      <c r="D96" s="10" t="n"/>
      <c r="E96" s="8">
        <f>A96&amp;"|"&amp;B96</f>
        <v/>
      </c>
    </row>
    <row r="97">
      <c r="A97" s="8" t="inlineStr">
        <is>
          <t>Colombia</t>
        </is>
      </c>
      <c r="B97" s="8" t="n">
        <v>2007</v>
      </c>
      <c r="C97" s="10" t="n"/>
      <c r="D97" s="10" t="n"/>
      <c r="E97" s="8">
        <f>A97&amp;"|"&amp;B97</f>
        <v/>
      </c>
    </row>
    <row r="98">
      <c r="A98" s="8" t="inlineStr">
        <is>
          <t>Colombia</t>
        </is>
      </c>
      <c r="B98" s="8" t="n">
        <v>2008</v>
      </c>
      <c r="C98" s="10" t="n"/>
      <c r="D98" s="10" t="n"/>
      <c r="E98" s="8">
        <f>A98&amp;"|"&amp;B98</f>
        <v/>
      </c>
    </row>
    <row r="99">
      <c r="A99" s="8" t="inlineStr">
        <is>
          <t>Colombia</t>
        </is>
      </c>
      <c r="B99" s="8" t="n">
        <v>2009</v>
      </c>
      <c r="C99" s="10" t="n"/>
      <c r="D99" s="10" t="n"/>
      <c r="E99" s="8">
        <f>A99&amp;"|"&amp;B99</f>
        <v/>
      </c>
    </row>
    <row r="100">
      <c r="A100" s="8" t="inlineStr">
        <is>
          <t>Colombia</t>
        </is>
      </c>
      <c r="B100" s="8" t="n">
        <v>2010</v>
      </c>
      <c r="C100" s="10" t="n"/>
      <c r="D100" s="10" t="n"/>
      <c r="E100" s="8">
        <f>A100&amp;"|"&amp;B100</f>
        <v/>
      </c>
    </row>
    <row r="101">
      <c r="A101" s="8" t="inlineStr">
        <is>
          <t>Colombia</t>
        </is>
      </c>
      <c r="B101" s="8" t="n">
        <v>2011</v>
      </c>
      <c r="C101" s="10" t="n"/>
      <c r="D101" s="10" t="n"/>
      <c r="E101" s="8">
        <f>A101&amp;"|"&amp;B101</f>
        <v/>
      </c>
    </row>
    <row r="102">
      <c r="A102" s="8" t="inlineStr">
        <is>
          <t>Colombia</t>
        </is>
      </c>
      <c r="B102" s="8" t="n">
        <v>2016</v>
      </c>
      <c r="C102" s="10" t="n"/>
      <c r="D102" s="10" t="n"/>
      <c r="E102" s="8">
        <f>A102&amp;"|"&amp;B102</f>
        <v/>
      </c>
    </row>
    <row r="103">
      <c r="A103" s="8" t="inlineStr">
        <is>
          <t>Colombia</t>
        </is>
      </c>
      <c r="B103" s="8" t="n">
        <v>2017</v>
      </c>
      <c r="C103" s="10" t="n"/>
      <c r="D103" s="10" t="n"/>
      <c r="E103" s="8">
        <f>A103&amp;"|"&amp;B103</f>
        <v/>
      </c>
    </row>
    <row r="104">
      <c r="A104" s="8" t="inlineStr">
        <is>
          <t>Colombia</t>
        </is>
      </c>
      <c r="B104" s="8" t="n">
        <v>2018</v>
      </c>
      <c r="C104" s="10" t="n"/>
      <c r="D104" s="10" t="n"/>
      <c r="E104" s="8">
        <f>A104&amp;"|"&amp;B104</f>
        <v/>
      </c>
    </row>
    <row r="105">
      <c r="A105" s="8" t="inlineStr">
        <is>
          <t>Colombia</t>
        </is>
      </c>
      <c r="B105" s="8" t="n">
        <v>2020</v>
      </c>
      <c r="C105" s="10" t="n"/>
      <c r="D105" s="10" t="n"/>
      <c r="E105" s="8">
        <f>A105&amp;"|"&amp;B105</f>
        <v/>
      </c>
    </row>
    <row r="106">
      <c r="A106" s="8" t="inlineStr">
        <is>
          <t>Colombia</t>
        </is>
      </c>
      <c r="B106" s="8" t="n">
        <v>2024</v>
      </c>
      <c r="C106" s="10" t="n"/>
      <c r="D106" s="10" t="n"/>
      <c r="E106" s="8">
        <f>A106&amp;"|"&amp;B106</f>
        <v/>
      </c>
    </row>
    <row r="107">
      <c r="A107" s="8" t="inlineStr">
        <is>
          <t>Costa Rica</t>
        </is>
      </c>
      <c r="B107" s="8" t="n">
        <v>1996</v>
      </c>
      <c r="C107" s="10" t="n"/>
      <c r="D107" s="10" t="n"/>
      <c r="E107" s="8">
        <f>A107&amp;"|"&amp;B107</f>
        <v/>
      </c>
    </row>
    <row r="108">
      <c r="A108" s="8" t="inlineStr">
        <is>
          <t>Costa Rica</t>
        </is>
      </c>
      <c r="B108" s="8" t="n">
        <v>1997</v>
      </c>
      <c r="C108" s="10" t="n"/>
      <c r="D108" s="10" t="n"/>
      <c r="E108" s="8">
        <f>A108&amp;"|"&amp;B108</f>
        <v/>
      </c>
    </row>
    <row r="109">
      <c r="A109" s="8" t="inlineStr">
        <is>
          <t>Costa Rica</t>
        </is>
      </c>
      <c r="B109" s="8" t="n">
        <v>1998</v>
      </c>
      <c r="C109" s="10" t="n"/>
      <c r="D109" s="10" t="n"/>
      <c r="E109" s="8">
        <f>A109&amp;"|"&amp;B109</f>
        <v/>
      </c>
    </row>
    <row r="110">
      <c r="A110" s="8" t="inlineStr">
        <is>
          <t>Costa Rica</t>
        </is>
      </c>
      <c r="B110" s="8" t="n">
        <v>2000</v>
      </c>
      <c r="C110" s="10" t="n"/>
      <c r="D110" s="10" t="n"/>
      <c r="E110" s="8">
        <f>A110&amp;"|"&amp;B110</f>
        <v/>
      </c>
    </row>
    <row r="111">
      <c r="A111" s="8" t="inlineStr">
        <is>
          <t>Costa Rica</t>
        </is>
      </c>
      <c r="B111" s="8" t="n">
        <v>2001</v>
      </c>
      <c r="C111" s="10" t="n"/>
      <c r="D111" s="10" t="n"/>
      <c r="E111" s="8">
        <f>A111&amp;"|"&amp;B111</f>
        <v/>
      </c>
    </row>
    <row r="112">
      <c r="A112" s="8" t="inlineStr">
        <is>
          <t>Costa Rica</t>
        </is>
      </c>
      <c r="B112" s="8" t="n">
        <v>2002</v>
      </c>
      <c r="C112" s="10" t="n"/>
      <c r="D112" s="10" t="n"/>
      <c r="E112" s="8">
        <f>A112&amp;"|"&amp;B112</f>
        <v/>
      </c>
    </row>
    <row r="113">
      <c r="A113" s="8" t="inlineStr">
        <is>
          <t>Costa Rica</t>
        </is>
      </c>
      <c r="B113" s="8" t="n">
        <v>2003</v>
      </c>
      <c r="C113" s="10" t="n"/>
      <c r="D113" s="10" t="n"/>
      <c r="E113" s="8">
        <f>A113&amp;"|"&amp;B113</f>
        <v/>
      </c>
    </row>
    <row r="114">
      <c r="A114" s="8" t="inlineStr">
        <is>
          <t>Costa Rica</t>
        </is>
      </c>
      <c r="B114" s="8" t="n">
        <v>2004</v>
      </c>
      <c r="C114" s="10" t="n"/>
      <c r="D114" s="10" t="n"/>
      <c r="E114" s="8">
        <f>A114&amp;"|"&amp;B114</f>
        <v/>
      </c>
    </row>
    <row r="115">
      <c r="A115" s="8" t="inlineStr">
        <is>
          <t>Costa Rica</t>
        </is>
      </c>
      <c r="B115" s="8" t="n">
        <v>2005</v>
      </c>
      <c r="C115" s="10" t="n"/>
      <c r="D115" s="10" t="n"/>
      <c r="E115" s="8">
        <f>A115&amp;"|"&amp;B115</f>
        <v/>
      </c>
    </row>
    <row r="116">
      <c r="A116" s="8" t="inlineStr">
        <is>
          <t>Costa Rica</t>
        </is>
      </c>
      <c r="B116" s="8" t="n">
        <v>2006</v>
      </c>
      <c r="C116" s="10" t="n"/>
      <c r="D116" s="10" t="n"/>
      <c r="E116" s="8">
        <f>A116&amp;"|"&amp;B116</f>
        <v/>
      </c>
    </row>
    <row r="117">
      <c r="A117" s="8" t="inlineStr">
        <is>
          <t>Costa Rica</t>
        </is>
      </c>
      <c r="B117" s="8" t="n">
        <v>2007</v>
      </c>
      <c r="C117" s="10" t="n"/>
      <c r="D117" s="10" t="n"/>
      <c r="E117" s="8">
        <f>A117&amp;"|"&amp;B117</f>
        <v/>
      </c>
    </row>
    <row r="118">
      <c r="A118" s="8" t="inlineStr">
        <is>
          <t>Costa Rica</t>
        </is>
      </c>
      <c r="B118" s="8" t="n">
        <v>2008</v>
      </c>
      <c r="C118" s="10" t="n"/>
      <c r="D118" s="10" t="n"/>
      <c r="E118" s="8">
        <f>A118&amp;"|"&amp;B118</f>
        <v/>
      </c>
    </row>
    <row r="119">
      <c r="A119" s="8" t="inlineStr">
        <is>
          <t>Costa Rica</t>
        </is>
      </c>
      <c r="B119" s="8" t="n">
        <v>2009</v>
      </c>
      <c r="C119" s="10" t="n"/>
      <c r="D119" s="10" t="n"/>
      <c r="E119" s="8">
        <f>A119&amp;"|"&amp;B119</f>
        <v/>
      </c>
    </row>
    <row r="120">
      <c r="A120" s="8" t="inlineStr">
        <is>
          <t>Costa Rica</t>
        </is>
      </c>
      <c r="B120" s="8" t="n">
        <v>2010</v>
      </c>
      <c r="C120" s="10" t="n"/>
      <c r="D120" s="10" t="n"/>
      <c r="E120" s="8">
        <f>A120&amp;"|"&amp;B120</f>
        <v/>
      </c>
    </row>
    <row r="121">
      <c r="A121" s="8" t="inlineStr">
        <is>
          <t>Costa Rica</t>
        </is>
      </c>
      <c r="B121" s="8" t="n">
        <v>2011</v>
      </c>
      <c r="C121" s="10" t="n"/>
      <c r="D121" s="10" t="n"/>
      <c r="E121" s="8">
        <f>A121&amp;"|"&amp;B121</f>
        <v/>
      </c>
    </row>
    <row r="122">
      <c r="A122" s="8" t="inlineStr">
        <is>
          <t>Costa Rica</t>
        </is>
      </c>
      <c r="B122" s="8" t="n">
        <v>2016</v>
      </c>
      <c r="C122" s="10" t="n"/>
      <c r="D122" s="10" t="n"/>
      <c r="E122" s="8">
        <f>A122&amp;"|"&amp;B122</f>
        <v/>
      </c>
    </row>
    <row r="123">
      <c r="A123" s="8" t="inlineStr">
        <is>
          <t>Costa Rica</t>
        </is>
      </c>
      <c r="B123" s="8" t="n">
        <v>2017</v>
      </c>
      <c r="C123" s="10" t="n"/>
      <c r="D123" s="10" t="n"/>
      <c r="E123" s="8">
        <f>A123&amp;"|"&amp;B123</f>
        <v/>
      </c>
    </row>
    <row r="124">
      <c r="A124" s="8" t="inlineStr">
        <is>
          <t>Costa Rica</t>
        </is>
      </c>
      <c r="B124" s="8" t="n">
        <v>2018</v>
      </c>
      <c r="C124" s="10" t="n"/>
      <c r="D124" s="10" t="n"/>
      <c r="E124" s="8">
        <f>A124&amp;"|"&amp;B124</f>
        <v/>
      </c>
    </row>
    <row r="125">
      <c r="A125" s="8" t="inlineStr">
        <is>
          <t>Costa Rica</t>
        </is>
      </c>
      <c r="B125" s="8" t="n">
        <v>2020</v>
      </c>
      <c r="C125" s="10" t="n"/>
      <c r="D125" s="10" t="n"/>
      <c r="E125" s="8">
        <f>A125&amp;"|"&amp;B125</f>
        <v/>
      </c>
    </row>
    <row r="126">
      <c r="A126" s="8" t="inlineStr">
        <is>
          <t>Costa Rica</t>
        </is>
      </c>
      <c r="B126" s="8" t="n">
        <v>2024</v>
      </c>
      <c r="C126" s="10" t="n"/>
      <c r="D126" s="10" t="n"/>
      <c r="E126" s="8">
        <f>A126&amp;"|"&amp;B126</f>
        <v/>
      </c>
    </row>
    <row r="127">
      <c r="A127" s="8" t="inlineStr">
        <is>
          <t>Rep. Dominicana</t>
        </is>
      </c>
      <c r="B127" s="8" t="n">
        <v>2004</v>
      </c>
      <c r="C127" s="10" t="n"/>
      <c r="D127" s="10" t="n"/>
      <c r="E127" s="8">
        <f>A127&amp;"|"&amp;B127</f>
        <v/>
      </c>
    </row>
    <row r="128">
      <c r="A128" s="8" t="inlineStr">
        <is>
          <t>Rep. Dominicana</t>
        </is>
      </c>
      <c r="B128" s="8" t="n">
        <v>2005</v>
      </c>
      <c r="C128" s="10" t="n"/>
      <c r="D128" s="10" t="n"/>
      <c r="E128" s="8">
        <f>A128&amp;"|"&amp;B128</f>
        <v/>
      </c>
    </row>
    <row r="129">
      <c r="A129" s="8" t="inlineStr">
        <is>
          <t>Rep. Dominicana</t>
        </is>
      </c>
      <c r="B129" s="8" t="n">
        <v>2006</v>
      </c>
      <c r="C129" s="10" t="n"/>
      <c r="D129" s="10" t="n"/>
      <c r="E129" s="8">
        <f>A129&amp;"|"&amp;B129</f>
        <v/>
      </c>
    </row>
    <row r="130">
      <c r="A130" s="8" t="inlineStr">
        <is>
          <t>Rep. Dominicana</t>
        </is>
      </c>
      <c r="B130" s="8" t="n">
        <v>2007</v>
      </c>
      <c r="C130" s="10" t="n"/>
      <c r="D130" s="10" t="n"/>
      <c r="E130" s="8">
        <f>A130&amp;"|"&amp;B130</f>
        <v/>
      </c>
    </row>
    <row r="131">
      <c r="A131" s="8" t="inlineStr">
        <is>
          <t>Rep. Dominicana</t>
        </is>
      </c>
      <c r="B131" s="8" t="n">
        <v>2008</v>
      </c>
      <c r="C131" s="10" t="n"/>
      <c r="D131" s="10" t="n"/>
      <c r="E131" s="8">
        <f>A131&amp;"|"&amp;B131</f>
        <v/>
      </c>
    </row>
    <row r="132">
      <c r="A132" s="8" t="inlineStr">
        <is>
          <t>Rep. Dominicana</t>
        </is>
      </c>
      <c r="B132" s="8" t="n">
        <v>2009</v>
      </c>
      <c r="C132" s="10" t="n"/>
      <c r="D132" s="10" t="n"/>
      <c r="E132" s="8">
        <f>A132&amp;"|"&amp;B132</f>
        <v/>
      </c>
    </row>
    <row r="133">
      <c r="A133" s="8" t="inlineStr">
        <is>
          <t>Rep. Dominicana</t>
        </is>
      </c>
      <c r="B133" s="8" t="n">
        <v>2010</v>
      </c>
      <c r="C133" s="10" t="n"/>
      <c r="D133" s="10" t="n"/>
      <c r="E133" s="8">
        <f>A133&amp;"|"&amp;B133</f>
        <v/>
      </c>
    </row>
    <row r="134">
      <c r="A134" s="8" t="inlineStr">
        <is>
          <t>Rep. Dominicana</t>
        </is>
      </c>
      <c r="B134" s="8" t="n">
        <v>2011</v>
      </c>
      <c r="C134" s="10" t="n"/>
      <c r="D134" s="10" t="n"/>
      <c r="E134" s="8">
        <f>A134&amp;"|"&amp;B134</f>
        <v/>
      </c>
    </row>
    <row r="135">
      <c r="A135" s="8" t="inlineStr">
        <is>
          <t>Rep. Dominicana</t>
        </is>
      </c>
      <c r="B135" s="8" t="n">
        <v>2016</v>
      </c>
      <c r="C135" s="10" t="n"/>
      <c r="D135" s="10" t="n"/>
      <c r="E135" s="8">
        <f>A135&amp;"|"&amp;B135</f>
        <v/>
      </c>
    </row>
    <row r="136">
      <c r="A136" s="8" t="inlineStr">
        <is>
          <t>Rep. Dominicana</t>
        </is>
      </c>
      <c r="B136" s="8" t="n">
        <v>2017</v>
      </c>
      <c r="C136" s="10" t="n"/>
      <c r="D136" s="10" t="n"/>
      <c r="E136" s="8">
        <f>A136&amp;"|"&amp;B136</f>
        <v/>
      </c>
    </row>
    <row r="137">
      <c r="A137" s="8" t="inlineStr">
        <is>
          <t>Rep. Dominicana</t>
        </is>
      </c>
      <c r="B137" s="8" t="n">
        <v>2018</v>
      </c>
      <c r="C137" s="10" t="n"/>
      <c r="D137" s="10" t="n"/>
      <c r="E137" s="8">
        <f>A137&amp;"|"&amp;B137</f>
        <v/>
      </c>
    </row>
    <row r="138">
      <c r="A138" s="8" t="inlineStr">
        <is>
          <t>Rep. Dominicana</t>
        </is>
      </c>
      <c r="B138" s="8" t="n">
        <v>2020</v>
      </c>
      <c r="C138" s="10" t="n"/>
      <c r="D138" s="10" t="n"/>
      <c r="E138" s="8">
        <f>A138&amp;"|"&amp;B138</f>
        <v/>
      </c>
    </row>
    <row r="139">
      <c r="A139" s="8" t="inlineStr">
        <is>
          <t>Rep. Dominicana</t>
        </is>
      </c>
      <c r="B139" s="8" t="n">
        <v>2024</v>
      </c>
      <c r="C139" s="10" t="n"/>
      <c r="D139" s="10" t="n"/>
      <c r="E139" s="8">
        <f>A139&amp;"|"&amp;B139</f>
        <v/>
      </c>
    </row>
    <row r="140">
      <c r="A140" s="8" t="inlineStr">
        <is>
          <t>Ecuador</t>
        </is>
      </c>
      <c r="B140" s="8" t="n">
        <v>1996</v>
      </c>
      <c r="C140" s="10" t="n"/>
      <c r="D140" s="10" t="n"/>
      <c r="E140" s="8">
        <f>A140&amp;"|"&amp;B140</f>
        <v/>
      </c>
    </row>
    <row r="141">
      <c r="A141" s="8" t="inlineStr">
        <is>
          <t>Ecuador</t>
        </is>
      </c>
      <c r="B141" s="8" t="n">
        <v>1997</v>
      </c>
      <c r="C141" s="10" t="n"/>
      <c r="D141" s="10" t="n"/>
      <c r="E141" s="8">
        <f>A141&amp;"|"&amp;B141</f>
        <v/>
      </c>
    </row>
    <row r="142">
      <c r="A142" s="8" t="inlineStr">
        <is>
          <t>Ecuador</t>
        </is>
      </c>
      <c r="B142" s="8" t="n">
        <v>1998</v>
      </c>
      <c r="C142" s="10" t="n"/>
      <c r="D142" s="10" t="n"/>
      <c r="E142" s="8">
        <f>A142&amp;"|"&amp;B142</f>
        <v/>
      </c>
    </row>
    <row r="143">
      <c r="A143" s="8" t="inlineStr">
        <is>
          <t>Ecuador</t>
        </is>
      </c>
      <c r="B143" s="8" t="n">
        <v>2000</v>
      </c>
      <c r="C143" s="10" t="n"/>
      <c r="D143" s="10" t="n"/>
      <c r="E143" s="8">
        <f>A143&amp;"|"&amp;B143</f>
        <v/>
      </c>
    </row>
    <row r="144">
      <c r="A144" s="8" t="inlineStr">
        <is>
          <t>Ecuador</t>
        </is>
      </c>
      <c r="B144" s="8" t="n">
        <v>2001</v>
      </c>
      <c r="C144" s="10" t="n"/>
      <c r="D144" s="10" t="n"/>
      <c r="E144" s="8">
        <f>A144&amp;"|"&amp;B144</f>
        <v/>
      </c>
    </row>
    <row r="145">
      <c r="A145" s="8" t="inlineStr">
        <is>
          <t>Ecuador</t>
        </is>
      </c>
      <c r="B145" s="8" t="n">
        <v>2002</v>
      </c>
      <c r="C145" s="10" t="n"/>
      <c r="D145" s="10" t="n"/>
      <c r="E145" s="8">
        <f>A145&amp;"|"&amp;B145</f>
        <v/>
      </c>
    </row>
    <row r="146">
      <c r="A146" s="8" t="inlineStr">
        <is>
          <t>Ecuador</t>
        </is>
      </c>
      <c r="B146" s="8" t="n">
        <v>2003</v>
      </c>
      <c r="C146" s="10" t="n"/>
      <c r="D146" s="10" t="n"/>
      <c r="E146" s="8">
        <f>A146&amp;"|"&amp;B146</f>
        <v/>
      </c>
    </row>
    <row r="147">
      <c r="A147" s="8" t="inlineStr">
        <is>
          <t>Ecuador</t>
        </is>
      </c>
      <c r="B147" s="8" t="n">
        <v>2004</v>
      </c>
      <c r="C147" s="10" t="n"/>
      <c r="D147" s="10" t="n"/>
      <c r="E147" s="8">
        <f>A147&amp;"|"&amp;B147</f>
        <v/>
      </c>
    </row>
    <row r="148">
      <c r="A148" s="8" t="inlineStr">
        <is>
          <t>Ecuador</t>
        </is>
      </c>
      <c r="B148" s="8" t="n">
        <v>2005</v>
      </c>
      <c r="C148" s="10" t="n"/>
      <c r="D148" s="10" t="n"/>
      <c r="E148" s="8">
        <f>A148&amp;"|"&amp;B148</f>
        <v/>
      </c>
    </row>
    <row r="149">
      <c r="A149" s="8" t="inlineStr">
        <is>
          <t>Ecuador</t>
        </is>
      </c>
      <c r="B149" s="8" t="n">
        <v>2006</v>
      </c>
      <c r="C149" s="10" t="n"/>
      <c r="D149" s="10" t="n"/>
      <c r="E149" s="8">
        <f>A149&amp;"|"&amp;B149</f>
        <v/>
      </c>
    </row>
    <row r="150">
      <c r="A150" s="8" t="inlineStr">
        <is>
          <t>Ecuador</t>
        </is>
      </c>
      <c r="B150" s="8" t="n">
        <v>2007</v>
      </c>
      <c r="C150" s="10" t="n"/>
      <c r="D150" s="10" t="n"/>
      <c r="E150" s="8">
        <f>A150&amp;"|"&amp;B150</f>
        <v/>
      </c>
    </row>
    <row r="151">
      <c r="A151" s="8" t="inlineStr">
        <is>
          <t>Ecuador</t>
        </is>
      </c>
      <c r="B151" s="8" t="n">
        <v>2008</v>
      </c>
      <c r="C151" s="10" t="n"/>
      <c r="D151" s="10" t="n"/>
      <c r="E151" s="8">
        <f>A151&amp;"|"&amp;B151</f>
        <v/>
      </c>
    </row>
    <row r="152">
      <c r="A152" s="8" t="inlineStr">
        <is>
          <t>Ecuador</t>
        </is>
      </c>
      <c r="B152" s="8" t="n">
        <v>2009</v>
      </c>
      <c r="C152" s="10" t="n"/>
      <c r="D152" s="10" t="n"/>
      <c r="E152" s="8">
        <f>A152&amp;"|"&amp;B152</f>
        <v/>
      </c>
    </row>
    <row r="153">
      <c r="A153" s="8" t="inlineStr">
        <is>
          <t>Ecuador</t>
        </is>
      </c>
      <c r="B153" s="8" t="n">
        <v>2010</v>
      </c>
      <c r="C153" s="10" t="n"/>
      <c r="D153" s="10" t="n"/>
      <c r="E153" s="8">
        <f>A153&amp;"|"&amp;B153</f>
        <v/>
      </c>
    </row>
    <row r="154">
      <c r="A154" s="8" t="inlineStr">
        <is>
          <t>Ecuador</t>
        </is>
      </c>
      <c r="B154" s="8" t="n">
        <v>2011</v>
      </c>
      <c r="C154" s="10" t="n"/>
      <c r="D154" s="10" t="n"/>
      <c r="E154" s="8">
        <f>A154&amp;"|"&amp;B154</f>
        <v/>
      </c>
    </row>
    <row r="155">
      <c r="A155" s="8" t="inlineStr">
        <is>
          <t>Ecuador</t>
        </is>
      </c>
      <c r="B155" s="8" t="n">
        <v>2016</v>
      </c>
      <c r="C155" s="10" t="n"/>
      <c r="D155" s="10" t="n"/>
      <c r="E155" s="8">
        <f>A155&amp;"|"&amp;B155</f>
        <v/>
      </c>
    </row>
    <row r="156">
      <c r="A156" s="8" t="inlineStr">
        <is>
          <t>Ecuador</t>
        </is>
      </c>
      <c r="B156" s="8" t="n">
        <v>2017</v>
      </c>
      <c r="C156" s="10" t="n"/>
      <c r="D156" s="10" t="n"/>
      <c r="E156" s="8">
        <f>A156&amp;"|"&amp;B156</f>
        <v/>
      </c>
    </row>
    <row r="157">
      <c r="A157" s="8" t="inlineStr">
        <is>
          <t>Ecuador</t>
        </is>
      </c>
      <c r="B157" s="8" t="n">
        <v>2018</v>
      </c>
      <c r="C157" s="10" t="n"/>
      <c r="D157" s="10" t="n"/>
      <c r="E157" s="8">
        <f>A157&amp;"|"&amp;B157</f>
        <v/>
      </c>
    </row>
    <row r="158">
      <c r="A158" s="8" t="inlineStr">
        <is>
          <t>Ecuador</t>
        </is>
      </c>
      <c r="B158" s="8" t="n">
        <v>2020</v>
      </c>
      <c r="C158" s="10" t="n"/>
      <c r="D158" s="10" t="n"/>
      <c r="E158" s="8">
        <f>A158&amp;"|"&amp;B158</f>
        <v/>
      </c>
    </row>
    <row r="159">
      <c r="A159" s="8" t="inlineStr">
        <is>
          <t>Ecuador</t>
        </is>
      </c>
      <c r="B159" s="8" t="n">
        <v>2024</v>
      </c>
      <c r="C159" s="10" t="n"/>
      <c r="D159" s="10" t="n"/>
      <c r="E159" s="8">
        <f>A159&amp;"|"&amp;B159</f>
        <v/>
      </c>
    </row>
    <row r="160">
      <c r="A160" s="8" t="inlineStr">
        <is>
          <t>El Salvador</t>
        </is>
      </c>
      <c r="B160" s="8" t="n">
        <v>1996</v>
      </c>
      <c r="C160" s="10" t="n"/>
      <c r="D160" s="10" t="n"/>
      <c r="E160" s="8">
        <f>A160&amp;"|"&amp;B160</f>
        <v/>
      </c>
    </row>
    <row r="161">
      <c r="A161" s="8" t="inlineStr">
        <is>
          <t>El Salvador</t>
        </is>
      </c>
      <c r="B161" s="8" t="n">
        <v>1997</v>
      </c>
      <c r="C161" s="10" t="n"/>
      <c r="D161" s="10" t="n"/>
      <c r="E161" s="8">
        <f>A161&amp;"|"&amp;B161</f>
        <v/>
      </c>
    </row>
    <row r="162">
      <c r="A162" s="8" t="inlineStr">
        <is>
          <t>El Salvador</t>
        </is>
      </c>
      <c r="B162" s="8" t="n">
        <v>1998</v>
      </c>
      <c r="C162" s="10" t="n"/>
      <c r="D162" s="10" t="n"/>
      <c r="E162" s="8">
        <f>A162&amp;"|"&amp;B162</f>
        <v/>
      </c>
    </row>
    <row r="163">
      <c r="A163" s="8" t="inlineStr">
        <is>
          <t>El Salvador</t>
        </is>
      </c>
      <c r="B163" s="8" t="n">
        <v>2000</v>
      </c>
      <c r="C163" s="10" t="n"/>
      <c r="D163" s="10" t="n"/>
      <c r="E163" s="8">
        <f>A163&amp;"|"&amp;B163</f>
        <v/>
      </c>
    </row>
    <row r="164">
      <c r="A164" s="8" t="inlineStr">
        <is>
          <t>El Salvador</t>
        </is>
      </c>
      <c r="B164" s="8" t="n">
        <v>2001</v>
      </c>
      <c r="C164" s="10" t="n"/>
      <c r="D164" s="10" t="n"/>
      <c r="E164" s="8">
        <f>A164&amp;"|"&amp;B164</f>
        <v/>
      </c>
    </row>
    <row r="165">
      <c r="A165" s="8" t="inlineStr">
        <is>
          <t>El Salvador</t>
        </is>
      </c>
      <c r="B165" s="8" t="n">
        <v>2002</v>
      </c>
      <c r="C165" s="10" t="n"/>
      <c r="D165" s="10" t="n"/>
      <c r="E165" s="8">
        <f>A165&amp;"|"&amp;B165</f>
        <v/>
      </c>
    </row>
    <row r="166">
      <c r="A166" s="8" t="inlineStr">
        <is>
          <t>El Salvador</t>
        </is>
      </c>
      <c r="B166" s="8" t="n">
        <v>2003</v>
      </c>
      <c r="C166" s="10" t="n"/>
      <c r="D166" s="10" t="n"/>
      <c r="E166" s="8">
        <f>A166&amp;"|"&amp;B166</f>
        <v/>
      </c>
    </row>
    <row r="167">
      <c r="A167" s="8" t="inlineStr">
        <is>
          <t>El Salvador</t>
        </is>
      </c>
      <c r="B167" s="8" t="n">
        <v>2004</v>
      </c>
      <c r="C167" s="10" t="n"/>
      <c r="D167" s="10" t="n"/>
      <c r="E167" s="8">
        <f>A167&amp;"|"&amp;B167</f>
        <v/>
      </c>
    </row>
    <row r="168">
      <c r="A168" s="8" t="inlineStr">
        <is>
          <t>El Salvador</t>
        </is>
      </c>
      <c r="B168" s="8" t="n">
        <v>2005</v>
      </c>
      <c r="C168" s="10" t="n"/>
      <c r="D168" s="10" t="n"/>
      <c r="E168" s="8">
        <f>A168&amp;"|"&amp;B168</f>
        <v/>
      </c>
    </row>
    <row r="169">
      <c r="A169" s="8" t="inlineStr">
        <is>
          <t>El Salvador</t>
        </is>
      </c>
      <c r="B169" s="8" t="n">
        <v>2006</v>
      </c>
      <c r="C169" s="10" t="n"/>
      <c r="D169" s="10" t="n"/>
      <c r="E169" s="8">
        <f>A169&amp;"|"&amp;B169</f>
        <v/>
      </c>
    </row>
    <row r="170">
      <c r="A170" s="8" t="inlineStr">
        <is>
          <t>El Salvador</t>
        </is>
      </c>
      <c r="B170" s="8" t="n">
        <v>2007</v>
      </c>
      <c r="C170" s="10" t="n"/>
      <c r="D170" s="10" t="n"/>
      <c r="E170" s="8">
        <f>A170&amp;"|"&amp;B170</f>
        <v/>
      </c>
    </row>
    <row r="171">
      <c r="A171" s="8" t="inlineStr">
        <is>
          <t>El Salvador</t>
        </is>
      </c>
      <c r="B171" s="8" t="n">
        <v>2008</v>
      </c>
      <c r="C171" s="10" t="n"/>
      <c r="D171" s="10" t="n"/>
      <c r="E171" s="8">
        <f>A171&amp;"|"&amp;B171</f>
        <v/>
      </c>
    </row>
    <row r="172">
      <c r="A172" s="8" t="inlineStr">
        <is>
          <t>El Salvador</t>
        </is>
      </c>
      <c r="B172" s="8" t="n">
        <v>2009</v>
      </c>
      <c r="C172" s="10" t="n"/>
      <c r="D172" s="10" t="n"/>
      <c r="E172" s="8">
        <f>A172&amp;"|"&amp;B172</f>
        <v/>
      </c>
    </row>
    <row r="173">
      <c r="A173" s="8" t="inlineStr">
        <is>
          <t>El Salvador</t>
        </is>
      </c>
      <c r="B173" s="8" t="n">
        <v>2010</v>
      </c>
      <c r="C173" s="10" t="n"/>
      <c r="D173" s="10" t="n"/>
      <c r="E173" s="8">
        <f>A173&amp;"|"&amp;B173</f>
        <v/>
      </c>
    </row>
    <row r="174">
      <c r="A174" s="8" t="inlineStr">
        <is>
          <t>El Salvador</t>
        </is>
      </c>
      <c r="B174" s="8" t="n">
        <v>2011</v>
      </c>
      <c r="C174" s="10" t="n"/>
      <c r="D174" s="10" t="n"/>
      <c r="E174" s="8">
        <f>A174&amp;"|"&amp;B174</f>
        <v/>
      </c>
    </row>
    <row r="175">
      <c r="A175" s="8" t="inlineStr">
        <is>
          <t>El Salvador</t>
        </is>
      </c>
      <c r="B175" s="8" t="n">
        <v>2016</v>
      </c>
      <c r="C175" s="10" t="n"/>
      <c r="D175" s="10" t="n"/>
      <c r="E175" s="8">
        <f>A175&amp;"|"&amp;B175</f>
        <v/>
      </c>
    </row>
    <row r="176">
      <c r="A176" s="8" t="inlineStr">
        <is>
          <t>El Salvador</t>
        </is>
      </c>
      <c r="B176" s="8" t="n">
        <v>2017</v>
      </c>
      <c r="C176" s="10" t="n"/>
      <c r="D176" s="10" t="n"/>
      <c r="E176" s="8">
        <f>A176&amp;"|"&amp;B176</f>
        <v/>
      </c>
    </row>
    <row r="177">
      <c r="A177" s="8" t="inlineStr">
        <is>
          <t>El Salvador</t>
        </is>
      </c>
      <c r="B177" s="8" t="n">
        <v>2018</v>
      </c>
      <c r="C177" s="10" t="n"/>
      <c r="D177" s="10" t="n"/>
      <c r="E177" s="8">
        <f>A177&amp;"|"&amp;B177</f>
        <v/>
      </c>
    </row>
    <row r="178">
      <c r="A178" s="8" t="inlineStr">
        <is>
          <t>El Salvador</t>
        </is>
      </c>
      <c r="B178" s="8" t="n">
        <v>2020</v>
      </c>
      <c r="C178" s="10" t="n"/>
      <c r="D178" s="10" t="n"/>
      <c r="E178" s="8">
        <f>A178&amp;"|"&amp;B178</f>
        <v/>
      </c>
    </row>
    <row r="179">
      <c r="A179" s="8" t="inlineStr">
        <is>
          <t>El Salvador</t>
        </is>
      </c>
      <c r="B179" s="8" t="n">
        <v>2024</v>
      </c>
      <c r="C179" s="10" t="n"/>
      <c r="D179" s="10" t="n"/>
      <c r="E179" s="8">
        <f>A179&amp;"|"&amp;B179</f>
        <v/>
      </c>
    </row>
    <row r="180">
      <c r="A180" s="8" t="inlineStr">
        <is>
          <t>Guatemala</t>
        </is>
      </c>
      <c r="B180" s="8" t="n">
        <v>1996</v>
      </c>
      <c r="C180" s="10" t="n"/>
      <c r="D180" s="10" t="n"/>
      <c r="E180" s="8">
        <f>A180&amp;"|"&amp;B180</f>
        <v/>
      </c>
    </row>
    <row r="181">
      <c r="A181" s="8" t="inlineStr">
        <is>
          <t>Guatemala</t>
        </is>
      </c>
      <c r="B181" s="8" t="n">
        <v>1997</v>
      </c>
      <c r="C181" s="10" t="n"/>
      <c r="D181" s="10" t="n"/>
      <c r="E181" s="8">
        <f>A181&amp;"|"&amp;B181</f>
        <v/>
      </c>
    </row>
    <row r="182">
      <c r="A182" s="8" t="inlineStr">
        <is>
          <t>Guatemala</t>
        </is>
      </c>
      <c r="B182" s="8" t="n">
        <v>1998</v>
      </c>
      <c r="C182" s="10" t="n"/>
      <c r="D182" s="10" t="n"/>
      <c r="E182" s="8">
        <f>A182&amp;"|"&amp;B182</f>
        <v/>
      </c>
    </row>
    <row r="183">
      <c r="A183" s="8" t="inlineStr">
        <is>
          <t>Guatemala</t>
        </is>
      </c>
      <c r="B183" s="8" t="n">
        <v>2000</v>
      </c>
      <c r="C183" s="10" t="n"/>
      <c r="D183" s="10" t="n"/>
      <c r="E183" s="8">
        <f>A183&amp;"|"&amp;B183</f>
        <v/>
      </c>
    </row>
    <row r="184">
      <c r="A184" s="8" t="inlineStr">
        <is>
          <t>Guatemala</t>
        </is>
      </c>
      <c r="B184" s="8" t="n">
        <v>2001</v>
      </c>
      <c r="C184" s="10" t="n"/>
      <c r="D184" s="10" t="n"/>
      <c r="E184" s="8">
        <f>A184&amp;"|"&amp;B184</f>
        <v/>
      </c>
    </row>
    <row r="185">
      <c r="A185" s="8" t="inlineStr">
        <is>
          <t>Guatemala</t>
        </is>
      </c>
      <c r="B185" s="8" t="n">
        <v>2002</v>
      </c>
      <c r="C185" s="10" t="n"/>
      <c r="D185" s="10" t="n"/>
      <c r="E185" s="8">
        <f>A185&amp;"|"&amp;B185</f>
        <v/>
      </c>
    </row>
    <row r="186">
      <c r="A186" s="8" t="inlineStr">
        <is>
          <t>Guatemala</t>
        </is>
      </c>
      <c r="B186" s="8" t="n">
        <v>2003</v>
      </c>
      <c r="C186" s="10" t="n"/>
      <c r="D186" s="10" t="n"/>
      <c r="E186" s="8">
        <f>A186&amp;"|"&amp;B186</f>
        <v/>
      </c>
    </row>
    <row r="187">
      <c r="A187" s="8" t="inlineStr">
        <is>
          <t>Guatemala</t>
        </is>
      </c>
      <c r="B187" s="8" t="n">
        <v>2004</v>
      </c>
      <c r="C187" s="10" t="n"/>
      <c r="D187" s="10" t="n"/>
      <c r="E187" s="8">
        <f>A187&amp;"|"&amp;B187</f>
        <v/>
      </c>
    </row>
    <row r="188">
      <c r="A188" s="8" t="inlineStr">
        <is>
          <t>Guatemala</t>
        </is>
      </c>
      <c r="B188" s="8" t="n">
        <v>2005</v>
      </c>
      <c r="C188" s="10" t="n"/>
      <c r="D188" s="10" t="n"/>
      <c r="E188" s="8">
        <f>A188&amp;"|"&amp;B188</f>
        <v/>
      </c>
    </row>
    <row r="189">
      <c r="A189" s="8" t="inlineStr">
        <is>
          <t>Guatemala</t>
        </is>
      </c>
      <c r="B189" s="8" t="n">
        <v>2006</v>
      </c>
      <c r="C189" s="10" t="n"/>
      <c r="D189" s="10" t="n"/>
      <c r="E189" s="8">
        <f>A189&amp;"|"&amp;B189</f>
        <v/>
      </c>
    </row>
    <row r="190">
      <c r="A190" s="8" t="inlineStr">
        <is>
          <t>Guatemala</t>
        </is>
      </c>
      <c r="B190" s="8" t="n">
        <v>2007</v>
      </c>
      <c r="C190" s="10" t="n"/>
      <c r="D190" s="10" t="n"/>
      <c r="E190" s="8">
        <f>A190&amp;"|"&amp;B190</f>
        <v/>
      </c>
    </row>
    <row r="191">
      <c r="A191" s="8" t="inlineStr">
        <is>
          <t>Guatemala</t>
        </is>
      </c>
      <c r="B191" s="8" t="n">
        <v>2008</v>
      </c>
      <c r="C191" s="10" t="n"/>
      <c r="D191" s="10" t="n"/>
      <c r="E191" s="8">
        <f>A191&amp;"|"&amp;B191</f>
        <v/>
      </c>
    </row>
    <row r="192">
      <c r="A192" s="8" t="inlineStr">
        <is>
          <t>Guatemala</t>
        </is>
      </c>
      <c r="B192" s="8" t="n">
        <v>2009</v>
      </c>
      <c r="C192" s="10" t="n"/>
      <c r="D192" s="10" t="n"/>
      <c r="E192" s="8">
        <f>A192&amp;"|"&amp;B192</f>
        <v/>
      </c>
    </row>
    <row r="193">
      <c r="A193" s="8" t="inlineStr">
        <is>
          <t>Guatemala</t>
        </is>
      </c>
      <c r="B193" s="8" t="n">
        <v>2010</v>
      </c>
      <c r="C193" s="10" t="n"/>
      <c r="D193" s="10" t="n"/>
      <c r="E193" s="8">
        <f>A193&amp;"|"&amp;B193</f>
        <v/>
      </c>
    </row>
    <row r="194">
      <c r="A194" s="8" t="inlineStr">
        <is>
          <t>Guatemala</t>
        </is>
      </c>
      <c r="B194" s="8" t="n">
        <v>2011</v>
      </c>
      <c r="C194" s="10" t="n"/>
      <c r="D194" s="10" t="n"/>
      <c r="E194" s="8">
        <f>A194&amp;"|"&amp;B194</f>
        <v/>
      </c>
    </row>
    <row r="195">
      <c r="A195" s="8" t="inlineStr">
        <is>
          <t>Guatemala</t>
        </is>
      </c>
      <c r="B195" s="8" t="n">
        <v>2016</v>
      </c>
      <c r="C195" s="10" t="n"/>
      <c r="D195" s="10" t="n"/>
      <c r="E195" s="8">
        <f>A195&amp;"|"&amp;B195</f>
        <v/>
      </c>
    </row>
    <row r="196">
      <c r="A196" s="8" t="inlineStr">
        <is>
          <t>Guatemala</t>
        </is>
      </c>
      <c r="B196" s="8" t="n">
        <v>2017</v>
      </c>
      <c r="C196" s="10" t="n"/>
      <c r="D196" s="10" t="n"/>
      <c r="E196" s="8">
        <f>A196&amp;"|"&amp;B196</f>
        <v/>
      </c>
    </row>
    <row r="197">
      <c r="A197" s="8" t="inlineStr">
        <is>
          <t>Guatemala</t>
        </is>
      </c>
      <c r="B197" s="8" t="n">
        <v>2018</v>
      </c>
      <c r="C197" s="10" t="n"/>
      <c r="D197" s="10" t="n"/>
      <c r="E197" s="8">
        <f>A197&amp;"|"&amp;B197</f>
        <v/>
      </c>
    </row>
    <row r="198">
      <c r="A198" s="8" t="inlineStr">
        <is>
          <t>Guatemala</t>
        </is>
      </c>
      <c r="B198" s="8" t="n">
        <v>2020</v>
      </c>
      <c r="C198" s="10" t="n"/>
      <c r="D198" s="10" t="n"/>
      <c r="E198" s="8">
        <f>A198&amp;"|"&amp;B198</f>
        <v/>
      </c>
    </row>
    <row r="199">
      <c r="A199" s="8" t="inlineStr">
        <is>
          <t>Guatemala</t>
        </is>
      </c>
      <c r="B199" s="8" t="n">
        <v>2024</v>
      </c>
      <c r="C199" s="10" t="n"/>
      <c r="D199" s="10" t="n"/>
      <c r="E199" s="8">
        <f>A199&amp;"|"&amp;B199</f>
        <v/>
      </c>
    </row>
    <row r="200">
      <c r="A200" s="8" t="inlineStr">
        <is>
          <t>Honduras</t>
        </is>
      </c>
      <c r="B200" s="8" t="n">
        <v>1996</v>
      </c>
      <c r="C200" s="10" t="n"/>
      <c r="D200" s="10" t="n"/>
      <c r="E200" s="8">
        <f>A200&amp;"|"&amp;B200</f>
        <v/>
      </c>
    </row>
    <row r="201">
      <c r="A201" s="8" t="inlineStr">
        <is>
          <t>Honduras</t>
        </is>
      </c>
      <c r="B201" s="8" t="n">
        <v>1997</v>
      </c>
      <c r="C201" s="10" t="n"/>
      <c r="D201" s="10" t="n"/>
      <c r="E201" s="8">
        <f>A201&amp;"|"&amp;B201</f>
        <v/>
      </c>
    </row>
    <row r="202">
      <c r="A202" s="8" t="inlineStr">
        <is>
          <t>Honduras</t>
        </is>
      </c>
      <c r="B202" s="8" t="n">
        <v>1998</v>
      </c>
      <c r="C202" s="10" t="n"/>
      <c r="D202" s="10" t="n"/>
      <c r="E202" s="8">
        <f>A202&amp;"|"&amp;B202</f>
        <v/>
      </c>
    </row>
    <row r="203">
      <c r="A203" s="8" t="inlineStr">
        <is>
          <t>Honduras</t>
        </is>
      </c>
      <c r="B203" s="8" t="n">
        <v>2000</v>
      </c>
      <c r="C203" s="10" t="n"/>
      <c r="D203" s="10" t="n"/>
      <c r="E203" s="8">
        <f>A203&amp;"|"&amp;B203</f>
        <v/>
      </c>
    </row>
    <row r="204">
      <c r="A204" s="8" t="inlineStr">
        <is>
          <t>Honduras</t>
        </is>
      </c>
      <c r="B204" s="8" t="n">
        <v>2001</v>
      </c>
      <c r="C204" s="10" t="n"/>
      <c r="D204" s="10" t="n"/>
      <c r="E204" s="8">
        <f>A204&amp;"|"&amp;B204</f>
        <v/>
      </c>
    </row>
    <row r="205">
      <c r="A205" s="8" t="inlineStr">
        <is>
          <t>Honduras</t>
        </is>
      </c>
      <c r="B205" s="8" t="n">
        <v>2002</v>
      </c>
      <c r="C205" s="10" t="n"/>
      <c r="D205" s="10" t="n"/>
      <c r="E205" s="8">
        <f>A205&amp;"|"&amp;B205</f>
        <v/>
      </c>
    </row>
    <row r="206">
      <c r="A206" s="8" t="inlineStr">
        <is>
          <t>Honduras</t>
        </is>
      </c>
      <c r="B206" s="8" t="n">
        <v>2003</v>
      </c>
      <c r="C206" s="10" t="n"/>
      <c r="D206" s="10" t="n"/>
      <c r="E206" s="8">
        <f>A206&amp;"|"&amp;B206</f>
        <v/>
      </c>
    </row>
    <row r="207">
      <c r="A207" s="8" t="inlineStr">
        <is>
          <t>Honduras</t>
        </is>
      </c>
      <c r="B207" s="8" t="n">
        <v>2004</v>
      </c>
      <c r="C207" s="10" t="n"/>
      <c r="D207" s="10" t="n"/>
      <c r="E207" s="8">
        <f>A207&amp;"|"&amp;B207</f>
        <v/>
      </c>
    </row>
    <row r="208">
      <c r="A208" s="8" t="inlineStr">
        <is>
          <t>Honduras</t>
        </is>
      </c>
      <c r="B208" s="8" t="n">
        <v>2005</v>
      </c>
      <c r="C208" s="10" t="n"/>
      <c r="D208" s="10" t="n"/>
      <c r="E208" s="8">
        <f>A208&amp;"|"&amp;B208</f>
        <v/>
      </c>
    </row>
    <row r="209">
      <c r="A209" s="8" t="inlineStr">
        <is>
          <t>Honduras</t>
        </is>
      </c>
      <c r="B209" s="8" t="n">
        <v>2006</v>
      </c>
      <c r="C209" s="10" t="n"/>
      <c r="D209" s="10" t="n"/>
      <c r="E209" s="8">
        <f>A209&amp;"|"&amp;B209</f>
        <v/>
      </c>
    </row>
    <row r="210">
      <c r="A210" s="8" t="inlineStr">
        <is>
          <t>Honduras</t>
        </is>
      </c>
      <c r="B210" s="8" t="n">
        <v>2007</v>
      </c>
      <c r="C210" s="10" t="n"/>
      <c r="D210" s="10" t="n"/>
      <c r="E210" s="8">
        <f>A210&amp;"|"&amp;B210</f>
        <v/>
      </c>
    </row>
    <row r="211">
      <c r="A211" s="8" t="inlineStr">
        <is>
          <t>Honduras</t>
        </is>
      </c>
      <c r="B211" s="8" t="n">
        <v>2008</v>
      </c>
      <c r="C211" s="10" t="n"/>
      <c r="D211" s="10" t="n"/>
      <c r="E211" s="8">
        <f>A211&amp;"|"&amp;B211</f>
        <v/>
      </c>
    </row>
    <row r="212">
      <c r="A212" s="8" t="inlineStr">
        <is>
          <t>Honduras</t>
        </is>
      </c>
      <c r="B212" s="8" t="n">
        <v>2009</v>
      </c>
      <c r="C212" s="10" t="n"/>
      <c r="D212" s="10" t="n"/>
      <c r="E212" s="8">
        <f>A212&amp;"|"&amp;B212</f>
        <v/>
      </c>
    </row>
    <row r="213">
      <c r="A213" s="8" t="inlineStr">
        <is>
          <t>Honduras</t>
        </is>
      </c>
      <c r="B213" s="8" t="n">
        <v>2010</v>
      </c>
      <c r="C213" s="10" t="n"/>
      <c r="D213" s="10" t="n"/>
      <c r="E213" s="8">
        <f>A213&amp;"|"&amp;B213</f>
        <v/>
      </c>
    </row>
    <row r="214">
      <c r="A214" s="8" t="inlineStr">
        <is>
          <t>Honduras</t>
        </is>
      </c>
      <c r="B214" s="8" t="n">
        <v>2011</v>
      </c>
      <c r="C214" s="10" t="n"/>
      <c r="D214" s="10" t="n"/>
      <c r="E214" s="8">
        <f>A214&amp;"|"&amp;B214</f>
        <v/>
      </c>
    </row>
    <row r="215">
      <c r="A215" s="8" t="inlineStr">
        <is>
          <t>Honduras</t>
        </is>
      </c>
      <c r="B215" s="8" t="n">
        <v>2016</v>
      </c>
      <c r="C215" s="10" t="n"/>
      <c r="D215" s="10" t="n"/>
      <c r="E215" s="8">
        <f>A215&amp;"|"&amp;B215</f>
        <v/>
      </c>
    </row>
    <row r="216">
      <c r="A216" s="8" t="inlineStr">
        <is>
          <t>Honduras</t>
        </is>
      </c>
      <c r="B216" s="8" t="n">
        <v>2017</v>
      </c>
      <c r="C216" s="10" t="n"/>
      <c r="D216" s="10" t="n"/>
      <c r="E216" s="8">
        <f>A216&amp;"|"&amp;B216</f>
        <v/>
      </c>
    </row>
    <row r="217">
      <c r="A217" s="8" t="inlineStr">
        <is>
          <t>Honduras</t>
        </is>
      </c>
      <c r="B217" s="8" t="n">
        <v>2018</v>
      </c>
      <c r="C217" s="10" t="n"/>
      <c r="D217" s="10" t="n"/>
      <c r="E217" s="8">
        <f>A217&amp;"|"&amp;B217</f>
        <v/>
      </c>
    </row>
    <row r="218">
      <c r="A218" s="8" t="inlineStr">
        <is>
          <t>Honduras</t>
        </is>
      </c>
      <c r="B218" s="8" t="n">
        <v>2020</v>
      </c>
      <c r="C218" s="10" t="n"/>
      <c r="D218" s="10" t="n"/>
      <c r="E218" s="8">
        <f>A218&amp;"|"&amp;B218</f>
        <v/>
      </c>
    </row>
    <row r="219">
      <c r="A219" s="8" t="inlineStr">
        <is>
          <t>Honduras</t>
        </is>
      </c>
      <c r="B219" s="8" t="n">
        <v>2024</v>
      </c>
      <c r="C219" s="10" t="n"/>
      <c r="D219" s="10" t="n"/>
      <c r="E219" s="8">
        <f>A219&amp;"|"&amp;B219</f>
        <v/>
      </c>
    </row>
    <row r="220">
      <c r="A220" s="8" t="inlineStr">
        <is>
          <t>México</t>
        </is>
      </c>
      <c r="B220" s="8" t="n">
        <v>1995</v>
      </c>
      <c r="C220" s="10" t="n"/>
      <c r="D220" s="10" t="n"/>
      <c r="E220" s="8">
        <f>A220&amp;"|"&amp;B220</f>
        <v/>
      </c>
    </row>
    <row r="221">
      <c r="A221" s="8" t="inlineStr">
        <is>
          <t>México</t>
        </is>
      </c>
      <c r="B221" s="8" t="n">
        <v>1996</v>
      </c>
      <c r="C221" s="10" t="n"/>
      <c r="D221" s="10" t="n"/>
      <c r="E221" s="8">
        <f>A221&amp;"|"&amp;B221</f>
        <v/>
      </c>
    </row>
    <row r="222">
      <c r="A222" s="8" t="inlineStr">
        <is>
          <t>México</t>
        </is>
      </c>
      <c r="B222" s="8" t="n">
        <v>1997</v>
      </c>
      <c r="C222" s="10" t="n"/>
      <c r="D222" s="10" t="n"/>
      <c r="E222" s="8">
        <f>A222&amp;"|"&amp;B222</f>
        <v/>
      </c>
    </row>
    <row r="223">
      <c r="A223" s="8" t="inlineStr">
        <is>
          <t>México</t>
        </is>
      </c>
      <c r="B223" s="8" t="n">
        <v>1998</v>
      </c>
      <c r="C223" s="10" t="n"/>
      <c r="D223" s="10" t="n"/>
      <c r="E223" s="8">
        <f>A223&amp;"|"&amp;B223</f>
        <v/>
      </c>
    </row>
    <row r="224">
      <c r="A224" s="8" t="inlineStr">
        <is>
          <t>México</t>
        </is>
      </c>
      <c r="B224" s="8" t="n">
        <v>2000</v>
      </c>
      <c r="C224" s="10" t="n"/>
      <c r="D224" s="10" t="n"/>
      <c r="E224" s="8">
        <f>A224&amp;"|"&amp;B224</f>
        <v/>
      </c>
    </row>
    <row r="225">
      <c r="A225" s="8" t="inlineStr">
        <is>
          <t>México</t>
        </is>
      </c>
      <c r="B225" s="8" t="n">
        <v>2001</v>
      </c>
      <c r="C225" s="10" t="n"/>
      <c r="D225" s="10" t="n"/>
      <c r="E225" s="8">
        <f>A225&amp;"|"&amp;B225</f>
        <v/>
      </c>
    </row>
    <row r="226">
      <c r="A226" s="8" t="inlineStr">
        <is>
          <t>México</t>
        </is>
      </c>
      <c r="B226" s="8" t="n">
        <v>2002</v>
      </c>
      <c r="C226" s="10" t="n"/>
      <c r="D226" s="10" t="n"/>
      <c r="E226" s="8">
        <f>A226&amp;"|"&amp;B226</f>
        <v/>
      </c>
    </row>
    <row r="227">
      <c r="A227" s="8" t="inlineStr">
        <is>
          <t>México</t>
        </is>
      </c>
      <c r="B227" s="8" t="n">
        <v>2003</v>
      </c>
      <c r="C227" s="10" t="n"/>
      <c r="D227" s="10" t="n"/>
      <c r="E227" s="8">
        <f>A227&amp;"|"&amp;B227</f>
        <v/>
      </c>
    </row>
    <row r="228">
      <c r="A228" s="8" t="inlineStr">
        <is>
          <t>México</t>
        </is>
      </c>
      <c r="B228" s="8" t="n">
        <v>2004</v>
      </c>
      <c r="C228" s="10" t="n"/>
      <c r="D228" s="10" t="n"/>
      <c r="E228" s="8">
        <f>A228&amp;"|"&amp;B228</f>
        <v/>
      </c>
    </row>
    <row r="229">
      <c r="A229" s="8" t="inlineStr">
        <is>
          <t>México</t>
        </is>
      </c>
      <c r="B229" s="8" t="n">
        <v>2005</v>
      </c>
      <c r="C229" s="10" t="n"/>
      <c r="D229" s="10" t="n"/>
      <c r="E229" s="8">
        <f>A229&amp;"|"&amp;B229</f>
        <v/>
      </c>
    </row>
    <row r="230">
      <c r="A230" s="8" t="inlineStr">
        <is>
          <t>México</t>
        </is>
      </c>
      <c r="B230" s="8" t="n">
        <v>2006</v>
      </c>
      <c r="C230" s="10" t="n"/>
      <c r="D230" s="10" t="n"/>
      <c r="E230" s="8">
        <f>A230&amp;"|"&amp;B230</f>
        <v/>
      </c>
    </row>
    <row r="231">
      <c r="A231" s="8" t="inlineStr">
        <is>
          <t>México</t>
        </is>
      </c>
      <c r="B231" s="8" t="n">
        <v>2007</v>
      </c>
      <c r="C231" s="10" t="n"/>
      <c r="D231" s="10" t="n"/>
      <c r="E231" s="8">
        <f>A231&amp;"|"&amp;B231</f>
        <v/>
      </c>
    </row>
    <row r="232">
      <c r="A232" s="8" t="inlineStr">
        <is>
          <t>México</t>
        </is>
      </c>
      <c r="B232" s="8" t="n">
        <v>2008</v>
      </c>
      <c r="C232" s="10" t="n"/>
      <c r="D232" s="10" t="n"/>
      <c r="E232" s="8">
        <f>A232&amp;"|"&amp;B232</f>
        <v/>
      </c>
    </row>
    <row r="233">
      <c r="A233" s="8" t="inlineStr">
        <is>
          <t>México</t>
        </is>
      </c>
      <c r="B233" s="8" t="n">
        <v>2009</v>
      </c>
      <c r="C233" s="10" t="n"/>
      <c r="D233" s="10" t="n"/>
      <c r="E233" s="8">
        <f>A233&amp;"|"&amp;B233</f>
        <v/>
      </c>
    </row>
    <row r="234">
      <c r="A234" s="8" t="inlineStr">
        <is>
          <t>México</t>
        </is>
      </c>
      <c r="B234" s="8" t="n">
        <v>2010</v>
      </c>
      <c r="C234" s="10" t="n"/>
      <c r="D234" s="10" t="n"/>
      <c r="E234" s="8">
        <f>A234&amp;"|"&amp;B234</f>
        <v/>
      </c>
    </row>
    <row r="235">
      <c r="A235" s="8" t="inlineStr">
        <is>
          <t>México</t>
        </is>
      </c>
      <c r="B235" s="8" t="n">
        <v>2011</v>
      </c>
      <c r="C235" s="10" t="n"/>
      <c r="D235" s="10" t="n"/>
      <c r="E235" s="8">
        <f>A235&amp;"|"&amp;B235</f>
        <v/>
      </c>
    </row>
    <row r="236">
      <c r="A236" s="8" t="inlineStr">
        <is>
          <t>México</t>
        </is>
      </c>
      <c r="B236" s="8" t="n">
        <v>2015</v>
      </c>
      <c r="C236" s="10" t="n"/>
      <c r="D236" s="10" t="n"/>
      <c r="E236" s="8">
        <f>A236&amp;"|"&amp;B236</f>
        <v/>
      </c>
    </row>
    <row r="237">
      <c r="A237" s="8" t="inlineStr">
        <is>
          <t>México</t>
        </is>
      </c>
      <c r="B237" s="8" t="n">
        <v>2016</v>
      </c>
      <c r="C237" s="10" t="n"/>
      <c r="D237" s="10" t="n"/>
      <c r="E237" s="8">
        <f>A237&amp;"|"&amp;B237</f>
        <v/>
      </c>
    </row>
    <row r="238">
      <c r="A238" s="8" t="inlineStr">
        <is>
          <t>México</t>
        </is>
      </c>
      <c r="B238" s="8" t="n">
        <v>2017</v>
      </c>
      <c r="C238" s="10" t="n"/>
      <c r="D238" s="10" t="n"/>
      <c r="E238" s="8">
        <f>A238&amp;"|"&amp;B238</f>
        <v/>
      </c>
    </row>
    <row r="239">
      <c r="A239" s="8" t="inlineStr">
        <is>
          <t>México</t>
        </is>
      </c>
      <c r="B239" s="8" t="n">
        <v>2018</v>
      </c>
      <c r="C239" s="10" t="n"/>
      <c r="D239" s="10" t="n"/>
      <c r="E239" s="8">
        <f>A239&amp;"|"&amp;B239</f>
        <v/>
      </c>
    </row>
    <row r="240">
      <c r="A240" s="8" t="inlineStr">
        <is>
          <t>México</t>
        </is>
      </c>
      <c r="B240" s="8" t="n">
        <v>2020</v>
      </c>
      <c r="C240" s="10" t="n"/>
      <c r="D240" s="10" t="n"/>
      <c r="E240" s="8">
        <f>A240&amp;"|"&amp;B240</f>
        <v/>
      </c>
    </row>
    <row r="241">
      <c r="A241" s="8" t="inlineStr">
        <is>
          <t>México</t>
        </is>
      </c>
      <c r="B241" s="8" t="n">
        <v>2024</v>
      </c>
      <c r="C241" s="10" t="n"/>
      <c r="D241" s="10" t="n"/>
      <c r="E241" s="8">
        <f>A241&amp;"|"&amp;B241</f>
        <v/>
      </c>
    </row>
    <row r="242">
      <c r="A242" s="8" t="inlineStr">
        <is>
          <t>Nicaragua</t>
        </is>
      </c>
      <c r="B242" s="8" t="n">
        <v>1996</v>
      </c>
      <c r="C242" s="10" t="n"/>
      <c r="D242" s="10" t="n"/>
      <c r="E242" s="8">
        <f>A242&amp;"|"&amp;B242</f>
        <v/>
      </c>
    </row>
    <row r="243">
      <c r="A243" s="8" t="inlineStr">
        <is>
          <t>Nicaragua</t>
        </is>
      </c>
      <c r="B243" s="8" t="n">
        <v>1997</v>
      </c>
      <c r="C243" s="10" t="n"/>
      <c r="D243" s="10" t="n"/>
      <c r="E243" s="8">
        <f>A243&amp;"|"&amp;B243</f>
        <v/>
      </c>
    </row>
    <row r="244">
      <c r="A244" s="8" t="inlineStr">
        <is>
          <t>Nicaragua</t>
        </is>
      </c>
      <c r="B244" s="8" t="n">
        <v>1998</v>
      </c>
      <c r="C244" s="10" t="n"/>
      <c r="D244" s="10" t="n"/>
      <c r="E244" s="8">
        <f>A244&amp;"|"&amp;B244</f>
        <v/>
      </c>
    </row>
    <row r="245">
      <c r="A245" s="8" t="inlineStr">
        <is>
          <t>Nicaragua</t>
        </is>
      </c>
      <c r="B245" s="8" t="n">
        <v>2000</v>
      </c>
      <c r="C245" s="10" t="n"/>
      <c r="D245" s="10" t="n"/>
      <c r="E245" s="8">
        <f>A245&amp;"|"&amp;B245</f>
        <v/>
      </c>
    </row>
    <row r="246">
      <c r="A246" s="8" t="inlineStr">
        <is>
          <t>Nicaragua</t>
        </is>
      </c>
      <c r="B246" s="8" t="n">
        <v>2001</v>
      </c>
      <c r="C246" s="10" t="n"/>
      <c r="D246" s="10" t="n"/>
      <c r="E246" s="8">
        <f>A246&amp;"|"&amp;B246</f>
        <v/>
      </c>
    </row>
    <row r="247">
      <c r="A247" s="8" t="inlineStr">
        <is>
          <t>Nicaragua</t>
        </is>
      </c>
      <c r="B247" s="8" t="n">
        <v>2002</v>
      </c>
      <c r="C247" s="10" t="n"/>
      <c r="D247" s="10" t="n"/>
      <c r="E247" s="8">
        <f>A247&amp;"|"&amp;B247</f>
        <v/>
      </c>
    </row>
    <row r="248">
      <c r="A248" s="8" t="inlineStr">
        <is>
          <t>Nicaragua</t>
        </is>
      </c>
      <c r="B248" s="8" t="n">
        <v>2003</v>
      </c>
      <c r="C248" s="10" t="n"/>
      <c r="D248" s="10" t="n"/>
      <c r="E248" s="8">
        <f>A248&amp;"|"&amp;B248</f>
        <v/>
      </c>
    </row>
    <row r="249">
      <c r="A249" s="8" t="inlineStr">
        <is>
          <t>Nicaragua</t>
        </is>
      </c>
      <c r="B249" s="8" t="n">
        <v>2004</v>
      </c>
      <c r="C249" s="10" t="n"/>
      <c r="D249" s="10" t="n"/>
      <c r="E249" s="8">
        <f>A249&amp;"|"&amp;B249</f>
        <v/>
      </c>
    </row>
    <row r="250">
      <c r="A250" s="8" t="inlineStr">
        <is>
          <t>Nicaragua</t>
        </is>
      </c>
      <c r="B250" s="8" t="n">
        <v>2005</v>
      </c>
      <c r="C250" s="10" t="n"/>
      <c r="D250" s="10" t="n"/>
      <c r="E250" s="8">
        <f>A250&amp;"|"&amp;B250</f>
        <v/>
      </c>
    </row>
    <row r="251">
      <c r="A251" s="8" t="inlineStr">
        <is>
          <t>Nicaragua</t>
        </is>
      </c>
      <c r="B251" s="8" t="n">
        <v>2006</v>
      </c>
      <c r="C251" s="10" t="n"/>
      <c r="D251" s="10" t="n"/>
      <c r="E251" s="8">
        <f>A251&amp;"|"&amp;B251</f>
        <v/>
      </c>
    </row>
    <row r="252">
      <c r="A252" s="8" t="inlineStr">
        <is>
          <t>Nicaragua</t>
        </is>
      </c>
      <c r="B252" s="8" t="n">
        <v>2007</v>
      </c>
      <c r="C252" s="10" t="n"/>
      <c r="D252" s="10" t="n"/>
      <c r="E252" s="8">
        <f>A252&amp;"|"&amp;B252</f>
        <v/>
      </c>
    </row>
    <row r="253">
      <c r="A253" s="8" t="inlineStr">
        <is>
          <t>Nicaragua</t>
        </is>
      </c>
      <c r="B253" s="8" t="n">
        <v>2008</v>
      </c>
      <c r="C253" s="10" t="n"/>
      <c r="D253" s="10" t="n"/>
      <c r="E253" s="8">
        <f>A253&amp;"|"&amp;B253</f>
        <v/>
      </c>
    </row>
    <row r="254">
      <c r="A254" s="8" t="inlineStr">
        <is>
          <t>Nicaragua</t>
        </is>
      </c>
      <c r="B254" s="8" t="n">
        <v>2009</v>
      </c>
      <c r="C254" s="10" t="n"/>
      <c r="D254" s="10" t="n"/>
      <c r="E254" s="8">
        <f>A254&amp;"|"&amp;B254</f>
        <v/>
      </c>
    </row>
    <row r="255">
      <c r="A255" s="8" t="inlineStr">
        <is>
          <t>Nicaragua</t>
        </is>
      </c>
      <c r="B255" s="8" t="n">
        <v>2010</v>
      </c>
      <c r="C255" s="10" t="n"/>
      <c r="D255" s="10" t="n"/>
      <c r="E255" s="8">
        <f>A255&amp;"|"&amp;B255</f>
        <v/>
      </c>
    </row>
    <row r="256">
      <c r="A256" s="8" t="inlineStr">
        <is>
          <t>Nicaragua</t>
        </is>
      </c>
      <c r="B256" s="8" t="n">
        <v>2011</v>
      </c>
      <c r="C256" s="10" t="n"/>
      <c r="D256" s="10" t="n"/>
      <c r="E256" s="8">
        <f>A256&amp;"|"&amp;B256</f>
        <v/>
      </c>
    </row>
    <row r="257">
      <c r="A257" s="8" t="inlineStr">
        <is>
          <t>Nicaragua</t>
        </is>
      </c>
      <c r="B257" s="8" t="n">
        <v>2016</v>
      </c>
      <c r="C257" s="10" t="n"/>
      <c r="D257" s="10" t="n"/>
      <c r="E257" s="8">
        <f>A257&amp;"|"&amp;B257</f>
        <v/>
      </c>
    </row>
    <row r="258">
      <c r="A258" s="8" t="inlineStr">
        <is>
          <t>Nicaragua</t>
        </is>
      </c>
      <c r="B258" s="8" t="n">
        <v>2017</v>
      </c>
      <c r="C258" s="10" t="n"/>
      <c r="D258" s="10" t="n"/>
      <c r="E258" s="8">
        <f>A258&amp;"|"&amp;B258</f>
        <v/>
      </c>
    </row>
    <row r="259">
      <c r="A259" s="8" t="inlineStr">
        <is>
          <t>Nicaragua</t>
        </is>
      </c>
      <c r="B259" s="8" t="n">
        <v>2018</v>
      </c>
      <c r="C259" s="10" t="n"/>
      <c r="D259" s="10" t="n"/>
      <c r="E259" s="8">
        <f>A259&amp;"|"&amp;B259</f>
        <v/>
      </c>
    </row>
    <row r="260">
      <c r="A260" s="8" t="inlineStr">
        <is>
          <t>Nicaragua</t>
        </is>
      </c>
      <c r="B260" s="8" t="n">
        <v>2020</v>
      </c>
      <c r="C260" s="10" t="n"/>
      <c r="D260" s="10" t="n"/>
      <c r="E260" s="8">
        <f>A260&amp;"|"&amp;B260</f>
        <v/>
      </c>
    </row>
    <row r="261">
      <c r="A261" s="8" t="inlineStr">
        <is>
          <t>Panamá</t>
        </is>
      </c>
      <c r="B261" s="8" t="n">
        <v>1996</v>
      </c>
      <c r="C261" s="10" t="n"/>
      <c r="D261" s="10" t="n"/>
      <c r="E261" s="8">
        <f>A261&amp;"|"&amp;B261</f>
        <v/>
      </c>
    </row>
    <row r="262">
      <c r="A262" s="8" t="inlineStr">
        <is>
          <t>Panamá</t>
        </is>
      </c>
      <c r="B262" s="8" t="n">
        <v>1997</v>
      </c>
      <c r="C262" s="10" t="n"/>
      <c r="D262" s="10" t="n"/>
      <c r="E262" s="8">
        <f>A262&amp;"|"&amp;B262</f>
        <v/>
      </c>
    </row>
    <row r="263">
      <c r="A263" s="8" t="inlineStr">
        <is>
          <t>Panamá</t>
        </is>
      </c>
      <c r="B263" s="8" t="n">
        <v>1998</v>
      </c>
      <c r="C263" s="10" t="n"/>
      <c r="D263" s="10" t="n"/>
      <c r="E263" s="8">
        <f>A263&amp;"|"&amp;B263</f>
        <v/>
      </c>
    </row>
    <row r="264">
      <c r="A264" s="8" t="inlineStr">
        <is>
          <t>Panamá</t>
        </is>
      </c>
      <c r="B264" s="8" t="n">
        <v>2000</v>
      </c>
      <c r="C264" s="10" t="n"/>
      <c r="D264" s="10" t="n"/>
      <c r="E264" s="8">
        <f>A264&amp;"|"&amp;B264</f>
        <v/>
      </c>
    </row>
    <row r="265">
      <c r="A265" s="8" t="inlineStr">
        <is>
          <t>Panamá</t>
        </is>
      </c>
      <c r="B265" s="8" t="n">
        <v>2001</v>
      </c>
      <c r="C265" s="10" t="n"/>
      <c r="D265" s="10" t="n"/>
      <c r="E265" s="8">
        <f>A265&amp;"|"&amp;B265</f>
        <v/>
      </c>
    </row>
    <row r="266">
      <c r="A266" s="8" t="inlineStr">
        <is>
          <t>Panamá</t>
        </is>
      </c>
      <c r="B266" s="8" t="n">
        <v>2002</v>
      </c>
      <c r="C266" s="10" t="n"/>
      <c r="D266" s="10" t="n"/>
      <c r="E266" s="8">
        <f>A266&amp;"|"&amp;B266</f>
        <v/>
      </c>
    </row>
    <row r="267">
      <c r="A267" s="8" t="inlineStr">
        <is>
          <t>Panamá</t>
        </is>
      </c>
      <c r="B267" s="8" t="n">
        <v>2003</v>
      </c>
      <c r="C267" s="10" t="n"/>
      <c r="D267" s="10" t="n"/>
      <c r="E267" s="8">
        <f>A267&amp;"|"&amp;B267</f>
        <v/>
      </c>
    </row>
    <row r="268">
      <c r="A268" s="8" t="inlineStr">
        <is>
          <t>Panamá</t>
        </is>
      </c>
      <c r="B268" s="8" t="n">
        <v>2004</v>
      </c>
      <c r="C268" s="10" t="n"/>
      <c r="D268" s="10" t="n"/>
      <c r="E268" s="8">
        <f>A268&amp;"|"&amp;B268</f>
        <v/>
      </c>
    </row>
    <row r="269">
      <c r="A269" s="8" t="inlineStr">
        <is>
          <t>Panamá</t>
        </is>
      </c>
      <c r="B269" s="8" t="n">
        <v>2005</v>
      </c>
      <c r="C269" s="10" t="n"/>
      <c r="D269" s="10" t="n"/>
      <c r="E269" s="8">
        <f>A269&amp;"|"&amp;B269</f>
        <v/>
      </c>
    </row>
    <row r="270">
      <c r="A270" s="8" t="inlineStr">
        <is>
          <t>Panamá</t>
        </is>
      </c>
      <c r="B270" s="8" t="n">
        <v>2006</v>
      </c>
      <c r="C270" s="10" t="n"/>
      <c r="D270" s="10" t="n"/>
      <c r="E270" s="8">
        <f>A270&amp;"|"&amp;B270</f>
        <v/>
      </c>
    </row>
    <row r="271">
      <c r="A271" s="8" t="inlineStr">
        <is>
          <t>Panamá</t>
        </is>
      </c>
      <c r="B271" s="8" t="n">
        <v>2007</v>
      </c>
      <c r="C271" s="10" t="n"/>
      <c r="D271" s="10" t="n"/>
      <c r="E271" s="8">
        <f>A271&amp;"|"&amp;B271</f>
        <v/>
      </c>
    </row>
    <row r="272">
      <c r="A272" s="8" t="inlineStr">
        <is>
          <t>Panamá</t>
        </is>
      </c>
      <c r="B272" s="8" t="n">
        <v>2008</v>
      </c>
      <c r="C272" s="10" t="n"/>
      <c r="D272" s="10" t="n"/>
      <c r="E272" s="8">
        <f>A272&amp;"|"&amp;B272</f>
        <v/>
      </c>
    </row>
    <row r="273">
      <c r="A273" s="8" t="inlineStr">
        <is>
          <t>Panamá</t>
        </is>
      </c>
      <c r="B273" s="8" t="n">
        <v>2009</v>
      </c>
      <c r="C273" s="10" t="n"/>
      <c r="D273" s="10" t="n"/>
      <c r="E273" s="8">
        <f>A273&amp;"|"&amp;B273</f>
        <v/>
      </c>
    </row>
    <row r="274">
      <c r="A274" s="8" t="inlineStr">
        <is>
          <t>Panamá</t>
        </is>
      </c>
      <c r="B274" s="8" t="n">
        <v>2010</v>
      </c>
      <c r="C274" s="10" t="n"/>
      <c r="D274" s="10" t="n"/>
      <c r="E274" s="8">
        <f>A274&amp;"|"&amp;B274</f>
        <v/>
      </c>
    </row>
    <row r="275">
      <c r="A275" s="8" t="inlineStr">
        <is>
          <t>Panamá</t>
        </is>
      </c>
      <c r="B275" s="8" t="n">
        <v>2011</v>
      </c>
      <c r="C275" s="10" t="n"/>
      <c r="D275" s="10" t="n"/>
      <c r="E275" s="8">
        <f>A275&amp;"|"&amp;B275</f>
        <v/>
      </c>
    </row>
    <row r="276">
      <c r="A276" s="8" t="inlineStr">
        <is>
          <t>Panamá</t>
        </is>
      </c>
      <c r="B276" s="8" t="n">
        <v>2016</v>
      </c>
      <c r="C276" s="10" t="n"/>
      <c r="D276" s="10" t="n"/>
      <c r="E276" s="8">
        <f>A276&amp;"|"&amp;B276</f>
        <v/>
      </c>
    </row>
    <row r="277">
      <c r="A277" s="8" t="inlineStr">
        <is>
          <t>Panamá</t>
        </is>
      </c>
      <c r="B277" s="8" t="n">
        <v>2017</v>
      </c>
      <c r="C277" s="10" t="n"/>
      <c r="D277" s="10" t="n"/>
      <c r="E277" s="8">
        <f>A277&amp;"|"&amp;B277</f>
        <v/>
      </c>
    </row>
    <row r="278">
      <c r="A278" s="8" t="inlineStr">
        <is>
          <t>Panamá</t>
        </is>
      </c>
      <c r="B278" s="8" t="n">
        <v>2018</v>
      </c>
      <c r="C278" s="10" t="n"/>
      <c r="D278" s="10" t="n"/>
      <c r="E278" s="8">
        <f>A278&amp;"|"&amp;B278</f>
        <v/>
      </c>
    </row>
    <row r="279">
      <c r="A279" s="8" t="inlineStr">
        <is>
          <t>Panamá</t>
        </is>
      </c>
      <c r="B279" s="8" t="n">
        <v>2020</v>
      </c>
      <c r="C279" s="10" t="n"/>
      <c r="D279" s="10" t="n"/>
      <c r="E279" s="8">
        <f>A279&amp;"|"&amp;B279</f>
        <v/>
      </c>
    </row>
    <row r="280">
      <c r="A280" s="8" t="inlineStr">
        <is>
          <t>Panamá</t>
        </is>
      </c>
      <c r="B280" s="8" t="n">
        <v>2024</v>
      </c>
      <c r="C280" s="10" t="n"/>
      <c r="D280" s="10" t="n"/>
      <c r="E280" s="8">
        <f>A280&amp;"|"&amp;B280</f>
        <v/>
      </c>
    </row>
    <row r="281">
      <c r="A281" s="8" t="inlineStr">
        <is>
          <t>Paraguay</t>
        </is>
      </c>
      <c r="B281" s="8" t="n">
        <v>1995</v>
      </c>
      <c r="C281" s="10" t="n"/>
      <c r="D281" s="10" t="n"/>
      <c r="E281" s="8">
        <f>A281&amp;"|"&amp;B281</f>
        <v/>
      </c>
    </row>
    <row r="282">
      <c r="A282" s="8" t="inlineStr">
        <is>
          <t>Paraguay</t>
        </is>
      </c>
      <c r="B282" s="8" t="n">
        <v>1996</v>
      </c>
      <c r="C282" s="10" t="n"/>
      <c r="D282" s="10" t="n"/>
      <c r="E282" s="8">
        <f>A282&amp;"|"&amp;B282</f>
        <v/>
      </c>
    </row>
    <row r="283">
      <c r="A283" s="8" t="inlineStr">
        <is>
          <t>Paraguay</t>
        </is>
      </c>
      <c r="B283" s="8" t="n">
        <v>1997</v>
      </c>
      <c r="C283" s="10" t="n"/>
      <c r="D283" s="10" t="n"/>
      <c r="E283" s="8">
        <f>A283&amp;"|"&amp;B283</f>
        <v/>
      </c>
    </row>
    <row r="284">
      <c r="A284" s="8" t="inlineStr">
        <is>
          <t>Paraguay</t>
        </is>
      </c>
      <c r="B284" s="8" t="n">
        <v>1998</v>
      </c>
      <c r="C284" s="10" t="n"/>
      <c r="D284" s="10" t="n"/>
      <c r="E284" s="8">
        <f>A284&amp;"|"&amp;B284</f>
        <v/>
      </c>
    </row>
    <row r="285">
      <c r="A285" s="8" t="inlineStr">
        <is>
          <t>Paraguay</t>
        </is>
      </c>
      <c r="B285" s="8" t="n">
        <v>2000</v>
      </c>
      <c r="C285" s="10" t="n"/>
      <c r="D285" s="10" t="n"/>
      <c r="E285" s="8">
        <f>A285&amp;"|"&amp;B285</f>
        <v/>
      </c>
    </row>
    <row r="286">
      <c r="A286" s="8" t="inlineStr">
        <is>
          <t>Paraguay</t>
        </is>
      </c>
      <c r="B286" s="8" t="n">
        <v>2001</v>
      </c>
      <c r="C286" s="10" t="n"/>
      <c r="D286" s="10" t="n"/>
      <c r="E286" s="8">
        <f>A286&amp;"|"&amp;B286</f>
        <v/>
      </c>
    </row>
    <row r="287">
      <c r="A287" s="8" t="inlineStr">
        <is>
          <t>Paraguay</t>
        </is>
      </c>
      <c r="B287" s="8" t="n">
        <v>2002</v>
      </c>
      <c r="C287" s="10" t="n"/>
      <c r="D287" s="10" t="n"/>
      <c r="E287" s="8">
        <f>A287&amp;"|"&amp;B287</f>
        <v/>
      </c>
    </row>
    <row r="288">
      <c r="A288" s="8" t="inlineStr">
        <is>
          <t>Paraguay</t>
        </is>
      </c>
      <c r="B288" s="8" t="n">
        <v>2003</v>
      </c>
      <c r="C288" s="10" t="n"/>
      <c r="D288" s="10" t="n"/>
      <c r="E288" s="8">
        <f>A288&amp;"|"&amp;B288</f>
        <v/>
      </c>
    </row>
    <row r="289">
      <c r="A289" s="8" t="inlineStr">
        <is>
          <t>Paraguay</t>
        </is>
      </c>
      <c r="B289" s="8" t="n">
        <v>2004</v>
      </c>
      <c r="C289" s="10" t="n"/>
      <c r="D289" s="10" t="n"/>
      <c r="E289" s="8">
        <f>A289&amp;"|"&amp;B289</f>
        <v/>
      </c>
    </row>
    <row r="290">
      <c r="A290" s="8" t="inlineStr">
        <is>
          <t>Paraguay</t>
        </is>
      </c>
      <c r="B290" s="8" t="n">
        <v>2005</v>
      </c>
      <c r="C290" s="10" t="n"/>
      <c r="D290" s="10" t="n"/>
      <c r="E290" s="8">
        <f>A290&amp;"|"&amp;B290</f>
        <v/>
      </c>
    </row>
    <row r="291">
      <c r="A291" s="8" t="inlineStr">
        <is>
          <t>Paraguay</t>
        </is>
      </c>
      <c r="B291" s="8" t="n">
        <v>2006</v>
      </c>
      <c r="C291" s="10" t="n"/>
      <c r="D291" s="10" t="n"/>
      <c r="E291" s="8">
        <f>A291&amp;"|"&amp;B291</f>
        <v/>
      </c>
    </row>
    <row r="292">
      <c r="A292" s="8" t="inlineStr">
        <is>
          <t>Paraguay</t>
        </is>
      </c>
      <c r="B292" s="8" t="n">
        <v>2007</v>
      </c>
      <c r="C292" s="10" t="n"/>
      <c r="D292" s="10" t="n"/>
      <c r="E292" s="8">
        <f>A292&amp;"|"&amp;B292</f>
        <v/>
      </c>
    </row>
    <row r="293">
      <c r="A293" s="8" t="inlineStr">
        <is>
          <t>Paraguay</t>
        </is>
      </c>
      <c r="B293" s="8" t="n">
        <v>2008</v>
      </c>
      <c r="C293" s="10" t="n"/>
      <c r="D293" s="10" t="n"/>
      <c r="E293" s="8">
        <f>A293&amp;"|"&amp;B293</f>
        <v/>
      </c>
    </row>
    <row r="294">
      <c r="A294" s="8" t="inlineStr">
        <is>
          <t>Paraguay</t>
        </is>
      </c>
      <c r="B294" s="8" t="n">
        <v>2009</v>
      </c>
      <c r="C294" s="10" t="n"/>
      <c r="D294" s="10" t="n"/>
      <c r="E294" s="8">
        <f>A294&amp;"|"&amp;B294</f>
        <v/>
      </c>
    </row>
    <row r="295">
      <c r="A295" s="8" t="inlineStr">
        <is>
          <t>Paraguay</t>
        </is>
      </c>
      <c r="B295" s="8" t="n">
        <v>2010</v>
      </c>
      <c r="C295" s="10" t="n"/>
      <c r="D295" s="10" t="n"/>
      <c r="E295" s="8">
        <f>A295&amp;"|"&amp;B295</f>
        <v/>
      </c>
    </row>
    <row r="296">
      <c r="A296" s="8" t="inlineStr">
        <is>
          <t>Paraguay</t>
        </is>
      </c>
      <c r="B296" s="8" t="n">
        <v>2011</v>
      </c>
      <c r="C296" s="10" t="n"/>
      <c r="D296" s="10" t="n"/>
      <c r="E296" s="8">
        <f>A296&amp;"|"&amp;B296</f>
        <v/>
      </c>
    </row>
    <row r="297">
      <c r="A297" s="8" t="inlineStr">
        <is>
          <t>Paraguay</t>
        </is>
      </c>
      <c r="B297" s="8" t="n">
        <v>2016</v>
      </c>
      <c r="C297" s="10" t="n"/>
      <c r="D297" s="10" t="n"/>
      <c r="E297" s="8">
        <f>A297&amp;"|"&amp;B297</f>
        <v/>
      </c>
    </row>
    <row r="298">
      <c r="A298" s="8" t="inlineStr">
        <is>
          <t>Paraguay</t>
        </is>
      </c>
      <c r="B298" s="8" t="n">
        <v>2017</v>
      </c>
      <c r="C298" s="10" t="n"/>
      <c r="D298" s="10" t="n"/>
      <c r="E298" s="8">
        <f>A298&amp;"|"&amp;B298</f>
        <v/>
      </c>
    </row>
    <row r="299">
      <c r="A299" s="8" t="inlineStr">
        <is>
          <t>Paraguay</t>
        </is>
      </c>
      <c r="B299" s="8" t="n">
        <v>2018</v>
      </c>
      <c r="C299" s="10" t="n"/>
      <c r="D299" s="10" t="n"/>
      <c r="E299" s="8">
        <f>A299&amp;"|"&amp;B299</f>
        <v/>
      </c>
    </row>
    <row r="300">
      <c r="A300" s="8" t="inlineStr">
        <is>
          <t>Paraguay</t>
        </is>
      </c>
      <c r="B300" s="8" t="n">
        <v>2020</v>
      </c>
      <c r="C300" s="10" t="n"/>
      <c r="D300" s="10" t="n"/>
      <c r="E300" s="8">
        <f>A300&amp;"|"&amp;B300</f>
        <v/>
      </c>
    </row>
    <row r="301">
      <c r="A301" s="8" t="inlineStr">
        <is>
          <t>Paraguay</t>
        </is>
      </c>
      <c r="B301" s="8" t="n">
        <v>2024</v>
      </c>
      <c r="C301" s="10" t="n"/>
      <c r="D301" s="10" t="n"/>
      <c r="E301" s="8">
        <f>A301&amp;"|"&amp;B301</f>
        <v/>
      </c>
    </row>
    <row r="302">
      <c r="A302" s="8" t="inlineStr">
        <is>
          <t>Perú</t>
        </is>
      </c>
      <c r="B302" s="8" t="n">
        <v>1995</v>
      </c>
      <c r="C302" s="10" t="n"/>
      <c r="D302" s="10" t="n"/>
      <c r="E302" s="8">
        <f>A302&amp;"|"&amp;B302</f>
        <v/>
      </c>
    </row>
    <row r="303">
      <c r="A303" s="8" t="inlineStr">
        <is>
          <t>Perú</t>
        </is>
      </c>
      <c r="B303" s="8" t="n">
        <v>1996</v>
      </c>
      <c r="C303" s="10" t="n"/>
      <c r="D303" s="10" t="n"/>
      <c r="E303" s="8">
        <f>A303&amp;"|"&amp;B303</f>
        <v/>
      </c>
    </row>
    <row r="304">
      <c r="A304" s="8" t="inlineStr">
        <is>
          <t>Perú</t>
        </is>
      </c>
      <c r="B304" s="8" t="n">
        <v>1997</v>
      </c>
      <c r="C304" s="10" t="n"/>
      <c r="D304" s="10" t="n"/>
      <c r="E304" s="8">
        <f>A304&amp;"|"&amp;B304</f>
        <v/>
      </c>
    </row>
    <row r="305">
      <c r="A305" s="8" t="inlineStr">
        <is>
          <t>Perú</t>
        </is>
      </c>
      <c r="B305" s="8" t="n">
        <v>1998</v>
      </c>
      <c r="C305" s="10" t="n"/>
      <c r="D305" s="10" t="n"/>
      <c r="E305" s="8">
        <f>A305&amp;"|"&amp;B305</f>
        <v/>
      </c>
    </row>
    <row r="306">
      <c r="A306" s="8" t="inlineStr">
        <is>
          <t>Perú</t>
        </is>
      </c>
      <c r="B306" s="8" t="n">
        <v>2000</v>
      </c>
      <c r="C306" s="10" t="n"/>
      <c r="D306" s="10" t="n"/>
      <c r="E306" s="8">
        <f>A306&amp;"|"&amp;B306</f>
        <v/>
      </c>
    </row>
    <row r="307">
      <c r="A307" s="8" t="inlineStr">
        <is>
          <t>Perú</t>
        </is>
      </c>
      <c r="B307" s="8" t="n">
        <v>2001</v>
      </c>
      <c r="C307" s="10" t="n"/>
      <c r="D307" s="10" t="n"/>
      <c r="E307" s="8">
        <f>A307&amp;"|"&amp;B307</f>
        <v/>
      </c>
    </row>
    <row r="308">
      <c r="A308" s="8" t="inlineStr">
        <is>
          <t>Perú</t>
        </is>
      </c>
      <c r="B308" s="8" t="n">
        <v>2002</v>
      </c>
      <c r="C308" s="10" t="n"/>
      <c r="D308" s="10" t="n"/>
      <c r="E308" s="8">
        <f>A308&amp;"|"&amp;B308</f>
        <v/>
      </c>
    </row>
    <row r="309">
      <c r="A309" s="8" t="inlineStr">
        <is>
          <t>Perú</t>
        </is>
      </c>
      <c r="B309" s="8" t="n">
        <v>2003</v>
      </c>
      <c r="C309" s="10" t="n"/>
      <c r="D309" s="10" t="n"/>
      <c r="E309" s="8">
        <f>A309&amp;"|"&amp;B309</f>
        <v/>
      </c>
    </row>
    <row r="310">
      <c r="A310" s="8" t="inlineStr">
        <is>
          <t>Perú</t>
        </is>
      </c>
      <c r="B310" s="8" t="n">
        <v>2004</v>
      </c>
      <c r="C310" s="10" t="n"/>
      <c r="D310" s="10" t="n"/>
      <c r="E310" s="8">
        <f>A310&amp;"|"&amp;B310</f>
        <v/>
      </c>
    </row>
    <row r="311">
      <c r="A311" s="8" t="inlineStr">
        <is>
          <t>Perú</t>
        </is>
      </c>
      <c r="B311" s="8" t="n">
        <v>2005</v>
      </c>
      <c r="C311" s="10" t="n"/>
      <c r="D311" s="10" t="n"/>
      <c r="E311" s="8">
        <f>A311&amp;"|"&amp;B311</f>
        <v/>
      </c>
    </row>
    <row r="312">
      <c r="A312" s="8" t="inlineStr">
        <is>
          <t>Perú</t>
        </is>
      </c>
      <c r="B312" s="8" t="n">
        <v>2006</v>
      </c>
      <c r="C312" s="10" t="n"/>
      <c r="D312" s="10" t="n"/>
      <c r="E312" s="8">
        <f>A312&amp;"|"&amp;B312</f>
        <v/>
      </c>
    </row>
    <row r="313">
      <c r="A313" s="8" t="inlineStr">
        <is>
          <t>Perú</t>
        </is>
      </c>
      <c r="B313" s="8" t="n">
        <v>2007</v>
      </c>
      <c r="C313" s="10" t="n"/>
      <c r="D313" s="10" t="n"/>
      <c r="E313" s="8">
        <f>A313&amp;"|"&amp;B313</f>
        <v/>
      </c>
    </row>
    <row r="314">
      <c r="A314" s="8" t="inlineStr">
        <is>
          <t>Perú</t>
        </is>
      </c>
      <c r="B314" s="8" t="n">
        <v>2008</v>
      </c>
      <c r="C314" s="10" t="n"/>
      <c r="D314" s="10" t="n"/>
      <c r="E314" s="8">
        <f>A314&amp;"|"&amp;B314</f>
        <v/>
      </c>
    </row>
    <row r="315">
      <c r="A315" s="8" t="inlineStr">
        <is>
          <t>Perú</t>
        </is>
      </c>
      <c r="B315" s="8" t="n">
        <v>2009</v>
      </c>
      <c r="C315" s="10" t="n"/>
      <c r="D315" s="10" t="n"/>
      <c r="E315" s="8">
        <f>A315&amp;"|"&amp;B315</f>
        <v/>
      </c>
    </row>
    <row r="316">
      <c r="A316" s="8" t="inlineStr">
        <is>
          <t>Perú</t>
        </is>
      </c>
      <c r="B316" s="8" t="n">
        <v>2010</v>
      </c>
      <c r="C316" s="10" t="n"/>
      <c r="D316" s="10" t="n"/>
      <c r="E316" s="8">
        <f>A316&amp;"|"&amp;B316</f>
        <v/>
      </c>
    </row>
    <row r="317">
      <c r="A317" s="8" t="inlineStr">
        <is>
          <t>Perú</t>
        </is>
      </c>
      <c r="B317" s="8" t="n">
        <v>2011</v>
      </c>
      <c r="C317" s="10" t="n"/>
      <c r="D317" s="10" t="n"/>
      <c r="E317" s="8">
        <f>A317&amp;"|"&amp;B317</f>
        <v/>
      </c>
    </row>
    <row r="318">
      <c r="A318" s="8" t="inlineStr">
        <is>
          <t>Perú</t>
        </is>
      </c>
      <c r="B318" s="8" t="n">
        <v>2015</v>
      </c>
      <c r="C318" s="10" t="n"/>
      <c r="D318" s="10" t="n"/>
      <c r="E318" s="8">
        <f>A318&amp;"|"&amp;B318</f>
        <v/>
      </c>
    </row>
    <row r="319">
      <c r="A319" s="8" t="inlineStr">
        <is>
          <t>Perú</t>
        </is>
      </c>
      <c r="B319" s="8" t="n">
        <v>2016</v>
      </c>
      <c r="C319" s="10" t="n"/>
      <c r="D319" s="10" t="n"/>
      <c r="E319" s="8">
        <f>A319&amp;"|"&amp;B319</f>
        <v/>
      </c>
    </row>
    <row r="320">
      <c r="A320" s="8" t="inlineStr">
        <is>
          <t>Perú</t>
        </is>
      </c>
      <c r="B320" s="8" t="n">
        <v>2017</v>
      </c>
      <c r="C320" s="10" t="n"/>
      <c r="D320" s="10" t="n"/>
      <c r="E320" s="8">
        <f>A320&amp;"|"&amp;B320</f>
        <v/>
      </c>
    </row>
    <row r="321">
      <c r="A321" s="8" t="inlineStr">
        <is>
          <t>Perú</t>
        </is>
      </c>
      <c r="B321" s="8" t="n">
        <v>2018</v>
      </c>
      <c r="C321" s="10" t="n"/>
      <c r="D321" s="10" t="n"/>
      <c r="E321" s="8">
        <f>A321&amp;"|"&amp;B321</f>
        <v/>
      </c>
    </row>
    <row r="322">
      <c r="A322" s="8" t="inlineStr">
        <is>
          <t>Perú</t>
        </is>
      </c>
      <c r="B322" s="8" t="n">
        <v>2020</v>
      </c>
      <c r="C322" s="10" t="n"/>
      <c r="D322" s="10" t="n"/>
      <c r="E322" s="8">
        <f>A322&amp;"|"&amp;B322</f>
        <v/>
      </c>
    </row>
    <row r="323">
      <c r="A323" s="8" t="inlineStr">
        <is>
          <t>Perú</t>
        </is>
      </c>
      <c r="B323" s="8" t="n">
        <v>2024</v>
      </c>
      <c r="C323" s="10" t="n"/>
      <c r="D323" s="10" t="n"/>
      <c r="E323" s="8">
        <f>A323&amp;"|"&amp;B323</f>
        <v/>
      </c>
    </row>
    <row r="324">
      <c r="A324" s="8" t="inlineStr">
        <is>
          <t>España</t>
        </is>
      </c>
      <c r="B324" s="8" t="n">
        <v>1996</v>
      </c>
      <c r="C324" s="10" t="n"/>
      <c r="D324" s="10" t="n"/>
      <c r="E324" s="8">
        <f>A324&amp;"|"&amp;B324</f>
        <v/>
      </c>
    </row>
    <row r="325">
      <c r="A325" s="8" t="inlineStr">
        <is>
          <t>España</t>
        </is>
      </c>
      <c r="B325" s="8" t="n">
        <v>1997</v>
      </c>
      <c r="C325" s="10" t="n"/>
      <c r="D325" s="10" t="n"/>
      <c r="E325" s="8">
        <f>A325&amp;"|"&amp;B325</f>
        <v/>
      </c>
    </row>
    <row r="326">
      <c r="A326" s="8" t="inlineStr">
        <is>
          <t>España</t>
        </is>
      </c>
      <c r="B326" s="8" t="n">
        <v>1998</v>
      </c>
      <c r="C326" s="10" t="n"/>
      <c r="D326" s="10" t="n"/>
      <c r="E326" s="8">
        <f>A326&amp;"|"&amp;B326</f>
        <v/>
      </c>
    </row>
    <row r="327">
      <c r="A327" s="8" t="inlineStr">
        <is>
          <t>España</t>
        </is>
      </c>
      <c r="B327" s="8" t="n">
        <v>2001</v>
      </c>
      <c r="C327" s="10" t="n"/>
      <c r="D327" s="10" t="n"/>
      <c r="E327" s="8">
        <f>A327&amp;"|"&amp;B327</f>
        <v/>
      </c>
    </row>
    <row r="328">
      <c r="A328" s="8" t="inlineStr">
        <is>
          <t>España</t>
        </is>
      </c>
      <c r="B328" s="8" t="n">
        <v>2002</v>
      </c>
      <c r="C328" s="10" t="n"/>
      <c r="D328" s="10" t="n"/>
      <c r="E328" s="8">
        <f>A328&amp;"|"&amp;B328</f>
        <v/>
      </c>
    </row>
    <row r="329">
      <c r="A329" s="8" t="inlineStr">
        <is>
          <t>España</t>
        </is>
      </c>
      <c r="B329" s="8" t="n">
        <v>2003</v>
      </c>
      <c r="C329" s="10" t="n"/>
      <c r="D329" s="10" t="n"/>
      <c r="E329" s="8">
        <f>A329&amp;"|"&amp;B329</f>
        <v/>
      </c>
    </row>
    <row r="330">
      <c r="A330" s="8" t="inlineStr">
        <is>
          <t>España</t>
        </is>
      </c>
      <c r="B330" s="8" t="n">
        <v>2004</v>
      </c>
      <c r="C330" s="10" t="n"/>
      <c r="D330" s="10" t="n"/>
      <c r="E330" s="8">
        <f>A330&amp;"|"&amp;B330</f>
        <v/>
      </c>
    </row>
    <row r="331">
      <c r="A331" s="8" t="inlineStr">
        <is>
          <t>España</t>
        </is>
      </c>
      <c r="B331" s="8" t="n">
        <v>2006</v>
      </c>
      <c r="C331" s="10" t="n"/>
      <c r="D331" s="10" t="n"/>
      <c r="E331" s="8">
        <f>A331&amp;"|"&amp;B331</f>
        <v/>
      </c>
    </row>
    <row r="332">
      <c r="A332" s="8" t="inlineStr">
        <is>
          <t>España</t>
        </is>
      </c>
      <c r="B332" s="8" t="n">
        <v>2007</v>
      </c>
      <c r="C332" s="10" t="n"/>
      <c r="D332" s="10" t="n"/>
      <c r="E332" s="8">
        <f>A332&amp;"|"&amp;B332</f>
        <v/>
      </c>
    </row>
    <row r="333">
      <c r="A333" s="8" t="inlineStr">
        <is>
          <t>España</t>
        </is>
      </c>
      <c r="B333" s="8" t="n">
        <v>2008</v>
      </c>
      <c r="C333" s="10" t="n"/>
      <c r="D333" s="10" t="n"/>
      <c r="E333" s="8">
        <f>A333&amp;"|"&amp;B333</f>
        <v/>
      </c>
    </row>
    <row r="334">
      <c r="A334" s="8" t="inlineStr">
        <is>
          <t>España</t>
        </is>
      </c>
      <c r="B334" s="8" t="n">
        <v>2009</v>
      </c>
      <c r="C334" s="10" t="n"/>
      <c r="D334" s="10" t="n"/>
      <c r="E334" s="8">
        <f>A334&amp;"|"&amp;B334</f>
        <v/>
      </c>
    </row>
    <row r="335">
      <c r="A335" s="8" t="inlineStr">
        <is>
          <t>España</t>
        </is>
      </c>
      <c r="B335" s="8" t="n">
        <v>2010</v>
      </c>
      <c r="C335" s="10" t="n"/>
      <c r="D335" s="10" t="n"/>
      <c r="E335" s="8">
        <f>A335&amp;"|"&amp;B335</f>
        <v/>
      </c>
    </row>
    <row r="336">
      <c r="A336" s="8" t="inlineStr">
        <is>
          <t>Uruguay</t>
        </is>
      </c>
      <c r="B336" s="8" t="n">
        <v>1995</v>
      </c>
      <c r="C336" s="10" t="n"/>
      <c r="D336" s="10" t="n"/>
      <c r="E336" s="8">
        <f>A336&amp;"|"&amp;B336</f>
        <v/>
      </c>
    </row>
    <row r="337">
      <c r="A337" s="8" t="inlineStr">
        <is>
          <t>Uruguay</t>
        </is>
      </c>
      <c r="B337" s="8" t="n">
        <v>1996</v>
      </c>
      <c r="C337" s="10" t="n"/>
      <c r="D337" s="10" t="n"/>
      <c r="E337" s="8">
        <f>A337&amp;"|"&amp;B337</f>
        <v/>
      </c>
    </row>
    <row r="338">
      <c r="A338" s="8" t="inlineStr">
        <is>
          <t>Uruguay</t>
        </is>
      </c>
      <c r="B338" s="8" t="n">
        <v>1997</v>
      </c>
      <c r="C338" s="10" t="n"/>
      <c r="D338" s="10" t="n"/>
      <c r="E338" s="8">
        <f>A338&amp;"|"&amp;B338</f>
        <v/>
      </c>
    </row>
    <row r="339">
      <c r="A339" s="8" t="inlineStr">
        <is>
          <t>Uruguay</t>
        </is>
      </c>
      <c r="B339" s="8" t="n">
        <v>1998</v>
      </c>
      <c r="C339" s="10" t="n"/>
      <c r="D339" s="10" t="n"/>
      <c r="E339" s="8">
        <f>A339&amp;"|"&amp;B339</f>
        <v/>
      </c>
    </row>
    <row r="340">
      <c r="A340" s="8" t="inlineStr">
        <is>
          <t>Uruguay</t>
        </is>
      </c>
      <c r="B340" s="8" t="n">
        <v>2000</v>
      </c>
      <c r="C340" s="10" t="n"/>
      <c r="D340" s="10" t="n"/>
      <c r="E340" s="8">
        <f>A340&amp;"|"&amp;B340</f>
        <v/>
      </c>
    </row>
    <row r="341">
      <c r="A341" s="8" t="inlineStr">
        <is>
          <t>Uruguay</t>
        </is>
      </c>
      <c r="B341" s="8" t="n">
        <v>2001</v>
      </c>
      <c r="C341" s="10" t="n"/>
      <c r="D341" s="10" t="n"/>
      <c r="E341" s="8">
        <f>A341&amp;"|"&amp;B341</f>
        <v/>
      </c>
    </row>
    <row r="342">
      <c r="A342" s="8" t="inlineStr">
        <is>
          <t>Uruguay</t>
        </is>
      </c>
      <c r="B342" s="8" t="n">
        <v>2002</v>
      </c>
      <c r="C342" s="10" t="n"/>
      <c r="D342" s="10" t="n"/>
      <c r="E342" s="8">
        <f>A342&amp;"|"&amp;B342</f>
        <v/>
      </c>
    </row>
    <row r="343">
      <c r="A343" s="8" t="inlineStr">
        <is>
          <t>Uruguay</t>
        </is>
      </c>
      <c r="B343" s="8" t="n">
        <v>2003</v>
      </c>
      <c r="C343" s="10" t="n"/>
      <c r="D343" s="10" t="n"/>
      <c r="E343" s="8">
        <f>A343&amp;"|"&amp;B343</f>
        <v/>
      </c>
    </row>
    <row r="344">
      <c r="A344" s="8" t="inlineStr">
        <is>
          <t>Uruguay</t>
        </is>
      </c>
      <c r="B344" s="8" t="n">
        <v>2004</v>
      </c>
      <c r="C344" s="10" t="n"/>
      <c r="D344" s="10" t="n"/>
      <c r="E344" s="8">
        <f>A344&amp;"|"&amp;B344</f>
        <v/>
      </c>
    </row>
    <row r="345">
      <c r="A345" s="8" t="inlineStr">
        <is>
          <t>Uruguay</t>
        </is>
      </c>
      <c r="B345" s="8" t="n">
        <v>2005</v>
      </c>
      <c r="C345" s="10" t="n"/>
      <c r="D345" s="10" t="n"/>
      <c r="E345" s="8">
        <f>A345&amp;"|"&amp;B345</f>
        <v/>
      </c>
    </row>
    <row r="346">
      <c r="A346" s="8" t="inlineStr">
        <is>
          <t>Uruguay</t>
        </is>
      </c>
      <c r="B346" s="8" t="n">
        <v>2006</v>
      </c>
      <c r="C346" s="10" t="n"/>
      <c r="D346" s="10" t="n"/>
      <c r="E346" s="8">
        <f>A346&amp;"|"&amp;B346</f>
        <v/>
      </c>
    </row>
    <row r="347">
      <c r="A347" s="8" t="inlineStr">
        <is>
          <t>Uruguay</t>
        </is>
      </c>
      <c r="B347" s="8" t="n">
        <v>2007</v>
      </c>
      <c r="C347" s="10" t="n"/>
      <c r="D347" s="10" t="n"/>
      <c r="E347" s="8">
        <f>A347&amp;"|"&amp;B347</f>
        <v/>
      </c>
    </row>
    <row r="348">
      <c r="A348" s="8" t="inlineStr">
        <is>
          <t>Uruguay</t>
        </is>
      </c>
      <c r="B348" s="8" t="n">
        <v>2008</v>
      </c>
      <c r="C348" s="10" t="n"/>
      <c r="D348" s="10" t="n"/>
      <c r="E348" s="8">
        <f>A348&amp;"|"&amp;B348</f>
        <v/>
      </c>
    </row>
    <row r="349">
      <c r="A349" s="8" t="inlineStr">
        <is>
          <t>Uruguay</t>
        </is>
      </c>
      <c r="B349" s="8" t="n">
        <v>2009</v>
      </c>
      <c r="C349" s="10" t="n"/>
      <c r="D349" s="10" t="n"/>
      <c r="E349" s="8">
        <f>A349&amp;"|"&amp;B349</f>
        <v/>
      </c>
    </row>
    <row r="350">
      <c r="A350" s="8" t="inlineStr">
        <is>
          <t>Uruguay</t>
        </is>
      </c>
      <c r="B350" s="8" t="n">
        <v>2010</v>
      </c>
      <c r="C350" s="10" t="n"/>
      <c r="D350" s="10" t="n"/>
      <c r="E350" s="8">
        <f>A350&amp;"|"&amp;B350</f>
        <v/>
      </c>
    </row>
    <row r="351">
      <c r="A351" s="8" t="inlineStr">
        <is>
          <t>Uruguay</t>
        </is>
      </c>
      <c r="B351" s="8" t="n">
        <v>2011</v>
      </c>
      <c r="C351" s="10" t="n"/>
      <c r="D351" s="10" t="n"/>
      <c r="E351" s="8">
        <f>A351&amp;"|"&amp;B351</f>
        <v/>
      </c>
    </row>
    <row r="352">
      <c r="A352" s="8" t="inlineStr">
        <is>
          <t>Uruguay</t>
        </is>
      </c>
      <c r="B352" s="8" t="n">
        <v>2016</v>
      </c>
      <c r="C352" s="10" t="n"/>
      <c r="D352" s="10" t="n"/>
      <c r="E352" s="8">
        <f>A352&amp;"|"&amp;B352</f>
        <v/>
      </c>
    </row>
    <row r="353">
      <c r="A353" s="8" t="inlineStr">
        <is>
          <t>Uruguay</t>
        </is>
      </c>
      <c r="B353" s="8" t="n">
        <v>2017</v>
      </c>
      <c r="C353" s="10" t="n"/>
      <c r="D353" s="10" t="n"/>
      <c r="E353" s="8">
        <f>A353&amp;"|"&amp;B353</f>
        <v/>
      </c>
    </row>
    <row r="354">
      <c r="A354" s="8" t="inlineStr">
        <is>
          <t>Uruguay</t>
        </is>
      </c>
      <c r="B354" s="8" t="n">
        <v>2018</v>
      </c>
      <c r="C354" s="10" t="n"/>
      <c r="D354" s="10" t="n"/>
      <c r="E354" s="8">
        <f>A354&amp;"|"&amp;B354</f>
        <v/>
      </c>
    </row>
    <row r="355">
      <c r="A355" s="8" t="inlineStr">
        <is>
          <t>Uruguay</t>
        </is>
      </c>
      <c r="B355" s="8" t="n">
        <v>2020</v>
      </c>
      <c r="C355" s="10" t="n"/>
      <c r="D355" s="10" t="n"/>
      <c r="E355" s="8">
        <f>A355&amp;"|"&amp;B355</f>
        <v/>
      </c>
    </row>
    <row r="356">
      <c r="A356" s="8" t="inlineStr">
        <is>
          <t>Uruguay</t>
        </is>
      </c>
      <c r="B356" s="8" t="n">
        <v>2024</v>
      </c>
      <c r="C356" s="10" t="n"/>
      <c r="D356" s="10" t="n"/>
      <c r="E356" s="8">
        <f>A356&amp;"|"&amp;B356</f>
        <v/>
      </c>
    </row>
    <row r="357">
      <c r="A357" s="8" t="inlineStr">
        <is>
          <t>Venezuela</t>
        </is>
      </c>
      <c r="B357" s="8" t="n">
        <v>1995</v>
      </c>
      <c r="C357" s="10" t="n"/>
      <c r="D357" s="10" t="n"/>
      <c r="E357" s="8">
        <f>A357&amp;"|"&amp;B357</f>
        <v/>
      </c>
    </row>
    <row r="358">
      <c r="A358" s="8" t="inlineStr">
        <is>
          <t>Venezuela</t>
        </is>
      </c>
      <c r="B358" s="8" t="n">
        <v>1996</v>
      </c>
      <c r="C358" s="10" t="n"/>
      <c r="D358" s="10" t="n"/>
      <c r="E358" s="8">
        <f>A358&amp;"|"&amp;B358</f>
        <v/>
      </c>
    </row>
    <row r="359">
      <c r="A359" s="8" t="inlineStr">
        <is>
          <t>Venezuela</t>
        </is>
      </c>
      <c r="B359" s="8" t="n">
        <v>1997</v>
      </c>
      <c r="C359" s="10" t="n"/>
      <c r="D359" s="10" t="n"/>
      <c r="E359" s="8">
        <f>A359&amp;"|"&amp;B359</f>
        <v/>
      </c>
    </row>
    <row r="360">
      <c r="A360" s="8" t="inlineStr">
        <is>
          <t>Venezuela</t>
        </is>
      </c>
      <c r="B360" s="8" t="n">
        <v>1998</v>
      </c>
      <c r="C360" s="10" t="n"/>
      <c r="D360" s="10" t="n"/>
      <c r="E360" s="8">
        <f>A360&amp;"|"&amp;B360</f>
        <v/>
      </c>
    </row>
    <row r="361">
      <c r="A361" s="8" t="inlineStr">
        <is>
          <t>Venezuela</t>
        </is>
      </c>
      <c r="B361" s="8" t="n">
        <v>2000</v>
      </c>
      <c r="C361" s="10" t="n"/>
      <c r="D361" s="10" t="n"/>
      <c r="E361" s="8">
        <f>A361&amp;"|"&amp;B361</f>
        <v/>
      </c>
    </row>
    <row r="362">
      <c r="A362" s="8" t="inlineStr">
        <is>
          <t>Venezuela</t>
        </is>
      </c>
      <c r="B362" s="8" t="n">
        <v>2001</v>
      </c>
      <c r="C362" s="10" t="n"/>
      <c r="D362" s="10" t="n"/>
      <c r="E362" s="8">
        <f>A362&amp;"|"&amp;B362</f>
        <v/>
      </c>
    </row>
    <row r="363">
      <c r="A363" s="8" t="inlineStr">
        <is>
          <t>Venezuela</t>
        </is>
      </c>
      <c r="B363" s="8" t="n">
        <v>2002</v>
      </c>
      <c r="C363" s="10" t="n"/>
      <c r="D363" s="10" t="n"/>
      <c r="E363" s="8">
        <f>A363&amp;"|"&amp;B363</f>
        <v/>
      </c>
    </row>
    <row r="364">
      <c r="A364" s="8" t="inlineStr">
        <is>
          <t>Venezuela</t>
        </is>
      </c>
      <c r="B364" s="8" t="n">
        <v>2003</v>
      </c>
      <c r="C364" s="10" t="n"/>
      <c r="D364" s="10" t="n"/>
      <c r="E364" s="8">
        <f>A364&amp;"|"&amp;B364</f>
        <v/>
      </c>
    </row>
    <row r="365">
      <c r="A365" s="8" t="inlineStr">
        <is>
          <t>Venezuela</t>
        </is>
      </c>
      <c r="B365" s="8" t="n">
        <v>2004</v>
      </c>
      <c r="C365" s="10" t="n"/>
      <c r="D365" s="10" t="n"/>
      <c r="E365" s="8">
        <f>A365&amp;"|"&amp;B365</f>
        <v/>
      </c>
    </row>
    <row r="366">
      <c r="A366" s="8" t="inlineStr">
        <is>
          <t>Venezuela</t>
        </is>
      </c>
      <c r="B366" s="8" t="n">
        <v>2005</v>
      </c>
      <c r="C366" s="10" t="n"/>
      <c r="D366" s="10" t="n"/>
      <c r="E366" s="8">
        <f>A366&amp;"|"&amp;B366</f>
        <v/>
      </c>
    </row>
    <row r="367">
      <c r="A367" s="8" t="inlineStr">
        <is>
          <t>Venezuela</t>
        </is>
      </c>
      <c r="B367" s="8" t="n">
        <v>2006</v>
      </c>
      <c r="C367" s="10" t="n"/>
      <c r="D367" s="10" t="n"/>
      <c r="E367" s="8">
        <f>A367&amp;"|"&amp;B367</f>
        <v/>
      </c>
    </row>
    <row r="368">
      <c r="A368" s="8" t="inlineStr">
        <is>
          <t>Venezuela</t>
        </is>
      </c>
      <c r="B368" s="8" t="n">
        <v>2007</v>
      </c>
      <c r="C368" s="10" t="n"/>
      <c r="D368" s="10" t="n"/>
      <c r="E368" s="8">
        <f>A368&amp;"|"&amp;B368</f>
        <v/>
      </c>
    </row>
    <row r="369">
      <c r="A369" s="8" t="inlineStr">
        <is>
          <t>Venezuela</t>
        </is>
      </c>
      <c r="B369" s="8" t="n">
        <v>2008</v>
      </c>
      <c r="C369" s="10" t="n"/>
      <c r="D369" s="10" t="n"/>
      <c r="E369" s="8">
        <f>A369&amp;"|"&amp;B369</f>
        <v/>
      </c>
    </row>
    <row r="370">
      <c r="A370" s="8" t="inlineStr">
        <is>
          <t>Venezuela</t>
        </is>
      </c>
      <c r="B370" s="8" t="n">
        <v>2009</v>
      </c>
      <c r="C370" s="10" t="n"/>
      <c r="D370" s="10" t="n"/>
      <c r="E370" s="8">
        <f>A370&amp;"|"&amp;B370</f>
        <v/>
      </c>
    </row>
    <row r="371">
      <c r="A371" s="8" t="inlineStr">
        <is>
          <t>Venezuela</t>
        </is>
      </c>
      <c r="B371" s="8" t="n">
        <v>2010</v>
      </c>
      <c r="C371" s="10" t="n"/>
      <c r="D371" s="10" t="n"/>
      <c r="E371" s="8">
        <f>A371&amp;"|"&amp;B371</f>
        <v/>
      </c>
    </row>
    <row r="372">
      <c r="A372" s="8" t="inlineStr">
        <is>
          <t>Venezuela</t>
        </is>
      </c>
      <c r="B372" s="8" t="n">
        <v>2011</v>
      </c>
      <c r="C372" s="10" t="n"/>
      <c r="D372" s="10" t="n"/>
      <c r="E372" s="8">
        <f>A372&amp;"|"&amp;B372</f>
        <v/>
      </c>
    </row>
    <row r="373">
      <c r="A373" s="8" t="inlineStr">
        <is>
          <t>Venezuela</t>
        </is>
      </c>
      <c r="B373" s="8" t="n">
        <v>2016</v>
      </c>
      <c r="C373" s="10" t="n"/>
      <c r="D373" s="10" t="n"/>
      <c r="E373" s="8">
        <f>A373&amp;"|"&amp;B373</f>
        <v/>
      </c>
    </row>
    <row r="374">
      <c r="A374" s="8" t="inlineStr">
        <is>
          <t>Venezuela</t>
        </is>
      </c>
      <c r="B374" s="8" t="n">
        <v>2017</v>
      </c>
      <c r="C374" s="10" t="n"/>
      <c r="D374" s="10" t="n"/>
      <c r="E374" s="8">
        <f>A374&amp;"|"&amp;B374</f>
        <v/>
      </c>
    </row>
    <row r="375">
      <c r="A375" s="8" t="inlineStr">
        <is>
          <t>Venezuela</t>
        </is>
      </c>
      <c r="B375" s="8" t="n">
        <v>2018</v>
      </c>
      <c r="C375" s="10" t="n"/>
      <c r="D375" s="10" t="n"/>
      <c r="E375" s="8">
        <f>A375&amp;"|"&amp;B375</f>
        <v/>
      </c>
    </row>
    <row r="376">
      <c r="A376" s="8" t="inlineStr">
        <is>
          <t>Venezuela</t>
        </is>
      </c>
      <c r="B376" s="8" t="n">
        <v>2020</v>
      </c>
      <c r="C376" s="10" t="n"/>
      <c r="D376" s="10" t="n"/>
      <c r="E376" s="8">
        <f>A376&amp;"|"&amp;B376</f>
        <v/>
      </c>
    </row>
    <row r="377">
      <c r="A377" s="8" t="inlineStr">
        <is>
          <t>Venezuela</t>
        </is>
      </c>
      <c r="B377" s="8" t="n">
        <v>2024</v>
      </c>
      <c r="C377" s="10" t="n"/>
      <c r="D377" s="10" t="n"/>
      <c r="E377" s="8">
        <f>A377&amp;"|"&amp;B377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4" customWidth="1" min="3" max="3"/>
    <col width="14" customWidth="1" min="4" max="4"/>
    <col width="3" customWidth="1" min="5" max="5"/>
    <col width="24" customWidth="1" min="6" max="6"/>
    <col width="10" customWidth="1" min="7" max="7"/>
  </cols>
  <sheetData>
    <row r="1" ht="30" customHeight="1">
      <c r="A1" s="4" t="inlineStr">
        <is>
          <t>País (HDX)</t>
        </is>
      </c>
      <c r="B1" s="4" t="inlineStr">
        <is>
          <t>ISO3</t>
        </is>
      </c>
      <c r="C1" s="4" t="inlineStr">
        <is>
          <t>CPI 2011 datahub (0-10)</t>
        </is>
      </c>
      <c r="D1" s="4" t="inlineStr">
        <is>
          <t>CPI 2012 HDX (0-100)</t>
        </is>
      </c>
      <c r="E1" s="4" t="inlineStr"/>
      <c r="F1" s="4" t="inlineStr">
        <is>
          <t>Coeficientes del empalme</t>
        </is>
      </c>
      <c r="G1" s="4" t="inlineStr">
        <is>
          <t>Valor</t>
        </is>
      </c>
    </row>
    <row r="2">
      <c r="A2" s="8" t="inlineStr">
        <is>
          <t>Afghanistan</t>
        </is>
      </c>
      <c r="B2" s="8" t="inlineStr">
        <is>
          <t>AFG</t>
        </is>
      </c>
      <c r="C2" s="5" t="n">
        <v>1.517</v>
      </c>
      <c r="D2" s="5" t="n">
        <v>8</v>
      </c>
      <c r="F2" s="11" t="inlineStr">
        <is>
          <t>Intercepto (a)</t>
        </is>
      </c>
      <c r="G2" s="12">
        <f>INTERCEPT($D$2:$D$177,$C$2:$C$177)</f>
        <v/>
      </c>
    </row>
    <row r="3">
      <c r="A3" s="8" t="inlineStr">
        <is>
          <t>Albania</t>
        </is>
      </c>
      <c r="B3" s="8" t="inlineStr">
        <is>
          <t>ALB</t>
        </is>
      </c>
      <c r="C3" s="5" t="n">
        <v>3.053</v>
      </c>
      <c r="D3" s="5" t="n">
        <v>33</v>
      </c>
      <c r="F3" s="11" t="inlineStr">
        <is>
          <t>Pendiente (b)</t>
        </is>
      </c>
      <c r="G3" s="12">
        <f>SLOPE($D$2:$D$177,$C$2:$C$177)</f>
        <v/>
      </c>
    </row>
    <row r="4">
      <c r="A4" s="8" t="inlineStr">
        <is>
          <t>Algeria</t>
        </is>
      </c>
      <c r="B4" s="8" t="inlineStr">
        <is>
          <t>DZA</t>
        </is>
      </c>
      <c r="C4" s="5" t="n">
        <v>2.904</v>
      </c>
      <c r="D4" s="5" t="n">
        <v>34</v>
      </c>
      <c r="F4" s="11" t="inlineStr">
        <is>
          <t>R cuadrado</t>
        </is>
      </c>
      <c r="G4" s="12">
        <f>RSQ($D$2:$D$177,$C$2:$C$177)</f>
        <v/>
      </c>
    </row>
    <row r="5">
      <c r="A5" s="8" t="inlineStr">
        <is>
          <t>Angola</t>
        </is>
      </c>
      <c r="B5" s="8" t="inlineStr">
        <is>
          <t>AGO</t>
        </is>
      </c>
      <c r="C5" s="5" t="n">
        <v>2.005</v>
      </c>
      <c r="D5" s="5" t="n">
        <v>22</v>
      </c>
      <c r="F5" s="11" t="inlineStr">
        <is>
          <t>N países</t>
        </is>
      </c>
      <c r="G5" s="13">
        <f>COUNT($C$2:$C$177)</f>
        <v/>
      </c>
    </row>
    <row r="6">
      <c r="A6" s="8" t="inlineStr">
        <is>
          <t>Argentina</t>
        </is>
      </c>
      <c r="B6" s="8" t="inlineStr">
        <is>
          <t>ARG</t>
        </is>
      </c>
      <c r="C6" s="5" t="n">
        <v>2.996</v>
      </c>
      <c r="D6" s="5" t="n">
        <v>35</v>
      </c>
    </row>
    <row r="7">
      <c r="A7" s="8" t="inlineStr">
        <is>
          <t>Armenia</t>
        </is>
      </c>
      <c r="B7" s="8" t="inlineStr">
        <is>
          <t>ARM</t>
        </is>
      </c>
      <c r="C7" s="5" t="n">
        <v>2.629</v>
      </c>
      <c r="D7" s="5" t="n">
        <v>34</v>
      </c>
      <c r="F7" s="8" t="inlineStr">
        <is>
          <t>CPI empalmado (años &lt;= 2011) = a + b x CPI datahub (0-10). Desde 2012: CPI HDX sin cambios.</t>
        </is>
      </c>
    </row>
    <row r="8">
      <c r="A8" s="8" t="inlineStr">
        <is>
          <t>Australia</t>
        </is>
      </c>
      <c r="B8" s="8" t="inlineStr">
        <is>
          <t>AUS</t>
        </is>
      </c>
      <c r="C8" s="5" t="n">
        <v>8.843999999999999</v>
      </c>
      <c r="D8" s="5" t="n">
        <v>85</v>
      </c>
      <c r="F8" s="8" t="inlineStr">
        <is>
          <t>Supuesto: la corrupción percibida no cambió realmente entre 2011 y 2012; la diferencia se atribuye al cambio de metodología.</t>
        </is>
      </c>
    </row>
    <row r="9">
      <c r="A9" s="8" t="inlineStr">
        <is>
          <t>Austria</t>
        </is>
      </c>
      <c r="B9" s="8" t="inlineStr">
        <is>
          <t>AUT</t>
        </is>
      </c>
      <c r="C9" s="5" t="n">
        <v>7.787</v>
      </c>
      <c r="D9" s="5" t="n">
        <v>69</v>
      </c>
    </row>
    <row r="10">
      <c r="A10" s="8" t="inlineStr">
        <is>
          <t>Azerbaijan</t>
        </is>
      </c>
      <c r="B10" s="8" t="inlineStr">
        <is>
          <t>AZE</t>
        </is>
      </c>
      <c r="C10" s="5" t="n">
        <v>2.375</v>
      </c>
      <c r="D10" s="5" t="n">
        <v>27</v>
      </c>
    </row>
    <row r="11">
      <c r="A11" s="8" t="inlineStr">
        <is>
          <t>Bahamas</t>
        </is>
      </c>
      <c r="B11" s="8" t="inlineStr">
        <is>
          <t>BHS</t>
        </is>
      </c>
      <c r="C11" s="5" t="n">
        <v>7.289</v>
      </c>
      <c r="D11" s="5" t="n">
        <v>71</v>
      </c>
    </row>
    <row r="12">
      <c r="A12" s="8" t="inlineStr">
        <is>
          <t>Bahrain</t>
        </is>
      </c>
      <c r="B12" s="8" t="inlineStr">
        <is>
          <t>BHR</t>
        </is>
      </c>
      <c r="C12" s="5" t="n">
        <v>5.11</v>
      </c>
      <c r="D12" s="5" t="n">
        <v>51</v>
      </c>
    </row>
    <row r="13">
      <c r="A13" s="8" t="inlineStr">
        <is>
          <t>Bangladesh</t>
        </is>
      </c>
      <c r="B13" s="8" t="inlineStr">
        <is>
          <t>BGD</t>
        </is>
      </c>
      <c r="C13" s="5" t="n">
        <v>2.657</v>
      </c>
      <c r="D13" s="5" t="n">
        <v>26</v>
      </c>
    </row>
    <row r="14">
      <c r="A14" s="8" t="inlineStr">
        <is>
          <t>Barbados</t>
        </is>
      </c>
      <c r="B14" s="8" t="inlineStr">
        <is>
          <t>BRB</t>
        </is>
      </c>
      <c r="C14" s="5" t="n">
        <v>7.774</v>
      </c>
      <c r="D14" s="5" t="n">
        <v>76</v>
      </c>
    </row>
    <row r="15">
      <c r="A15" s="8" t="inlineStr">
        <is>
          <t>Belarus</t>
        </is>
      </c>
      <c r="B15" s="8" t="inlineStr">
        <is>
          <t>BLR</t>
        </is>
      </c>
      <c r="C15" s="5" t="n">
        <v>2.418</v>
      </c>
      <c r="D15" s="5" t="n">
        <v>31</v>
      </c>
    </row>
    <row r="16">
      <c r="A16" s="8" t="inlineStr">
        <is>
          <t>Belgium</t>
        </is>
      </c>
      <c r="B16" s="8" t="inlineStr">
        <is>
          <t>BEL</t>
        </is>
      </c>
      <c r="C16" s="5" t="n">
        <v>7.487</v>
      </c>
      <c r="D16" s="5" t="n">
        <v>75</v>
      </c>
    </row>
    <row r="17">
      <c r="A17" s="8" t="inlineStr">
        <is>
          <t>Benin</t>
        </is>
      </c>
      <c r="B17" s="8" t="inlineStr">
        <is>
          <t>BEN</t>
        </is>
      </c>
      <c r="C17" s="5" t="n">
        <v>2.97</v>
      </c>
      <c r="D17" s="5" t="n">
        <v>36</v>
      </c>
    </row>
    <row r="18">
      <c r="A18" s="8" t="inlineStr">
        <is>
          <t>Bhutan</t>
        </is>
      </c>
      <c r="B18" s="8" t="inlineStr">
        <is>
          <t>BTN</t>
        </is>
      </c>
      <c r="C18" s="5" t="n">
        <v>5.742</v>
      </c>
      <c r="D18" s="5" t="n">
        <v>63</v>
      </c>
    </row>
    <row r="19">
      <c r="A19" s="8" t="inlineStr">
        <is>
          <t>Bolivia</t>
        </is>
      </c>
      <c r="B19" s="8" t="inlineStr">
        <is>
          <t>BOL</t>
        </is>
      </c>
      <c r="C19" s="5" t="n">
        <v>2.763</v>
      </c>
      <c r="D19" s="5" t="n">
        <v>34</v>
      </c>
    </row>
    <row r="20">
      <c r="A20" s="8" t="inlineStr">
        <is>
          <t>Bosnia and Herzegovina</t>
        </is>
      </c>
      <c r="B20" s="8" t="inlineStr">
        <is>
          <t>BIH</t>
        </is>
      </c>
      <c r="C20" s="5" t="n">
        <v>3.207</v>
      </c>
      <c r="D20" s="5" t="n">
        <v>42</v>
      </c>
    </row>
    <row r="21">
      <c r="A21" s="8" t="inlineStr">
        <is>
          <t>Botswana</t>
        </is>
      </c>
      <c r="B21" s="8" t="inlineStr">
        <is>
          <t>BWA</t>
        </is>
      </c>
      <c r="C21" s="5" t="n">
        <v>6.078</v>
      </c>
      <c r="D21" s="5" t="n">
        <v>65</v>
      </c>
    </row>
    <row r="22">
      <c r="A22" s="8" t="inlineStr">
        <is>
          <t>Brazil</t>
        </is>
      </c>
      <c r="B22" s="8" t="inlineStr">
        <is>
          <t>BRA</t>
        </is>
      </c>
      <c r="C22" s="5" t="n">
        <v>3.774</v>
      </c>
      <c r="D22" s="5" t="n">
        <v>43</v>
      </c>
    </row>
    <row r="23">
      <c r="A23" s="8" t="inlineStr">
        <is>
          <t>Brunei Darussalam</t>
        </is>
      </c>
      <c r="B23" s="8" t="inlineStr">
        <is>
          <t>BRN</t>
        </is>
      </c>
      <c r="C23" s="5" t="n">
        <v>5.207</v>
      </c>
      <c r="D23" s="5" t="n">
        <v>55</v>
      </c>
    </row>
    <row r="24">
      <c r="A24" s="8" t="inlineStr">
        <is>
          <t>Bulgaria</t>
        </is>
      </c>
      <c r="B24" s="8" t="inlineStr">
        <is>
          <t>BGR</t>
        </is>
      </c>
      <c r="C24" s="5" t="n">
        <v>3.329</v>
      </c>
      <c r="D24" s="5" t="n">
        <v>41</v>
      </c>
    </row>
    <row r="25">
      <c r="A25" s="8" t="inlineStr">
        <is>
          <t>Burkina Faso</t>
        </is>
      </c>
      <c r="B25" s="8" t="inlineStr">
        <is>
          <t>BFA</t>
        </is>
      </c>
      <c r="C25" s="5" t="n">
        <v>3.046</v>
      </c>
      <c r="D25" s="5" t="n">
        <v>38</v>
      </c>
    </row>
    <row r="26">
      <c r="A26" s="8" t="inlineStr">
        <is>
          <t>Burundi</t>
        </is>
      </c>
      <c r="B26" s="8" t="inlineStr">
        <is>
          <t>BDI</t>
        </is>
      </c>
      <c r="C26" s="5" t="n">
        <v>1.935</v>
      </c>
      <c r="D26" s="5" t="n">
        <v>19</v>
      </c>
    </row>
    <row r="27">
      <c r="A27" s="8" t="inlineStr">
        <is>
          <t>Cabo Verde</t>
        </is>
      </c>
      <c r="B27" s="8" t="inlineStr">
        <is>
          <t>CPV</t>
        </is>
      </c>
      <c r="C27" s="5" t="n">
        <v>5.525</v>
      </c>
      <c r="D27" s="5" t="n">
        <v>60</v>
      </c>
    </row>
    <row r="28">
      <c r="A28" s="8" t="inlineStr">
        <is>
          <t>Cambodia</t>
        </is>
      </c>
      <c r="B28" s="8" t="inlineStr">
        <is>
          <t>KHM</t>
        </is>
      </c>
      <c r="C28" s="5" t="n">
        <v>2.111</v>
      </c>
      <c r="D28" s="5" t="n">
        <v>22</v>
      </c>
    </row>
    <row r="29">
      <c r="A29" s="8" t="inlineStr">
        <is>
          <t>Cameroon</t>
        </is>
      </c>
      <c r="B29" s="8" t="inlineStr">
        <is>
          <t>CMR</t>
        </is>
      </c>
      <c r="C29" s="5" t="n">
        <v>2.452</v>
      </c>
      <c r="D29" s="5" t="n">
        <v>26</v>
      </c>
    </row>
    <row r="30">
      <c r="A30" s="8" t="inlineStr">
        <is>
          <t>Canada</t>
        </is>
      </c>
      <c r="B30" s="8" t="inlineStr">
        <is>
          <t>CAN</t>
        </is>
      </c>
      <c r="C30" s="5" t="n">
        <v>8.672000000000001</v>
      </c>
      <c r="D30" s="5" t="n">
        <v>84</v>
      </c>
    </row>
    <row r="31">
      <c r="A31" s="8" t="inlineStr">
        <is>
          <t>Central African Republic</t>
        </is>
      </c>
      <c r="B31" s="8" t="inlineStr">
        <is>
          <t>CAF</t>
        </is>
      </c>
      <c r="C31" s="5" t="n">
        <v>2.21</v>
      </c>
      <c r="D31" s="5" t="n">
        <v>26</v>
      </c>
    </row>
    <row r="32">
      <c r="A32" s="8" t="inlineStr">
        <is>
          <t>Chad</t>
        </is>
      </c>
      <c r="B32" s="8" t="inlineStr">
        <is>
          <t>TCD</t>
        </is>
      </c>
      <c r="C32" s="5" t="n">
        <v>2.04</v>
      </c>
      <c r="D32" s="5" t="n">
        <v>19</v>
      </c>
    </row>
    <row r="33">
      <c r="A33" s="8" t="inlineStr">
        <is>
          <t>Chile</t>
        </is>
      </c>
      <c r="B33" s="8" t="inlineStr">
        <is>
          <t>CHL</t>
        </is>
      </c>
      <c r="C33" s="5" t="n">
        <v>7.214</v>
      </c>
      <c r="D33" s="5" t="n">
        <v>72</v>
      </c>
    </row>
    <row r="34">
      <c r="A34" s="8" t="inlineStr">
        <is>
          <t>China</t>
        </is>
      </c>
      <c r="B34" s="8" t="inlineStr">
        <is>
          <t>CHN</t>
        </is>
      </c>
      <c r="C34" s="5" t="n">
        <v>3.636</v>
      </c>
      <c r="D34" s="5" t="n">
        <v>39</v>
      </c>
    </row>
    <row r="35">
      <c r="A35" s="8" t="inlineStr">
        <is>
          <t>Colombia</t>
        </is>
      </c>
      <c r="B35" s="8" t="inlineStr">
        <is>
          <t>COL</t>
        </is>
      </c>
      <c r="C35" s="5" t="n">
        <v>3.447</v>
      </c>
      <c r="D35" s="5" t="n">
        <v>36</v>
      </c>
    </row>
    <row r="36">
      <c r="A36" s="8" t="inlineStr">
        <is>
          <t>Comoros</t>
        </is>
      </c>
      <c r="B36" s="8" t="inlineStr">
        <is>
          <t>COM</t>
        </is>
      </c>
      <c r="C36" s="5" t="n">
        <v>2.411</v>
      </c>
      <c r="D36" s="5" t="n">
        <v>28</v>
      </c>
    </row>
    <row r="37">
      <c r="A37" s="8" t="inlineStr">
        <is>
          <t>Congo</t>
        </is>
      </c>
      <c r="B37" s="8" t="inlineStr">
        <is>
          <t>COG</t>
        </is>
      </c>
      <c r="C37" s="5" t="n">
        <v>2.154</v>
      </c>
      <c r="D37" s="5" t="n">
        <v>26</v>
      </c>
    </row>
    <row r="38">
      <c r="A38" s="8" t="inlineStr">
        <is>
          <t>Costa Rica</t>
        </is>
      </c>
      <c r="B38" s="8" t="inlineStr">
        <is>
          <t>CRI</t>
        </is>
      </c>
      <c r="C38" s="5" t="n">
        <v>4.798</v>
      </c>
      <c r="D38" s="5" t="n">
        <v>54</v>
      </c>
    </row>
    <row r="39">
      <c r="A39" s="8" t="inlineStr">
        <is>
          <t>Croatia</t>
        </is>
      </c>
      <c r="B39" s="8" t="inlineStr">
        <is>
          <t>HRV</t>
        </is>
      </c>
      <c r="C39" s="5" t="n">
        <v>4.034</v>
      </c>
      <c r="D39" s="5" t="n">
        <v>46</v>
      </c>
    </row>
    <row r="40">
      <c r="A40" s="8" t="inlineStr">
        <is>
          <t>Cuba</t>
        </is>
      </c>
      <c r="B40" s="8" t="inlineStr">
        <is>
          <t>CUB</t>
        </is>
      </c>
      <c r="C40" s="5" t="n">
        <v>4.164</v>
      </c>
      <c r="D40" s="5" t="n">
        <v>48</v>
      </c>
    </row>
    <row r="41">
      <c r="A41" s="8" t="inlineStr">
        <is>
          <t>Cyprus</t>
        </is>
      </c>
      <c r="B41" s="8" t="inlineStr">
        <is>
          <t>CYP</t>
        </is>
      </c>
      <c r="C41" s="5" t="n">
        <v>6.266</v>
      </c>
      <c r="D41" s="5" t="n">
        <v>66</v>
      </c>
    </row>
    <row r="42">
      <c r="A42" s="8" t="inlineStr">
        <is>
          <t>Czechia</t>
        </is>
      </c>
      <c r="B42" s="8" t="inlineStr">
        <is>
          <t>CZE</t>
        </is>
      </c>
      <c r="C42" s="5" t="n">
        <v>4.368</v>
      </c>
      <c r="D42" s="5" t="n">
        <v>49</v>
      </c>
    </row>
    <row r="43">
      <c r="A43" s="8" t="inlineStr">
        <is>
          <t>Côte d'Ivoire</t>
        </is>
      </c>
      <c r="B43" s="8" t="inlineStr">
        <is>
          <t>CIV</t>
        </is>
      </c>
      <c r="C43" s="5" t="n">
        <v>2.234</v>
      </c>
      <c r="D43" s="5" t="n">
        <v>29</v>
      </c>
    </row>
    <row r="44">
      <c r="A44" s="8" t="inlineStr">
        <is>
          <t>Democratic Republic of the Congo</t>
        </is>
      </c>
      <c r="B44" s="8" t="inlineStr">
        <is>
          <t>COD</t>
        </is>
      </c>
      <c r="C44" s="5" t="n">
        <v>2.021</v>
      </c>
      <c r="D44" s="5" t="n">
        <v>21</v>
      </c>
    </row>
    <row r="45">
      <c r="A45" s="8" t="inlineStr">
        <is>
          <t>Denmark</t>
        </is>
      </c>
      <c r="B45" s="8" t="inlineStr">
        <is>
          <t>DNK</t>
        </is>
      </c>
      <c r="C45" s="5" t="n">
        <v>9.391999999999999</v>
      </c>
      <c r="D45" s="5" t="n">
        <v>90</v>
      </c>
    </row>
    <row r="46">
      <c r="A46" s="8" t="inlineStr">
        <is>
          <t>Djibouti</t>
        </is>
      </c>
      <c r="B46" s="8" t="inlineStr">
        <is>
          <t>DJI</t>
        </is>
      </c>
      <c r="C46" s="5" t="n">
        <v>2.981</v>
      </c>
      <c r="D46" s="5" t="n">
        <v>36</v>
      </c>
    </row>
    <row r="47">
      <c r="A47" s="8" t="inlineStr">
        <is>
          <t>Dominica</t>
        </is>
      </c>
      <c r="B47" s="8" t="inlineStr">
        <is>
          <t>DMA</t>
        </is>
      </c>
      <c r="C47" s="5" t="n">
        <v>5.175</v>
      </c>
      <c r="D47" s="5" t="n">
        <v>58</v>
      </c>
    </row>
    <row r="48">
      <c r="A48" s="8" t="inlineStr">
        <is>
          <t>Dominican Republic</t>
        </is>
      </c>
      <c r="B48" s="8" t="inlineStr">
        <is>
          <t>DOM</t>
        </is>
      </c>
      <c r="C48" s="5" t="n">
        <v>2.59</v>
      </c>
      <c r="D48" s="5" t="n">
        <v>32</v>
      </c>
    </row>
    <row r="49">
      <c r="A49" s="8" t="inlineStr">
        <is>
          <t>Ecuador</t>
        </is>
      </c>
      <c r="B49" s="8" t="inlineStr">
        <is>
          <t>ECU</t>
        </is>
      </c>
      <c r="C49" s="5" t="n">
        <v>2.65</v>
      </c>
      <c r="D49" s="5" t="n">
        <v>32</v>
      </c>
    </row>
    <row r="50">
      <c r="A50" s="8" t="inlineStr">
        <is>
          <t>Egypt</t>
        </is>
      </c>
      <c r="B50" s="8" t="inlineStr">
        <is>
          <t>EGY</t>
        </is>
      </c>
      <c r="C50" s="5" t="n">
        <v>2.862</v>
      </c>
      <c r="D50" s="5" t="n">
        <v>32</v>
      </c>
    </row>
    <row r="51">
      <c r="A51" s="8" t="inlineStr">
        <is>
          <t>El Salvador</t>
        </is>
      </c>
      <c r="B51" s="8" t="inlineStr">
        <is>
          <t>SLV</t>
        </is>
      </c>
      <c r="C51" s="5" t="n">
        <v>3.425</v>
      </c>
      <c r="D51" s="5" t="n">
        <v>38</v>
      </c>
    </row>
    <row r="52">
      <c r="A52" s="8" t="inlineStr">
        <is>
          <t>Equatorial Guinea</t>
        </is>
      </c>
      <c r="B52" s="8" t="inlineStr">
        <is>
          <t>GNQ</t>
        </is>
      </c>
      <c r="C52" s="5" t="n">
        <v>1.912</v>
      </c>
      <c r="D52" s="5" t="n">
        <v>20</v>
      </c>
    </row>
    <row r="53">
      <c r="A53" s="8" t="inlineStr">
        <is>
          <t>Eritrea</t>
        </is>
      </c>
      <c r="B53" s="8" t="inlineStr">
        <is>
          <t>ERI</t>
        </is>
      </c>
      <c r="C53" s="5" t="n">
        <v>2.476</v>
      </c>
      <c r="D53" s="5" t="n">
        <v>25</v>
      </c>
    </row>
    <row r="54">
      <c r="A54" s="8" t="inlineStr">
        <is>
          <t>Estonia</t>
        </is>
      </c>
      <c r="B54" s="8" t="inlineStr">
        <is>
          <t>EST</t>
        </is>
      </c>
      <c r="C54" s="5" t="n">
        <v>6.354</v>
      </c>
      <c r="D54" s="5" t="n">
        <v>64</v>
      </c>
    </row>
    <row r="55">
      <c r="A55" s="8" t="inlineStr">
        <is>
          <t>Eswatini</t>
        </is>
      </c>
      <c r="B55" s="8" t="inlineStr">
        <is>
          <t>SWZ</t>
        </is>
      </c>
      <c r="C55" s="5" t="n">
        <v>3.082</v>
      </c>
      <c r="D55" s="5" t="n">
        <v>37</v>
      </c>
    </row>
    <row r="56">
      <c r="A56" s="8" t="inlineStr">
        <is>
          <t>Ethiopia</t>
        </is>
      </c>
      <c r="B56" s="8" t="inlineStr">
        <is>
          <t>ETH</t>
        </is>
      </c>
      <c r="C56" s="5" t="n">
        <v>2.691</v>
      </c>
      <c r="D56" s="5" t="n">
        <v>33</v>
      </c>
    </row>
    <row r="57">
      <c r="A57" s="8" t="inlineStr">
        <is>
          <t>Finland</t>
        </is>
      </c>
      <c r="B57" s="8" t="inlineStr">
        <is>
          <t>FIN</t>
        </is>
      </c>
      <c r="C57" s="5" t="n">
        <v>9.404</v>
      </c>
      <c r="D57" s="5" t="n">
        <v>90</v>
      </c>
    </row>
    <row r="58">
      <c r="A58" s="8" t="inlineStr">
        <is>
          <t>France</t>
        </is>
      </c>
      <c r="B58" s="8" t="inlineStr">
        <is>
          <t>FRA</t>
        </is>
      </c>
      <c r="C58" s="5" t="n">
        <v>7.005</v>
      </c>
      <c r="D58" s="5" t="n">
        <v>71</v>
      </c>
    </row>
    <row r="59">
      <c r="A59" s="8" t="inlineStr">
        <is>
          <t>Gabon</t>
        </is>
      </c>
      <c r="B59" s="8" t="inlineStr">
        <is>
          <t>GAB</t>
        </is>
      </c>
      <c r="C59" s="5" t="n">
        <v>2.983</v>
      </c>
      <c r="D59" s="5" t="n">
        <v>35</v>
      </c>
    </row>
    <row r="60">
      <c r="A60" s="8" t="inlineStr">
        <is>
          <t>Gambia</t>
        </is>
      </c>
      <c r="B60" s="8" t="inlineStr">
        <is>
          <t>GMB</t>
        </is>
      </c>
      <c r="C60" s="5" t="n">
        <v>3.512</v>
      </c>
      <c r="D60" s="5" t="n">
        <v>34</v>
      </c>
    </row>
    <row r="61">
      <c r="A61" s="8" t="inlineStr">
        <is>
          <t>Georgia</t>
        </is>
      </c>
      <c r="B61" s="8" t="inlineStr">
        <is>
          <t>GEO</t>
        </is>
      </c>
      <c r="C61" s="5" t="n">
        <v>4.133</v>
      </c>
      <c r="D61" s="5" t="n">
        <v>52</v>
      </c>
    </row>
    <row r="62">
      <c r="A62" s="8" t="inlineStr">
        <is>
          <t>Germany</t>
        </is>
      </c>
      <c r="B62" s="8" t="inlineStr">
        <is>
          <t>DEU</t>
        </is>
      </c>
      <c r="C62" s="5" t="n">
        <v>8.045999999999999</v>
      </c>
      <c r="D62" s="5" t="n">
        <v>79</v>
      </c>
    </row>
    <row r="63">
      <c r="A63" s="8" t="inlineStr">
        <is>
          <t>Ghana</t>
        </is>
      </c>
      <c r="B63" s="8" t="inlineStr">
        <is>
          <t>GHA</t>
        </is>
      </c>
      <c r="C63" s="5" t="n">
        <v>3.851</v>
      </c>
      <c r="D63" s="5" t="n">
        <v>45</v>
      </c>
    </row>
    <row r="64">
      <c r="A64" s="8" t="inlineStr">
        <is>
          <t>Greece</t>
        </is>
      </c>
      <c r="B64" s="8" t="inlineStr">
        <is>
          <t>GRC</t>
        </is>
      </c>
      <c r="C64" s="5" t="n">
        <v>3.389</v>
      </c>
      <c r="D64" s="5" t="n">
        <v>36</v>
      </c>
    </row>
    <row r="65">
      <c r="A65" s="8" t="inlineStr">
        <is>
          <t>Guatemala</t>
        </is>
      </c>
      <c r="B65" s="8" t="inlineStr">
        <is>
          <t>GTM</t>
        </is>
      </c>
      <c r="C65" s="5" t="n">
        <v>2.728</v>
      </c>
      <c r="D65" s="5" t="n">
        <v>33</v>
      </c>
    </row>
    <row r="66">
      <c r="A66" s="8" t="inlineStr">
        <is>
          <t>Guinea</t>
        </is>
      </c>
      <c r="B66" s="8" t="inlineStr">
        <is>
          <t>GIN</t>
        </is>
      </c>
      <c r="C66" s="5" t="n">
        <v>2.11</v>
      </c>
      <c r="D66" s="5" t="n">
        <v>24</v>
      </c>
    </row>
    <row r="67">
      <c r="A67" s="8" t="inlineStr">
        <is>
          <t>Guinea-Bissau</t>
        </is>
      </c>
      <c r="B67" s="8" t="inlineStr">
        <is>
          <t>GNB</t>
        </is>
      </c>
      <c r="C67" s="5" t="n">
        <v>2.202</v>
      </c>
      <c r="D67" s="5" t="n">
        <v>25</v>
      </c>
    </row>
    <row r="68">
      <c r="A68" s="8" t="inlineStr">
        <is>
          <t>Guyana</t>
        </is>
      </c>
      <c r="B68" s="8" t="inlineStr">
        <is>
          <t>GUY</t>
        </is>
      </c>
      <c r="C68" s="5" t="n">
        <v>2.488</v>
      </c>
      <c r="D68" s="5" t="n">
        <v>28</v>
      </c>
    </row>
    <row r="69">
      <c r="A69" s="8" t="inlineStr">
        <is>
          <t>Haiti</t>
        </is>
      </c>
      <c r="B69" s="8" t="inlineStr">
        <is>
          <t>HTI</t>
        </is>
      </c>
      <c r="C69" s="5" t="n">
        <v>1.8</v>
      </c>
      <c r="D69" s="5" t="n">
        <v>19</v>
      </c>
    </row>
    <row r="70">
      <c r="A70" s="8" t="inlineStr">
        <is>
          <t>Honduras</t>
        </is>
      </c>
      <c r="B70" s="8" t="inlineStr">
        <is>
          <t>HND</t>
        </is>
      </c>
      <c r="C70" s="5" t="n">
        <v>2.592</v>
      </c>
      <c r="D70" s="5" t="n">
        <v>28</v>
      </c>
    </row>
    <row r="71">
      <c r="A71" s="8" t="inlineStr">
        <is>
          <t>Hong Kong</t>
        </is>
      </c>
      <c r="B71" s="8" t="inlineStr">
        <is>
          <t>HKG</t>
        </is>
      </c>
      <c r="C71" s="5" t="n">
        <v>8.390000000000001</v>
      </c>
      <c r="D71" s="5" t="n">
        <v>77</v>
      </c>
    </row>
    <row r="72">
      <c r="A72" s="8" t="inlineStr">
        <is>
          <t>Hungary</t>
        </is>
      </c>
      <c r="B72" s="8" t="inlineStr">
        <is>
          <t>HUN</t>
        </is>
      </c>
      <c r="C72" s="5" t="n">
        <v>4.555</v>
      </c>
      <c r="D72" s="5" t="n">
        <v>55</v>
      </c>
    </row>
    <row r="73">
      <c r="A73" s="8" t="inlineStr">
        <is>
          <t>Iceland</t>
        </is>
      </c>
      <c r="B73" s="8" t="inlineStr">
        <is>
          <t>ISL</t>
        </is>
      </c>
      <c r="C73" s="5" t="n">
        <v>8.273999999999999</v>
      </c>
      <c r="D73" s="5" t="n">
        <v>82</v>
      </c>
    </row>
    <row r="74">
      <c r="A74" s="8" t="inlineStr">
        <is>
          <t>India</t>
        </is>
      </c>
      <c r="B74" s="8" t="inlineStr">
        <is>
          <t>IND</t>
        </is>
      </c>
      <c r="C74" s="5" t="n">
        <v>3.099</v>
      </c>
      <c r="D74" s="5" t="n">
        <v>36</v>
      </c>
    </row>
    <row r="75">
      <c r="A75" s="8" t="inlineStr">
        <is>
          <t>Indonesia</t>
        </is>
      </c>
      <c r="B75" s="8" t="inlineStr">
        <is>
          <t>IDN</t>
        </is>
      </c>
      <c r="C75" s="5" t="n">
        <v>3.028</v>
      </c>
      <c r="D75" s="5" t="n">
        <v>32</v>
      </c>
    </row>
    <row r="76">
      <c r="A76" s="8" t="inlineStr">
        <is>
          <t>Iran</t>
        </is>
      </c>
      <c r="B76" s="8" t="inlineStr">
        <is>
          <t>IRN</t>
        </is>
      </c>
      <c r="C76" s="5" t="n">
        <v>2.72</v>
      </c>
      <c r="D76" s="5" t="n">
        <v>28</v>
      </c>
    </row>
    <row r="77">
      <c r="A77" s="8" t="inlineStr">
        <is>
          <t>Iraq</t>
        </is>
      </c>
      <c r="B77" s="8" t="inlineStr">
        <is>
          <t>IRQ</t>
        </is>
      </c>
      <c r="C77" s="5" t="n">
        <v>1.804</v>
      </c>
      <c r="D77" s="5" t="n">
        <v>18</v>
      </c>
    </row>
    <row r="78">
      <c r="A78" s="8" t="inlineStr">
        <is>
          <t>Ireland</t>
        </is>
      </c>
      <c r="B78" s="8" t="inlineStr">
        <is>
          <t>IRL</t>
        </is>
      </c>
      <c r="C78" s="5" t="n">
        <v>7.536</v>
      </c>
      <c r="D78" s="5" t="n">
        <v>69</v>
      </c>
    </row>
    <row r="79">
      <c r="A79" s="8" t="inlineStr">
        <is>
          <t>Israel</t>
        </is>
      </c>
      <c r="B79" s="8" t="inlineStr">
        <is>
          <t>ISR</t>
        </is>
      </c>
      <c r="C79" s="5" t="n">
        <v>5.807</v>
      </c>
      <c r="D79" s="5" t="n">
        <v>60</v>
      </c>
    </row>
    <row r="80">
      <c r="A80" s="8" t="inlineStr">
        <is>
          <t>Italy</t>
        </is>
      </c>
      <c r="B80" s="8" t="inlineStr">
        <is>
          <t>ITA</t>
        </is>
      </c>
      <c r="C80" s="5" t="n">
        <v>3.907</v>
      </c>
      <c r="D80" s="5" t="n">
        <v>42</v>
      </c>
    </row>
    <row r="81">
      <c r="A81" s="8" t="inlineStr">
        <is>
          <t>Jamaica</t>
        </is>
      </c>
      <c r="B81" s="8" t="inlineStr">
        <is>
          <t>JAM</t>
        </is>
      </c>
      <c r="C81" s="5" t="n">
        <v>3.341</v>
      </c>
      <c r="D81" s="5" t="n">
        <v>38</v>
      </c>
    </row>
    <row r="82">
      <c r="A82" s="8" t="inlineStr">
        <is>
          <t>Japan</t>
        </is>
      </c>
      <c r="B82" s="8" t="inlineStr">
        <is>
          <t>JPN</t>
        </is>
      </c>
      <c r="C82" s="5" t="n">
        <v>8.041</v>
      </c>
      <c r="D82" s="5" t="n">
        <v>74</v>
      </c>
    </row>
    <row r="83">
      <c r="A83" s="8" t="inlineStr">
        <is>
          <t>Jordan</t>
        </is>
      </c>
      <c r="B83" s="8" t="inlineStr">
        <is>
          <t>JOR</t>
        </is>
      </c>
      <c r="C83" s="5" t="n">
        <v>4.486</v>
      </c>
      <c r="D83" s="5" t="n">
        <v>48</v>
      </c>
    </row>
    <row r="84">
      <c r="A84" s="8" t="inlineStr">
        <is>
          <t>Kazakhstan</t>
        </is>
      </c>
      <c r="B84" s="8" t="inlineStr">
        <is>
          <t>KAZ</t>
        </is>
      </c>
      <c r="C84" s="5" t="n">
        <v>2.694</v>
      </c>
      <c r="D84" s="5" t="n">
        <v>28</v>
      </c>
    </row>
    <row r="85">
      <c r="A85" s="8" t="inlineStr">
        <is>
          <t>Kenya</t>
        </is>
      </c>
      <c r="B85" s="8" t="inlineStr">
        <is>
          <t>KEN</t>
        </is>
      </c>
      <c r="C85" s="5" t="n">
        <v>2.243</v>
      </c>
      <c r="D85" s="5" t="n">
        <v>27</v>
      </c>
    </row>
    <row r="86">
      <c r="A86" s="8" t="inlineStr">
        <is>
          <t>Kosovo</t>
        </is>
      </c>
      <c r="B86" s="8" t="inlineStr">
        <is>
          <t>KSV</t>
        </is>
      </c>
      <c r="C86" s="5" t="n">
        <v>2.851</v>
      </c>
      <c r="D86" s="5" t="n">
        <v>34</v>
      </c>
    </row>
    <row r="87">
      <c r="A87" s="8" t="inlineStr">
        <is>
          <t>Kuwait</t>
        </is>
      </c>
      <c r="B87" s="8" t="inlineStr">
        <is>
          <t>KWT</t>
        </is>
      </c>
      <c r="C87" s="5" t="n">
        <v>4.616</v>
      </c>
      <c r="D87" s="5" t="n">
        <v>44</v>
      </c>
    </row>
    <row r="88">
      <c r="A88" s="8" t="inlineStr">
        <is>
          <t>Kyrgyzstan</t>
        </is>
      </c>
      <c r="B88" s="8" t="inlineStr">
        <is>
          <t>KGZ</t>
        </is>
      </c>
      <c r="C88" s="5" t="n">
        <v>2.12</v>
      </c>
      <c r="D88" s="5" t="n">
        <v>24</v>
      </c>
    </row>
    <row r="89">
      <c r="A89" s="8" t="inlineStr">
        <is>
          <t>Laos</t>
        </is>
      </c>
      <c r="B89" s="8" t="inlineStr">
        <is>
          <t>LAO</t>
        </is>
      </c>
      <c r="C89" s="5" t="n">
        <v>2.214</v>
      </c>
      <c r="D89" s="5" t="n">
        <v>21</v>
      </c>
    </row>
    <row r="90">
      <c r="A90" s="8" t="inlineStr">
        <is>
          <t>Latvia</t>
        </is>
      </c>
      <c r="B90" s="8" t="inlineStr">
        <is>
          <t>LVA</t>
        </is>
      </c>
      <c r="C90" s="5" t="n">
        <v>4.194</v>
      </c>
      <c r="D90" s="5" t="n">
        <v>49</v>
      </c>
    </row>
    <row r="91">
      <c r="A91" s="8" t="inlineStr">
        <is>
          <t>Lebanon</t>
        </is>
      </c>
      <c r="B91" s="8" t="inlineStr">
        <is>
          <t>LBN</t>
        </is>
      </c>
      <c r="C91" s="5" t="n">
        <v>2.487</v>
      </c>
      <c r="D91" s="5" t="n">
        <v>30</v>
      </c>
    </row>
    <row r="92">
      <c r="A92" s="8" t="inlineStr">
        <is>
          <t>Lesotho</t>
        </is>
      </c>
      <c r="B92" s="8" t="inlineStr">
        <is>
          <t>LSO</t>
        </is>
      </c>
      <c r="C92" s="5" t="n">
        <v>3.516</v>
      </c>
      <c r="D92" s="5" t="n">
        <v>45</v>
      </c>
    </row>
    <row r="93">
      <c r="A93" s="8" t="inlineStr">
        <is>
          <t>Liberia</t>
        </is>
      </c>
      <c r="B93" s="8" t="inlineStr">
        <is>
          <t>LBR</t>
        </is>
      </c>
      <c r="C93" s="5" t="n">
        <v>3.189</v>
      </c>
      <c r="D93" s="5" t="n">
        <v>41</v>
      </c>
    </row>
    <row r="94">
      <c r="A94" s="8" t="inlineStr">
        <is>
          <t>Libya</t>
        </is>
      </c>
      <c r="B94" s="8" t="inlineStr">
        <is>
          <t>LBY</t>
        </is>
      </c>
      <c r="C94" s="5" t="n">
        <v>2.014</v>
      </c>
      <c r="D94" s="5" t="n">
        <v>21</v>
      </c>
    </row>
    <row r="95">
      <c r="A95" s="8" t="inlineStr">
        <is>
          <t>Lithuania</t>
        </is>
      </c>
      <c r="B95" s="8" t="inlineStr">
        <is>
          <t>LTU</t>
        </is>
      </c>
      <c r="C95" s="5" t="n">
        <v>4.752</v>
      </c>
      <c r="D95" s="5" t="n">
        <v>54</v>
      </c>
    </row>
    <row r="96">
      <c r="A96" s="8" t="inlineStr">
        <is>
          <t>Luxembourg</t>
        </is>
      </c>
      <c r="B96" s="8" t="inlineStr">
        <is>
          <t>LUX</t>
        </is>
      </c>
      <c r="C96" s="5" t="n">
        <v>8.507</v>
      </c>
      <c r="D96" s="5" t="n">
        <v>80</v>
      </c>
    </row>
    <row r="97">
      <c r="A97" s="8" t="inlineStr">
        <is>
          <t>Madagascar</t>
        </is>
      </c>
      <c r="B97" s="8" t="inlineStr">
        <is>
          <t>MDG</t>
        </is>
      </c>
      <c r="C97" s="5" t="n">
        <v>3.041</v>
      </c>
      <c r="D97" s="5" t="n">
        <v>32</v>
      </c>
    </row>
    <row r="98">
      <c r="A98" s="8" t="inlineStr">
        <is>
          <t>Malawi</t>
        </is>
      </c>
      <c r="B98" s="8" t="inlineStr">
        <is>
          <t>MWI</t>
        </is>
      </c>
      <c r="C98" s="5" t="n">
        <v>3.002</v>
      </c>
      <c r="D98" s="5" t="n">
        <v>37</v>
      </c>
    </row>
    <row r="99">
      <c r="A99" s="8" t="inlineStr">
        <is>
          <t>Malaysia</t>
        </is>
      </c>
      <c r="B99" s="8" t="inlineStr">
        <is>
          <t>MYS</t>
        </is>
      </c>
      <c r="C99" s="5" t="n">
        <v>4.307</v>
      </c>
      <c r="D99" s="5" t="n">
        <v>49</v>
      </c>
    </row>
    <row r="100">
      <c r="A100" s="8" t="inlineStr">
        <is>
          <t>Mali</t>
        </is>
      </c>
      <c r="B100" s="8" t="inlineStr">
        <is>
          <t>MLI</t>
        </is>
      </c>
      <c r="C100" s="5" t="n">
        <v>2.759</v>
      </c>
      <c r="D100" s="5" t="n">
        <v>34</v>
      </c>
    </row>
    <row r="101">
      <c r="A101" s="8" t="inlineStr">
        <is>
          <t>Malta</t>
        </is>
      </c>
      <c r="B101" s="8" t="inlineStr">
        <is>
          <t>MLT</t>
        </is>
      </c>
      <c r="C101" s="5" t="n">
        <v>5.592</v>
      </c>
      <c r="D101" s="5" t="n">
        <v>57</v>
      </c>
    </row>
    <row r="102">
      <c r="A102" s="8" t="inlineStr">
        <is>
          <t>Mauritania</t>
        </is>
      </c>
      <c r="B102" s="8" t="inlineStr">
        <is>
          <t>MRT</t>
        </is>
      </c>
      <c r="C102" s="5" t="n">
        <v>2.427</v>
      </c>
      <c r="D102" s="5" t="n">
        <v>31</v>
      </c>
    </row>
    <row r="103">
      <c r="A103" s="8" t="inlineStr">
        <is>
          <t>Mauritius</t>
        </is>
      </c>
      <c r="B103" s="8" t="inlineStr">
        <is>
          <t>MUS</t>
        </is>
      </c>
      <c r="C103" s="5" t="n">
        <v>5.067</v>
      </c>
      <c r="D103" s="5" t="n">
        <v>57</v>
      </c>
    </row>
    <row r="104">
      <c r="A104" s="8" t="inlineStr">
        <is>
          <t>Mexico</t>
        </is>
      </c>
      <c r="B104" s="8" t="inlineStr">
        <is>
          <t>MEX</t>
        </is>
      </c>
      <c r="C104" s="5" t="n">
        <v>2.971</v>
      </c>
      <c r="D104" s="5" t="n">
        <v>34</v>
      </c>
    </row>
    <row r="105">
      <c r="A105" s="8" t="inlineStr">
        <is>
          <t>Moldova</t>
        </is>
      </c>
      <c r="B105" s="8" t="inlineStr">
        <is>
          <t>MDA</t>
        </is>
      </c>
      <c r="C105" s="5" t="n">
        <v>2.879</v>
      </c>
      <c r="D105" s="5" t="n">
        <v>36</v>
      </c>
    </row>
    <row r="106">
      <c r="A106" s="8" t="inlineStr">
        <is>
          <t>Mongolia</t>
        </is>
      </c>
      <c r="B106" s="8" t="inlineStr">
        <is>
          <t>MNG</t>
        </is>
      </c>
      <c r="C106" s="5" t="n">
        <v>2.677</v>
      </c>
      <c r="D106" s="5" t="n">
        <v>36</v>
      </c>
    </row>
    <row r="107">
      <c r="A107" s="8" t="inlineStr">
        <is>
          <t>Montenegro</t>
        </is>
      </c>
      <c r="B107" s="8" t="inlineStr">
        <is>
          <t>MNE</t>
        </is>
      </c>
      <c r="C107" s="5" t="n">
        <v>3.97</v>
      </c>
      <c r="D107" s="5" t="n">
        <v>41</v>
      </c>
    </row>
    <row r="108">
      <c r="A108" s="8" t="inlineStr">
        <is>
          <t>Morocco</t>
        </is>
      </c>
      <c r="B108" s="8" t="inlineStr">
        <is>
          <t>MAR</t>
        </is>
      </c>
      <c r="C108" s="5" t="n">
        <v>3.443</v>
      </c>
      <c r="D108" s="5" t="n">
        <v>37</v>
      </c>
    </row>
    <row r="109">
      <c r="A109" s="8" t="inlineStr">
        <is>
          <t>Mozambique</t>
        </is>
      </c>
      <c r="B109" s="8" t="inlineStr">
        <is>
          <t>MOZ</t>
        </is>
      </c>
      <c r="C109" s="5" t="n">
        <v>2.688</v>
      </c>
      <c r="D109" s="5" t="n">
        <v>31</v>
      </c>
    </row>
    <row r="110">
      <c r="A110" s="8" t="inlineStr">
        <is>
          <t>Myanmar</t>
        </is>
      </c>
      <c r="B110" s="8" t="inlineStr">
        <is>
          <t>MMR</t>
        </is>
      </c>
      <c r="C110" s="5" t="n">
        <v>1.49</v>
      </c>
      <c r="D110" s="5" t="n">
        <v>15</v>
      </c>
    </row>
    <row r="111">
      <c r="A111" s="8" t="inlineStr">
        <is>
          <t>Namibia</t>
        </is>
      </c>
      <c r="B111" s="8" t="inlineStr">
        <is>
          <t>NAM</t>
        </is>
      </c>
      <c r="C111" s="5" t="n">
        <v>4.43</v>
      </c>
      <c r="D111" s="5" t="n">
        <v>48</v>
      </c>
    </row>
    <row r="112">
      <c r="A112" s="8" t="inlineStr">
        <is>
          <t>Nepal</t>
        </is>
      </c>
      <c r="B112" s="8" t="inlineStr">
        <is>
          <t>NPL</t>
        </is>
      </c>
      <c r="C112" s="5" t="n">
        <v>2.211</v>
      </c>
      <c r="D112" s="5" t="n">
        <v>27</v>
      </c>
    </row>
    <row r="113">
      <c r="A113" s="8" t="inlineStr">
        <is>
          <t>Netherlands</t>
        </is>
      </c>
      <c r="B113" s="8" t="inlineStr">
        <is>
          <t>NLD</t>
        </is>
      </c>
      <c r="C113" s="5" t="n">
        <v>8.894</v>
      </c>
      <c r="D113" s="5" t="n">
        <v>84</v>
      </c>
    </row>
    <row r="114">
      <c r="A114" s="8" t="inlineStr">
        <is>
          <t>New Zealand</t>
        </is>
      </c>
      <c r="B114" s="8" t="inlineStr">
        <is>
          <t>NZL</t>
        </is>
      </c>
      <c r="C114" s="5" t="n">
        <v>9.462999999999999</v>
      </c>
      <c r="D114" s="5" t="n">
        <v>90</v>
      </c>
    </row>
    <row r="115">
      <c r="A115" s="8" t="inlineStr">
        <is>
          <t>Nicaragua</t>
        </is>
      </c>
      <c r="B115" s="8" t="inlineStr">
        <is>
          <t>NIC</t>
        </is>
      </c>
      <c r="C115" s="5" t="n">
        <v>2.53</v>
      </c>
      <c r="D115" s="5" t="n">
        <v>29</v>
      </c>
    </row>
    <row r="116">
      <c r="A116" s="8" t="inlineStr">
        <is>
          <t>Niger</t>
        </is>
      </c>
      <c r="B116" s="8" t="inlineStr">
        <is>
          <t>NER</t>
        </is>
      </c>
      <c r="C116" s="5" t="n">
        <v>2.54</v>
      </c>
      <c r="D116" s="5" t="n">
        <v>33</v>
      </c>
    </row>
    <row r="117">
      <c r="A117" s="8" t="inlineStr">
        <is>
          <t>Nigeria</t>
        </is>
      </c>
      <c r="B117" s="8" t="inlineStr">
        <is>
          <t>NGA</t>
        </is>
      </c>
      <c r="C117" s="5" t="n">
        <v>2.449</v>
      </c>
      <c r="D117" s="5" t="n">
        <v>27</v>
      </c>
    </row>
    <row r="118">
      <c r="A118" s="8" t="inlineStr">
        <is>
          <t>North Korea</t>
        </is>
      </c>
      <c r="B118" s="8" t="inlineStr">
        <is>
          <t>PRK</t>
        </is>
      </c>
      <c r="C118" s="5" t="n">
        <v>1.01</v>
      </c>
      <c r="D118" s="5" t="n">
        <v>8</v>
      </c>
    </row>
    <row r="119">
      <c r="A119" s="8" t="inlineStr">
        <is>
          <t>North Macedonia</t>
        </is>
      </c>
      <c r="B119" s="8" t="inlineStr">
        <is>
          <t>MKD</t>
        </is>
      </c>
      <c r="C119" s="5" t="n">
        <v>3.943</v>
      </c>
      <c r="D119" s="5" t="n">
        <v>43</v>
      </c>
    </row>
    <row r="120">
      <c r="A120" s="8" t="inlineStr">
        <is>
          <t>Norway</t>
        </is>
      </c>
      <c r="B120" s="8" t="inlineStr">
        <is>
          <t>NOR</t>
        </is>
      </c>
      <c r="C120" s="5" t="n">
        <v>8.99</v>
      </c>
      <c r="D120" s="5" t="n">
        <v>85</v>
      </c>
    </row>
    <row r="121">
      <c r="A121" s="8" t="inlineStr">
        <is>
          <t>Oman</t>
        </is>
      </c>
      <c r="B121" s="8" t="inlineStr">
        <is>
          <t>OMN</t>
        </is>
      </c>
      <c r="C121" s="5" t="n">
        <v>4.835</v>
      </c>
      <c r="D121" s="5" t="n">
        <v>47</v>
      </c>
    </row>
    <row r="122">
      <c r="A122" s="8" t="inlineStr">
        <is>
          <t>Pakistan</t>
        </is>
      </c>
      <c r="B122" s="8" t="inlineStr">
        <is>
          <t>PAK</t>
        </is>
      </c>
      <c r="C122" s="5" t="n">
        <v>2.468</v>
      </c>
      <c r="D122" s="5" t="n">
        <v>27</v>
      </c>
    </row>
    <row r="123">
      <c r="A123" s="8" t="inlineStr">
        <is>
          <t>Panama</t>
        </is>
      </c>
      <c r="B123" s="8" t="inlineStr">
        <is>
          <t>PAN</t>
        </is>
      </c>
      <c r="C123" s="5" t="n">
        <v>3.266</v>
      </c>
      <c r="D123" s="5" t="n">
        <v>38</v>
      </c>
    </row>
    <row r="124">
      <c r="A124" s="8" t="inlineStr">
        <is>
          <t>Papua New Guinea</t>
        </is>
      </c>
      <c r="B124" s="8" t="inlineStr">
        <is>
          <t>PNG</t>
        </is>
      </c>
      <c r="C124" s="5" t="n">
        <v>2.165</v>
      </c>
      <c r="D124" s="5" t="n">
        <v>25</v>
      </c>
    </row>
    <row r="125">
      <c r="A125" s="8" t="inlineStr">
        <is>
          <t>Paraguay</t>
        </is>
      </c>
      <c r="B125" s="8" t="inlineStr">
        <is>
          <t>PRY</t>
        </is>
      </c>
      <c r="C125" s="5" t="n">
        <v>2.218</v>
      </c>
      <c r="D125" s="5" t="n">
        <v>25</v>
      </c>
    </row>
    <row r="126">
      <c r="A126" s="8" t="inlineStr">
        <is>
          <t>Peru</t>
        </is>
      </c>
      <c r="B126" s="8" t="inlineStr">
        <is>
          <t>PER</t>
        </is>
      </c>
      <c r="C126" s="5" t="n">
        <v>3.386</v>
      </c>
      <c r="D126" s="5" t="n">
        <v>38</v>
      </c>
    </row>
    <row r="127">
      <c r="A127" s="8" t="inlineStr">
        <is>
          <t>Philippines</t>
        </is>
      </c>
      <c r="B127" s="8" t="inlineStr">
        <is>
          <t>PHL</t>
        </is>
      </c>
      <c r="C127" s="5" t="n">
        <v>2.644</v>
      </c>
      <c r="D127" s="5" t="n">
        <v>34</v>
      </c>
    </row>
    <row r="128">
      <c r="A128" s="8" t="inlineStr">
        <is>
          <t>Poland</t>
        </is>
      </c>
      <c r="B128" s="8" t="inlineStr">
        <is>
          <t>POL</t>
        </is>
      </c>
      <c r="C128" s="5" t="n">
        <v>5.482</v>
      </c>
      <c r="D128" s="5" t="n">
        <v>58</v>
      </c>
    </row>
    <row r="129">
      <c r="A129" s="8" t="inlineStr">
        <is>
          <t>Portugal</t>
        </is>
      </c>
      <c r="B129" s="8" t="inlineStr">
        <is>
          <t>PRT</t>
        </is>
      </c>
      <c r="C129" s="5" t="n">
        <v>6.098</v>
      </c>
      <c r="D129" s="5" t="n">
        <v>63</v>
      </c>
    </row>
    <row r="130">
      <c r="A130" s="8" t="inlineStr">
        <is>
          <t>Puerto Rico</t>
        </is>
      </c>
      <c r="B130" s="8" t="inlineStr">
        <is>
          <t>PRI</t>
        </is>
      </c>
      <c r="C130" s="5" t="n">
        <v>5.587</v>
      </c>
      <c r="D130" s="5" t="n">
        <v>63</v>
      </c>
    </row>
    <row r="131">
      <c r="A131" s="8" t="inlineStr">
        <is>
          <t>Qatar</t>
        </is>
      </c>
      <c r="B131" s="8" t="inlineStr">
        <is>
          <t>QAT</t>
        </is>
      </c>
      <c r="C131" s="5" t="n">
        <v>7.155</v>
      </c>
      <c r="D131" s="5" t="n">
        <v>68</v>
      </c>
    </row>
    <row r="132">
      <c r="A132" s="8" t="inlineStr">
        <is>
          <t>Romania</t>
        </is>
      </c>
      <c r="B132" s="8" t="inlineStr">
        <is>
          <t>ROU</t>
        </is>
      </c>
      <c r="C132" s="5" t="n">
        <v>3.612</v>
      </c>
      <c r="D132" s="5" t="n">
        <v>44</v>
      </c>
    </row>
    <row r="133">
      <c r="A133" s="8" t="inlineStr">
        <is>
          <t>Russia</t>
        </is>
      </c>
      <c r="B133" s="8" t="inlineStr">
        <is>
          <t>RUS</t>
        </is>
      </c>
      <c r="C133" s="5" t="n">
        <v>2.449</v>
      </c>
      <c r="D133" s="5" t="n">
        <v>28</v>
      </c>
    </row>
    <row r="134">
      <c r="A134" s="8" t="inlineStr">
        <is>
          <t>Rwanda</t>
        </is>
      </c>
      <c r="B134" s="8" t="inlineStr">
        <is>
          <t>RWA</t>
        </is>
      </c>
      <c r="C134" s="5" t="n">
        <v>4.983</v>
      </c>
      <c r="D134" s="5" t="n">
        <v>53</v>
      </c>
    </row>
    <row r="135">
      <c r="A135" s="8" t="inlineStr">
        <is>
          <t>Saint Lucia</t>
        </is>
      </c>
      <c r="B135" s="8" t="inlineStr">
        <is>
          <t>LCA</t>
        </is>
      </c>
      <c r="C135" s="5" t="n">
        <v>7.018</v>
      </c>
      <c r="D135" s="5" t="n">
        <v>71</v>
      </c>
    </row>
    <row r="136">
      <c r="A136" s="8" t="inlineStr">
        <is>
          <t>Saint Vincent and the Grenadines</t>
        </is>
      </c>
      <c r="B136" s="8" t="inlineStr">
        <is>
          <t>VCT</t>
        </is>
      </c>
      <c r="C136" s="5" t="n">
        <v>5.761</v>
      </c>
      <c r="D136" s="5" t="n">
        <v>62</v>
      </c>
    </row>
    <row r="137">
      <c r="A137" s="8" t="inlineStr">
        <is>
          <t>Sao Tome and Principe</t>
        </is>
      </c>
      <c r="B137" s="8" t="inlineStr">
        <is>
          <t>STP</t>
        </is>
      </c>
      <c r="C137" s="5" t="n">
        <v>2.986</v>
      </c>
      <c r="D137" s="5" t="n">
        <v>42</v>
      </c>
    </row>
    <row r="138">
      <c r="A138" s="8" t="inlineStr">
        <is>
          <t>Saudi Arabia</t>
        </is>
      </c>
      <c r="B138" s="8" t="inlineStr">
        <is>
          <t>SAU</t>
        </is>
      </c>
      <c r="C138" s="5" t="n">
        <v>4.387</v>
      </c>
      <c r="D138" s="5" t="n">
        <v>44</v>
      </c>
    </row>
    <row r="139">
      <c r="A139" s="8" t="inlineStr">
        <is>
          <t>Senegal</t>
        </is>
      </c>
      <c r="B139" s="8" t="inlineStr">
        <is>
          <t>SEN</t>
        </is>
      </c>
      <c r="C139" s="5" t="n">
        <v>2.871</v>
      </c>
      <c r="D139" s="5" t="n">
        <v>36</v>
      </c>
    </row>
    <row r="140">
      <c r="A140" s="8" t="inlineStr">
        <is>
          <t>Serbia</t>
        </is>
      </c>
      <c r="B140" s="8" t="inlineStr">
        <is>
          <t>SRB</t>
        </is>
      </c>
      <c r="C140" s="5" t="n">
        <v>3.313</v>
      </c>
      <c r="D140" s="5" t="n">
        <v>39</v>
      </c>
    </row>
    <row r="141">
      <c r="A141" s="8" t="inlineStr">
        <is>
          <t>Seychelles</t>
        </is>
      </c>
      <c r="B141" s="8" t="inlineStr">
        <is>
          <t>SYC</t>
        </is>
      </c>
      <c r="C141" s="5" t="n">
        <v>4.822</v>
      </c>
      <c r="D141" s="5" t="n">
        <v>52</v>
      </c>
    </row>
    <row r="142">
      <c r="A142" s="8" t="inlineStr">
        <is>
          <t>Sierra Leone</t>
        </is>
      </c>
      <c r="B142" s="8" t="inlineStr">
        <is>
          <t>SLE</t>
        </is>
      </c>
      <c r="C142" s="5" t="n">
        <v>2.461</v>
      </c>
      <c r="D142" s="5" t="n">
        <v>31</v>
      </c>
    </row>
    <row r="143">
      <c r="A143" s="8" t="inlineStr">
        <is>
          <t>Singapore</t>
        </is>
      </c>
      <c r="B143" s="8" t="inlineStr">
        <is>
          <t>SGP</t>
        </is>
      </c>
      <c r="C143" s="5" t="n">
        <v>9.167</v>
      </c>
      <c r="D143" s="5" t="n">
        <v>87</v>
      </c>
    </row>
    <row r="144">
      <c r="A144" s="8" t="inlineStr">
        <is>
          <t>Slovakia</t>
        </is>
      </c>
      <c r="B144" s="8" t="inlineStr">
        <is>
          <t>SVK</t>
        </is>
      </c>
      <c r="C144" s="5" t="n">
        <v>3.972</v>
      </c>
      <c r="D144" s="5" t="n">
        <v>46</v>
      </c>
    </row>
    <row r="145">
      <c r="A145" s="8" t="inlineStr">
        <is>
          <t>Slovenia</t>
        </is>
      </c>
      <c r="B145" s="8" t="inlineStr">
        <is>
          <t>SVN</t>
        </is>
      </c>
      <c r="C145" s="5" t="n">
        <v>5.87</v>
      </c>
      <c r="D145" s="5" t="n">
        <v>61</v>
      </c>
    </row>
    <row r="146">
      <c r="A146" s="8" t="inlineStr">
        <is>
          <t>Somalia</t>
        </is>
      </c>
      <c r="B146" s="8" t="inlineStr">
        <is>
          <t>SOM</t>
        </is>
      </c>
      <c r="C146" s="5" t="n">
        <v>0.983</v>
      </c>
      <c r="D146" s="5" t="n">
        <v>8</v>
      </c>
    </row>
    <row r="147">
      <c r="A147" s="8" t="inlineStr">
        <is>
          <t>South Africa</t>
        </is>
      </c>
      <c r="B147" s="8" t="inlineStr">
        <is>
          <t>ZAF</t>
        </is>
      </c>
      <c r="C147" s="5" t="n">
        <v>4.08</v>
      </c>
      <c r="D147" s="5" t="n">
        <v>43</v>
      </c>
    </row>
    <row r="148">
      <c r="A148" s="8" t="inlineStr">
        <is>
          <t>South Korea</t>
        </is>
      </c>
      <c r="B148" s="8" t="inlineStr">
        <is>
          <t>KOR</t>
        </is>
      </c>
      <c r="C148" s="5" t="n">
        <v>5.356</v>
      </c>
      <c r="D148" s="5" t="n">
        <v>56</v>
      </c>
    </row>
    <row r="149">
      <c r="A149" s="8" t="inlineStr">
        <is>
          <t>Spain</t>
        </is>
      </c>
      <c r="B149" s="8" t="inlineStr">
        <is>
          <t>ESP</t>
        </is>
      </c>
      <c r="C149" s="5" t="n">
        <v>6.23</v>
      </c>
      <c r="D149" s="5" t="n">
        <v>65</v>
      </c>
    </row>
    <row r="150">
      <c r="A150" s="8" t="inlineStr">
        <is>
          <t>Sri Lanka</t>
        </is>
      </c>
      <c r="B150" s="8" t="inlineStr">
        <is>
          <t>LKA</t>
        </is>
      </c>
      <c r="C150" s="5" t="n">
        <v>3.295</v>
      </c>
      <c r="D150" s="5" t="n">
        <v>40</v>
      </c>
    </row>
    <row r="151">
      <c r="A151" s="8" t="inlineStr">
        <is>
          <t>Sudan</t>
        </is>
      </c>
      <c r="B151" s="8" t="inlineStr">
        <is>
          <t>SDN</t>
        </is>
      </c>
      <c r="C151" s="5" t="n">
        <v>1.564</v>
      </c>
      <c r="D151" s="5" t="n">
        <v>13</v>
      </c>
    </row>
    <row r="152">
      <c r="A152" s="8" t="inlineStr">
        <is>
          <t>Suriname</t>
        </is>
      </c>
      <c r="B152" s="8" t="inlineStr">
        <is>
          <t>SUR</t>
        </is>
      </c>
      <c r="C152" s="5" t="n">
        <v>3.029</v>
      </c>
      <c r="D152" s="5" t="n">
        <v>37</v>
      </c>
    </row>
    <row r="153">
      <c r="A153" s="8" t="inlineStr">
        <is>
          <t>Sweden</t>
        </is>
      </c>
      <c r="B153" s="8" t="inlineStr">
        <is>
          <t>SWE</t>
        </is>
      </c>
      <c r="C153" s="5" t="n">
        <v>9.298</v>
      </c>
      <c r="D153" s="5" t="n">
        <v>88</v>
      </c>
    </row>
    <row r="154">
      <c r="A154" s="8" t="inlineStr">
        <is>
          <t>Switzerland</t>
        </is>
      </c>
      <c r="B154" s="8" t="inlineStr">
        <is>
          <t>CHE</t>
        </is>
      </c>
      <c r="C154" s="5" t="n">
        <v>8.802</v>
      </c>
      <c r="D154" s="5" t="n">
        <v>86</v>
      </c>
    </row>
    <row r="155">
      <c r="A155" s="8" t="inlineStr">
        <is>
          <t>Syria</t>
        </is>
      </c>
      <c r="B155" s="8" t="inlineStr">
        <is>
          <t>SYR</t>
        </is>
      </c>
      <c r="C155" s="5" t="n">
        <v>2.558</v>
      </c>
      <c r="D155" s="5" t="n">
        <v>26</v>
      </c>
    </row>
    <row r="156">
      <c r="A156" s="8" t="inlineStr">
        <is>
          <t>Taiwan</t>
        </is>
      </c>
      <c r="B156" s="8" t="inlineStr">
        <is>
          <t>TWN</t>
        </is>
      </c>
      <c r="C156" s="5" t="n">
        <v>6.136</v>
      </c>
      <c r="D156" s="5" t="n">
        <v>61</v>
      </c>
    </row>
    <row r="157">
      <c r="A157" s="8" t="inlineStr">
        <is>
          <t>Tajikistan</t>
        </is>
      </c>
      <c r="B157" s="8" t="inlineStr">
        <is>
          <t>TJK</t>
        </is>
      </c>
      <c r="C157" s="5" t="n">
        <v>2.272</v>
      </c>
      <c r="D157" s="5" t="n">
        <v>22</v>
      </c>
    </row>
    <row r="158">
      <c r="A158" s="8" t="inlineStr">
        <is>
          <t>Tanzania</t>
        </is>
      </c>
      <c r="B158" s="8" t="inlineStr">
        <is>
          <t>TZA</t>
        </is>
      </c>
      <c r="C158" s="5" t="n">
        <v>2.951</v>
      </c>
      <c r="D158" s="5" t="n">
        <v>35</v>
      </c>
    </row>
    <row r="159">
      <c r="A159" s="8" t="inlineStr">
        <is>
          <t>Thailand</t>
        </is>
      </c>
      <c r="B159" s="8" t="inlineStr">
        <is>
          <t>THA</t>
        </is>
      </c>
      <c r="C159" s="5" t="n">
        <v>3.381</v>
      </c>
      <c r="D159" s="5" t="n">
        <v>37</v>
      </c>
    </row>
    <row r="160">
      <c r="A160" s="8" t="inlineStr">
        <is>
          <t>Timor-Leste</t>
        </is>
      </c>
      <c r="B160" s="8" t="inlineStr">
        <is>
          <t>TLS</t>
        </is>
      </c>
      <c r="C160" s="5" t="n">
        <v>2.376</v>
      </c>
      <c r="D160" s="5" t="n">
        <v>33</v>
      </c>
    </row>
    <row r="161">
      <c r="A161" s="8" t="inlineStr">
        <is>
          <t>Togo</t>
        </is>
      </c>
      <c r="B161" s="8" t="inlineStr">
        <is>
          <t>TGO</t>
        </is>
      </c>
      <c r="C161" s="5" t="n">
        <v>2.382</v>
      </c>
      <c r="D161" s="5" t="n">
        <v>30</v>
      </c>
    </row>
    <row r="162">
      <c r="A162" s="8" t="inlineStr">
        <is>
          <t>Trinidad and Tobago</t>
        </is>
      </c>
      <c r="B162" s="8" t="inlineStr">
        <is>
          <t>TTO</t>
        </is>
      </c>
      <c r="C162" s="5" t="n">
        <v>3.17</v>
      </c>
      <c r="D162" s="5" t="n">
        <v>39</v>
      </c>
    </row>
    <row r="163">
      <c r="A163" s="8" t="inlineStr">
        <is>
          <t>Tunisia</t>
        </is>
      </c>
      <c r="B163" s="8" t="inlineStr">
        <is>
          <t>TUN</t>
        </is>
      </c>
      <c r="C163" s="5" t="n">
        <v>3.759</v>
      </c>
      <c r="D163" s="5" t="n">
        <v>41</v>
      </c>
    </row>
    <row r="164">
      <c r="A164" s="8" t="inlineStr">
        <is>
          <t>Turkey</t>
        </is>
      </c>
      <c r="B164" s="8" t="inlineStr">
        <is>
          <t>TUR</t>
        </is>
      </c>
      <c r="C164" s="5" t="n">
        <v>4.207</v>
      </c>
      <c r="D164" s="5" t="n">
        <v>49</v>
      </c>
    </row>
    <row r="165">
      <c r="A165" s="8" t="inlineStr">
        <is>
          <t>Turkmenistan</t>
        </is>
      </c>
      <c r="B165" s="8" t="inlineStr">
        <is>
          <t>TKM</t>
        </is>
      </c>
      <c r="C165" s="5" t="n">
        <v>1.603</v>
      </c>
      <c r="D165" s="5" t="n">
        <v>17</v>
      </c>
    </row>
    <row r="166">
      <c r="A166" s="8" t="inlineStr">
        <is>
          <t>Uganda</t>
        </is>
      </c>
      <c r="B166" s="8" t="inlineStr">
        <is>
          <t>UGA</t>
        </is>
      </c>
      <c r="C166" s="5" t="n">
        <v>2.434</v>
      </c>
      <c r="D166" s="5" t="n">
        <v>29</v>
      </c>
    </row>
    <row r="167">
      <c r="A167" s="8" t="inlineStr">
        <is>
          <t>Ukraine</t>
        </is>
      </c>
      <c r="B167" s="8" t="inlineStr">
        <is>
          <t>UKR</t>
        </is>
      </c>
      <c r="C167" s="5" t="n">
        <v>2.297</v>
      </c>
      <c r="D167" s="5" t="n">
        <v>26</v>
      </c>
    </row>
    <row r="168">
      <c r="A168" s="8" t="inlineStr">
        <is>
          <t>United Arab Emirates</t>
        </is>
      </c>
      <c r="B168" s="8" t="inlineStr">
        <is>
          <t>ARE</t>
        </is>
      </c>
      <c r="C168" s="5" t="n">
        <v>6.823</v>
      </c>
      <c r="D168" s="5" t="n">
        <v>68</v>
      </c>
    </row>
    <row r="169">
      <c r="A169" s="8" t="inlineStr">
        <is>
          <t>United Kingdom</t>
        </is>
      </c>
      <c r="B169" s="8" t="inlineStr">
        <is>
          <t>GBR</t>
        </is>
      </c>
      <c r="C169" s="5" t="n">
        <v>7.775</v>
      </c>
      <c r="D169" s="5" t="n">
        <v>74</v>
      </c>
    </row>
    <row r="170">
      <c r="A170" s="8" t="inlineStr">
        <is>
          <t>United States of America</t>
        </is>
      </c>
      <c r="B170" s="8" t="inlineStr">
        <is>
          <t>USA</t>
        </is>
      </c>
      <c r="C170" s="5" t="n">
        <v>7.136</v>
      </c>
      <c r="D170" s="5" t="n">
        <v>73</v>
      </c>
    </row>
    <row r="171">
      <c r="A171" s="8" t="inlineStr">
        <is>
          <t>Uruguay</t>
        </is>
      </c>
      <c r="B171" s="8" t="inlineStr">
        <is>
          <t>URY</t>
        </is>
      </c>
      <c r="C171" s="5" t="n">
        <v>7.044</v>
      </c>
      <c r="D171" s="5" t="n">
        <v>72</v>
      </c>
    </row>
    <row r="172">
      <c r="A172" s="8" t="inlineStr">
        <is>
          <t>Uzbekistan</t>
        </is>
      </c>
      <c r="B172" s="8" t="inlineStr">
        <is>
          <t>UZB</t>
        </is>
      </c>
      <c r="C172" s="5" t="n">
        <v>1.625</v>
      </c>
      <c r="D172" s="5" t="n">
        <v>17</v>
      </c>
    </row>
    <row r="173">
      <c r="A173" s="8" t="inlineStr">
        <is>
          <t>Venezuela</t>
        </is>
      </c>
      <c r="B173" s="8" t="inlineStr">
        <is>
          <t>VEN</t>
        </is>
      </c>
      <c r="C173" s="5" t="n">
        <v>1.889</v>
      </c>
      <c r="D173" s="5" t="n">
        <v>19</v>
      </c>
    </row>
    <row r="174">
      <c r="A174" s="8" t="inlineStr">
        <is>
          <t>Vietnam</t>
        </is>
      </c>
      <c r="B174" s="8" t="inlineStr">
        <is>
          <t>VNM</t>
        </is>
      </c>
      <c r="C174" s="5" t="n">
        <v>2.864</v>
      </c>
      <c r="D174" s="5" t="n">
        <v>31</v>
      </c>
    </row>
    <row r="175">
      <c r="A175" s="8" t="inlineStr">
        <is>
          <t>Yemen</t>
        </is>
      </c>
      <c r="B175" s="8" t="inlineStr">
        <is>
          <t>YEM</t>
        </is>
      </c>
      <c r="C175" s="5" t="n">
        <v>2.08</v>
      </c>
      <c r="D175" s="5" t="n">
        <v>23</v>
      </c>
    </row>
    <row r="176">
      <c r="A176" s="8" t="inlineStr">
        <is>
          <t>Zambia</t>
        </is>
      </c>
      <c r="B176" s="8" t="inlineStr">
        <is>
          <t>ZMB</t>
        </is>
      </c>
      <c r="C176" s="5" t="n">
        <v>3.195</v>
      </c>
      <c r="D176" s="5" t="n">
        <v>37</v>
      </c>
    </row>
    <row r="177">
      <c r="A177" s="8" t="inlineStr">
        <is>
          <t>Zimbabwe</t>
        </is>
      </c>
      <c r="B177" s="8" t="inlineStr">
        <is>
          <t>ZWE</t>
        </is>
      </c>
      <c r="C177" s="5" t="n">
        <v>2.23</v>
      </c>
      <c r="D177" s="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 ht="42" customHeight="1">
      <c r="A1" s="4" t="inlineStr">
        <is>
          <t>País</t>
        </is>
      </c>
      <c r="B1" s="4" t="inlineStr">
        <is>
          <t>Año</t>
        </is>
      </c>
      <c r="C1" s="4" t="inlineStr">
        <is>
          <t>CPI datahub (0-10, hasta 2011)</t>
        </is>
      </c>
      <c r="D1" s="4" t="inlineStr">
        <is>
          <t>CPI global HDX (0-100, desde 2012)</t>
        </is>
      </c>
      <c r="E1" s="4" t="inlineStr">
        <is>
          <t>CPI escala 0-10 (empalmado)</t>
        </is>
      </c>
      <c r="F1" s="4" t="inlineStr">
        <is>
          <t>CPI 0-100 (solo desde 2012)</t>
        </is>
      </c>
      <c r="G1" s="4" t="inlineStr">
        <is>
          <t>CPI 0-100 empalmado por regresión</t>
        </is>
      </c>
      <c r="H1" s="4" t="inlineStr">
        <is>
          <t>Clave</t>
        </is>
      </c>
    </row>
    <row r="2">
      <c r="A2" s="8" t="inlineStr">
        <is>
          <t>Argentina</t>
        </is>
      </c>
      <c r="B2" s="8" t="n">
        <v>1995</v>
      </c>
      <c r="C2" s="14" t="n">
        <v>5.24</v>
      </c>
      <c r="D2" s="15" t="n"/>
      <c r="E2" s="16">
        <f>IF(B2&lt;=2011,IF(C2="","",C2),IF(D2="","",D2/10))</f>
        <v/>
      </c>
      <c r="F2" s="13">
        <f>IF(OR(B2&lt;=2011,D2=""),"",D2)</f>
        <v/>
      </c>
      <c r="G2" s="17">
        <f>IF(B2&lt;=2011,IF(C2="","",Puente_CPI!$G$2+Puente_CPI!$G$3*C2),IF(D2="","",D2))</f>
        <v/>
      </c>
      <c r="H2" s="8">
        <f>A2&amp;"|"&amp;B2</f>
        <v/>
      </c>
    </row>
    <row r="3">
      <c r="A3" s="8" t="inlineStr">
        <is>
          <t>Argentina</t>
        </is>
      </c>
      <c r="B3" s="8" t="n">
        <v>1996</v>
      </c>
      <c r="C3" s="14" t="n">
        <v>3.41</v>
      </c>
      <c r="D3" s="15" t="n"/>
      <c r="E3" s="16">
        <f>IF(B3&lt;=2011,IF(C3="","",C3),IF(D3="","",D3/10))</f>
        <v/>
      </c>
      <c r="F3" s="13">
        <f>IF(OR(B3&lt;=2011,D3=""),"",D3)</f>
        <v/>
      </c>
      <c r="G3" s="17">
        <f>IF(B3&lt;=2011,IF(C3="","",Puente_CPI!$G$2+Puente_CPI!$G$3*C3),IF(D3="","",D3))</f>
        <v/>
      </c>
      <c r="H3" s="8">
        <f>A3&amp;"|"&amp;B3</f>
        <v/>
      </c>
    </row>
    <row r="4">
      <c r="A4" s="8" t="inlineStr">
        <is>
          <t>Argentina</t>
        </is>
      </c>
      <c r="B4" s="8" t="n">
        <v>1997</v>
      </c>
      <c r="C4" s="14" t="n">
        <v>2.81</v>
      </c>
      <c r="D4" s="15" t="n"/>
      <c r="E4" s="16">
        <f>IF(B4&lt;=2011,IF(C4="","",C4),IF(D4="","",D4/10))</f>
        <v/>
      </c>
      <c r="F4" s="13">
        <f>IF(OR(B4&lt;=2011,D4=""),"",D4)</f>
        <v/>
      </c>
      <c r="G4" s="17">
        <f>IF(B4&lt;=2011,IF(C4="","",Puente_CPI!$G$2+Puente_CPI!$G$3*C4),IF(D4="","",D4))</f>
        <v/>
      </c>
      <c r="H4" s="8">
        <f>A4&amp;"|"&amp;B4</f>
        <v/>
      </c>
    </row>
    <row r="5">
      <c r="A5" s="8" t="inlineStr">
        <is>
          <t>Argentina</t>
        </is>
      </c>
      <c r="B5" s="8" t="n">
        <v>1998</v>
      </c>
      <c r="C5" s="14" t="n">
        <v>3</v>
      </c>
      <c r="D5" s="15" t="n"/>
      <c r="E5" s="16">
        <f>IF(B5&lt;=2011,IF(C5="","",C5),IF(D5="","",D5/10))</f>
        <v/>
      </c>
      <c r="F5" s="13">
        <f>IF(OR(B5&lt;=2011,D5=""),"",D5)</f>
        <v/>
      </c>
      <c r="G5" s="17">
        <f>IF(B5&lt;=2011,IF(C5="","",Puente_CPI!$G$2+Puente_CPI!$G$3*C5),IF(D5="","",D5))</f>
        <v/>
      </c>
      <c r="H5" s="8">
        <f>A5&amp;"|"&amp;B5</f>
        <v/>
      </c>
    </row>
    <row r="6">
      <c r="A6" s="8" t="inlineStr">
        <is>
          <t>Argentina</t>
        </is>
      </c>
      <c r="B6" s="8" t="n">
        <v>2000</v>
      </c>
      <c r="C6" s="14" t="n">
        <v>3.5</v>
      </c>
      <c r="D6" s="15" t="n"/>
      <c r="E6" s="16">
        <f>IF(B6&lt;=2011,IF(C6="","",C6),IF(D6="","",D6/10))</f>
        <v/>
      </c>
      <c r="F6" s="13">
        <f>IF(OR(B6&lt;=2011,D6=""),"",D6)</f>
        <v/>
      </c>
      <c r="G6" s="17">
        <f>IF(B6&lt;=2011,IF(C6="","",Puente_CPI!$G$2+Puente_CPI!$G$3*C6),IF(D6="","",D6))</f>
        <v/>
      </c>
      <c r="H6" s="8">
        <f>A6&amp;"|"&amp;B6</f>
        <v/>
      </c>
    </row>
    <row r="7">
      <c r="A7" s="8" t="inlineStr">
        <is>
          <t>Argentina</t>
        </is>
      </c>
      <c r="B7" s="8" t="n">
        <v>2001</v>
      </c>
      <c r="C7" s="14" t="n">
        <v>3.5</v>
      </c>
      <c r="D7" s="15" t="n"/>
      <c r="E7" s="16">
        <f>IF(B7&lt;=2011,IF(C7="","",C7),IF(D7="","",D7/10))</f>
        <v/>
      </c>
      <c r="F7" s="13">
        <f>IF(OR(B7&lt;=2011,D7=""),"",D7)</f>
        <v/>
      </c>
      <c r="G7" s="17">
        <f>IF(B7&lt;=2011,IF(C7="","",Puente_CPI!$G$2+Puente_CPI!$G$3*C7),IF(D7="","",D7))</f>
        <v/>
      </c>
      <c r="H7" s="8">
        <f>A7&amp;"|"&amp;B7</f>
        <v/>
      </c>
    </row>
    <row r="8">
      <c r="A8" s="8" t="inlineStr">
        <is>
          <t>Argentina</t>
        </is>
      </c>
      <c r="B8" s="8" t="n">
        <v>2002</v>
      </c>
      <c r="C8" s="14" t="n">
        <v>2.8</v>
      </c>
      <c r="D8" s="15" t="n"/>
      <c r="E8" s="16">
        <f>IF(B8&lt;=2011,IF(C8="","",C8),IF(D8="","",D8/10))</f>
        <v/>
      </c>
      <c r="F8" s="13">
        <f>IF(OR(B8&lt;=2011,D8=""),"",D8)</f>
        <v/>
      </c>
      <c r="G8" s="17">
        <f>IF(B8&lt;=2011,IF(C8="","",Puente_CPI!$G$2+Puente_CPI!$G$3*C8),IF(D8="","",D8))</f>
        <v/>
      </c>
      <c r="H8" s="8">
        <f>A8&amp;"|"&amp;B8</f>
        <v/>
      </c>
    </row>
    <row r="9">
      <c r="A9" s="8" t="inlineStr">
        <is>
          <t>Argentina</t>
        </is>
      </c>
      <c r="B9" s="8" t="n">
        <v>2003</v>
      </c>
      <c r="C9" s="14" t="n">
        <v>2.5</v>
      </c>
      <c r="D9" s="15" t="n"/>
      <c r="E9" s="16">
        <f>IF(B9&lt;=2011,IF(C9="","",C9),IF(D9="","",D9/10))</f>
        <v/>
      </c>
      <c r="F9" s="13">
        <f>IF(OR(B9&lt;=2011,D9=""),"",D9)</f>
        <v/>
      </c>
      <c r="G9" s="17">
        <f>IF(B9&lt;=2011,IF(C9="","",Puente_CPI!$G$2+Puente_CPI!$G$3*C9),IF(D9="","",D9))</f>
        <v/>
      </c>
      <c r="H9" s="8">
        <f>A9&amp;"|"&amp;B9</f>
        <v/>
      </c>
    </row>
    <row r="10">
      <c r="A10" s="8" t="inlineStr">
        <is>
          <t>Argentina</t>
        </is>
      </c>
      <c r="B10" s="8" t="n">
        <v>2004</v>
      </c>
      <c r="C10" s="14" t="n">
        <v>2.5</v>
      </c>
      <c r="D10" s="15" t="n"/>
      <c r="E10" s="16">
        <f>IF(B10&lt;=2011,IF(C10="","",C10),IF(D10="","",D10/10))</f>
        <v/>
      </c>
      <c r="F10" s="13">
        <f>IF(OR(B10&lt;=2011,D10=""),"",D10)</f>
        <v/>
      </c>
      <c r="G10" s="17">
        <f>IF(B10&lt;=2011,IF(C10="","",Puente_CPI!$G$2+Puente_CPI!$G$3*C10),IF(D10="","",D10))</f>
        <v/>
      </c>
      <c r="H10" s="8">
        <f>A10&amp;"|"&amp;B10</f>
        <v/>
      </c>
    </row>
    <row r="11">
      <c r="A11" s="8" t="inlineStr">
        <is>
          <t>Argentina</t>
        </is>
      </c>
      <c r="B11" s="8" t="n">
        <v>2005</v>
      </c>
      <c r="C11" s="14" t="n">
        <v>2.8</v>
      </c>
      <c r="D11" s="15" t="n"/>
      <c r="E11" s="16">
        <f>IF(B11&lt;=2011,IF(C11="","",C11),IF(D11="","",D11/10))</f>
        <v/>
      </c>
      <c r="F11" s="13">
        <f>IF(OR(B11&lt;=2011,D11=""),"",D11)</f>
        <v/>
      </c>
      <c r="G11" s="17">
        <f>IF(B11&lt;=2011,IF(C11="","",Puente_CPI!$G$2+Puente_CPI!$G$3*C11),IF(D11="","",D11))</f>
        <v/>
      </c>
      <c r="H11" s="8">
        <f>A11&amp;"|"&amp;B11</f>
        <v/>
      </c>
    </row>
    <row r="12">
      <c r="A12" s="8" t="inlineStr">
        <is>
          <t>Argentina</t>
        </is>
      </c>
      <c r="B12" s="8" t="n">
        <v>2006</v>
      </c>
      <c r="C12" s="14" t="n">
        <v>2.9</v>
      </c>
      <c r="D12" s="15" t="n"/>
      <c r="E12" s="16">
        <f>IF(B12&lt;=2011,IF(C12="","",C12),IF(D12="","",D12/10))</f>
        <v/>
      </c>
      <c r="F12" s="13">
        <f>IF(OR(B12&lt;=2011,D12=""),"",D12)</f>
        <v/>
      </c>
      <c r="G12" s="17">
        <f>IF(B12&lt;=2011,IF(C12="","",Puente_CPI!$G$2+Puente_CPI!$G$3*C12),IF(D12="","",D12))</f>
        <v/>
      </c>
      <c r="H12" s="8">
        <f>A12&amp;"|"&amp;B12</f>
        <v/>
      </c>
    </row>
    <row r="13">
      <c r="A13" s="8" t="inlineStr">
        <is>
          <t>Argentina</t>
        </is>
      </c>
      <c r="B13" s="8" t="n">
        <v>2007</v>
      </c>
      <c r="C13" s="14" t="n">
        <v>2.9</v>
      </c>
      <c r="D13" s="15" t="n"/>
      <c r="E13" s="16">
        <f>IF(B13&lt;=2011,IF(C13="","",C13),IF(D13="","",D13/10))</f>
        <v/>
      </c>
      <c r="F13" s="13">
        <f>IF(OR(B13&lt;=2011,D13=""),"",D13)</f>
        <v/>
      </c>
      <c r="G13" s="17">
        <f>IF(B13&lt;=2011,IF(C13="","",Puente_CPI!$G$2+Puente_CPI!$G$3*C13),IF(D13="","",D13))</f>
        <v/>
      </c>
      <c r="H13" s="8">
        <f>A13&amp;"|"&amp;B13</f>
        <v/>
      </c>
    </row>
    <row r="14">
      <c r="A14" s="8" t="inlineStr">
        <is>
          <t>Argentina</t>
        </is>
      </c>
      <c r="B14" s="8" t="n">
        <v>2008</v>
      </c>
      <c r="C14" s="14" t="n">
        <v>2.9</v>
      </c>
      <c r="D14" s="15" t="n"/>
      <c r="E14" s="16">
        <f>IF(B14&lt;=2011,IF(C14="","",C14),IF(D14="","",D14/10))</f>
        <v/>
      </c>
      <c r="F14" s="13">
        <f>IF(OR(B14&lt;=2011,D14=""),"",D14)</f>
        <v/>
      </c>
      <c r="G14" s="17">
        <f>IF(B14&lt;=2011,IF(C14="","",Puente_CPI!$G$2+Puente_CPI!$G$3*C14),IF(D14="","",D14))</f>
        <v/>
      </c>
      <c r="H14" s="8">
        <f>A14&amp;"|"&amp;B14</f>
        <v/>
      </c>
    </row>
    <row r="15">
      <c r="A15" s="8" t="inlineStr">
        <is>
          <t>Argentina</t>
        </is>
      </c>
      <c r="B15" s="8" t="n">
        <v>2009</v>
      </c>
      <c r="C15" s="14" t="n">
        <v>2.9</v>
      </c>
      <c r="D15" s="15" t="n"/>
      <c r="E15" s="16">
        <f>IF(B15&lt;=2011,IF(C15="","",C15),IF(D15="","",D15/10))</f>
        <v/>
      </c>
      <c r="F15" s="13">
        <f>IF(OR(B15&lt;=2011,D15=""),"",D15)</f>
        <v/>
      </c>
      <c r="G15" s="17">
        <f>IF(B15&lt;=2011,IF(C15="","",Puente_CPI!$G$2+Puente_CPI!$G$3*C15),IF(D15="","",D15))</f>
        <v/>
      </c>
      <c r="H15" s="8">
        <f>A15&amp;"|"&amp;B15</f>
        <v/>
      </c>
    </row>
    <row r="16">
      <c r="A16" s="8" t="inlineStr">
        <is>
          <t>Argentina</t>
        </is>
      </c>
      <c r="B16" s="8" t="n">
        <v>2010</v>
      </c>
      <c r="C16" s="14" t="n">
        <v>2.9</v>
      </c>
      <c r="D16" s="15" t="n"/>
      <c r="E16" s="16">
        <f>IF(B16&lt;=2011,IF(C16="","",C16),IF(D16="","",D16/10))</f>
        <v/>
      </c>
      <c r="F16" s="13">
        <f>IF(OR(B16&lt;=2011,D16=""),"",D16)</f>
        <v/>
      </c>
      <c r="G16" s="17">
        <f>IF(B16&lt;=2011,IF(C16="","",Puente_CPI!$G$2+Puente_CPI!$G$3*C16),IF(D16="","",D16))</f>
        <v/>
      </c>
      <c r="H16" s="8">
        <f>A16&amp;"|"&amp;B16</f>
        <v/>
      </c>
    </row>
    <row r="17">
      <c r="A17" s="8" t="inlineStr">
        <is>
          <t>Argentina</t>
        </is>
      </c>
      <c r="B17" s="8" t="n">
        <v>2011</v>
      </c>
      <c r="C17" s="14" t="n">
        <v>2.996</v>
      </c>
      <c r="D17" s="15" t="n"/>
      <c r="E17" s="16">
        <f>IF(B17&lt;=2011,IF(C17="","",C17),IF(D17="","",D17/10))</f>
        <v/>
      </c>
      <c r="F17" s="13">
        <f>IF(OR(B17&lt;=2011,D17=""),"",D17)</f>
        <v/>
      </c>
      <c r="G17" s="17">
        <f>IF(B17&lt;=2011,IF(C17="","",Puente_CPI!$G$2+Puente_CPI!$G$3*C17),IF(D17="","",D17))</f>
        <v/>
      </c>
      <c r="H17" s="8">
        <f>A17&amp;"|"&amp;B17</f>
        <v/>
      </c>
    </row>
    <row r="18">
      <c r="A18" s="8" t="inlineStr">
        <is>
          <t>Argentina</t>
        </is>
      </c>
      <c r="B18" s="8" t="n">
        <v>2015</v>
      </c>
      <c r="C18" s="14" t="n"/>
      <c r="D18" s="15" t="n">
        <v>32</v>
      </c>
      <c r="E18" s="16">
        <f>IF(B18&lt;=2011,IF(C18="","",C18),IF(D18="","",D18/10))</f>
        <v/>
      </c>
      <c r="F18" s="13">
        <f>IF(OR(B18&lt;=2011,D18=""),"",D18)</f>
        <v/>
      </c>
      <c r="G18" s="17">
        <f>IF(B18&lt;=2011,IF(C18="","",Puente_CPI!$G$2+Puente_CPI!$G$3*C18),IF(D18="","",D18))</f>
        <v/>
      </c>
      <c r="H18" s="8">
        <f>A18&amp;"|"&amp;B18</f>
        <v/>
      </c>
    </row>
    <row r="19">
      <c r="A19" s="8" t="inlineStr">
        <is>
          <t>Argentina</t>
        </is>
      </c>
      <c r="B19" s="8" t="n">
        <v>2016</v>
      </c>
      <c r="C19" s="14" t="n"/>
      <c r="D19" s="15" t="n">
        <v>36</v>
      </c>
      <c r="E19" s="16">
        <f>IF(B19&lt;=2011,IF(C19="","",C19),IF(D19="","",D19/10))</f>
        <v/>
      </c>
      <c r="F19" s="13">
        <f>IF(OR(B19&lt;=2011,D19=""),"",D19)</f>
        <v/>
      </c>
      <c r="G19" s="17">
        <f>IF(B19&lt;=2011,IF(C19="","",Puente_CPI!$G$2+Puente_CPI!$G$3*C19),IF(D19="","",D19))</f>
        <v/>
      </c>
      <c r="H19" s="8">
        <f>A19&amp;"|"&amp;B19</f>
        <v/>
      </c>
    </row>
    <row r="20">
      <c r="A20" s="8" t="inlineStr">
        <is>
          <t>Argentina</t>
        </is>
      </c>
      <c r="B20" s="8" t="n">
        <v>2017</v>
      </c>
      <c r="C20" s="14" t="n"/>
      <c r="D20" s="15" t="n">
        <v>39</v>
      </c>
      <c r="E20" s="16">
        <f>IF(B20&lt;=2011,IF(C20="","",C20),IF(D20="","",D20/10))</f>
        <v/>
      </c>
      <c r="F20" s="13">
        <f>IF(OR(B20&lt;=2011,D20=""),"",D20)</f>
        <v/>
      </c>
      <c r="G20" s="17">
        <f>IF(B20&lt;=2011,IF(C20="","",Puente_CPI!$G$2+Puente_CPI!$G$3*C20),IF(D20="","",D20))</f>
        <v/>
      </c>
      <c r="H20" s="8">
        <f>A20&amp;"|"&amp;B20</f>
        <v/>
      </c>
    </row>
    <row r="21">
      <c r="A21" s="8" t="inlineStr">
        <is>
          <t>Argentina</t>
        </is>
      </c>
      <c r="B21" s="8" t="n">
        <v>2018</v>
      </c>
      <c r="C21" s="14" t="n"/>
      <c r="D21" s="15" t="n">
        <v>40</v>
      </c>
      <c r="E21" s="16">
        <f>IF(B21&lt;=2011,IF(C21="","",C21),IF(D21="","",D21/10))</f>
        <v/>
      </c>
      <c r="F21" s="13">
        <f>IF(OR(B21&lt;=2011,D21=""),"",D21)</f>
        <v/>
      </c>
      <c r="G21" s="17">
        <f>IF(B21&lt;=2011,IF(C21="","",Puente_CPI!$G$2+Puente_CPI!$G$3*C21),IF(D21="","",D21))</f>
        <v/>
      </c>
      <c r="H21" s="8">
        <f>A21&amp;"|"&amp;B21</f>
        <v/>
      </c>
    </row>
    <row r="22">
      <c r="A22" s="8" t="inlineStr">
        <is>
          <t>Argentina</t>
        </is>
      </c>
      <c r="B22" s="8" t="n">
        <v>2020</v>
      </c>
      <c r="C22" s="14" t="n"/>
      <c r="D22" s="15" t="n">
        <v>42</v>
      </c>
      <c r="E22" s="16">
        <f>IF(B22&lt;=2011,IF(C22="","",C22),IF(D22="","",D22/10))</f>
        <v/>
      </c>
      <c r="F22" s="13">
        <f>IF(OR(B22&lt;=2011,D22=""),"",D22)</f>
        <v/>
      </c>
      <c r="G22" s="17">
        <f>IF(B22&lt;=2011,IF(C22="","",Puente_CPI!$G$2+Puente_CPI!$G$3*C22),IF(D22="","",D22))</f>
        <v/>
      </c>
      <c r="H22" s="8">
        <f>A22&amp;"|"&amp;B22</f>
        <v/>
      </c>
    </row>
    <row r="23">
      <c r="A23" s="8" t="inlineStr">
        <is>
          <t>Argentina</t>
        </is>
      </c>
      <c r="B23" s="8" t="n">
        <v>2024</v>
      </c>
      <c r="C23" s="14" t="n"/>
      <c r="D23" s="15" t="n">
        <v>37</v>
      </c>
      <c r="E23" s="16">
        <f>IF(B23&lt;=2011,IF(C23="","",C23),IF(D23="","",D23/10))</f>
        <v/>
      </c>
      <c r="F23" s="13">
        <f>IF(OR(B23&lt;=2011,D23=""),"",D23)</f>
        <v/>
      </c>
      <c r="G23" s="17">
        <f>IF(B23&lt;=2011,IF(C23="","",Puente_CPI!$G$2+Puente_CPI!$G$3*C23),IF(D23="","",D23))</f>
        <v/>
      </c>
      <c r="H23" s="8">
        <f>A23&amp;"|"&amp;B23</f>
        <v/>
      </c>
    </row>
    <row r="24">
      <c r="A24" s="8" t="inlineStr">
        <is>
          <t>Bolivia</t>
        </is>
      </c>
      <c r="B24" s="8" t="n">
        <v>1996</v>
      </c>
      <c r="C24" s="14" t="n">
        <v>3.4</v>
      </c>
      <c r="D24" s="15" t="n"/>
      <c r="E24" s="16">
        <f>IF(B24&lt;=2011,IF(C24="","",C24),IF(D24="","",D24/10))</f>
        <v/>
      </c>
      <c r="F24" s="13">
        <f>IF(OR(B24&lt;=2011,D24=""),"",D24)</f>
        <v/>
      </c>
      <c r="G24" s="17">
        <f>IF(B24&lt;=2011,IF(C24="","",Puente_CPI!$G$2+Puente_CPI!$G$3*C24),IF(D24="","",D24))</f>
        <v/>
      </c>
      <c r="H24" s="8">
        <f>A24&amp;"|"&amp;B24</f>
        <v/>
      </c>
    </row>
    <row r="25">
      <c r="A25" s="8" t="inlineStr">
        <is>
          <t>Bolivia</t>
        </is>
      </c>
      <c r="B25" s="8" t="n">
        <v>1997</v>
      </c>
      <c r="C25" s="14" t="n">
        <v>2.05</v>
      </c>
      <c r="D25" s="15" t="n"/>
      <c r="E25" s="16">
        <f>IF(B25&lt;=2011,IF(C25="","",C25),IF(D25="","",D25/10))</f>
        <v/>
      </c>
      <c r="F25" s="13">
        <f>IF(OR(B25&lt;=2011,D25=""),"",D25)</f>
        <v/>
      </c>
      <c r="G25" s="17">
        <f>IF(B25&lt;=2011,IF(C25="","",Puente_CPI!$G$2+Puente_CPI!$G$3*C25),IF(D25="","",D25))</f>
        <v/>
      </c>
      <c r="H25" s="8">
        <f>A25&amp;"|"&amp;B25</f>
        <v/>
      </c>
    </row>
    <row r="26">
      <c r="A26" s="8" t="inlineStr">
        <is>
          <t>Bolivia</t>
        </is>
      </c>
      <c r="B26" s="8" t="n">
        <v>1998</v>
      </c>
      <c r="C26" s="14" t="n">
        <v>2.8</v>
      </c>
      <c r="D26" s="15" t="n"/>
      <c r="E26" s="16">
        <f>IF(B26&lt;=2011,IF(C26="","",C26),IF(D26="","",D26/10))</f>
        <v/>
      </c>
      <c r="F26" s="13">
        <f>IF(OR(B26&lt;=2011,D26=""),"",D26)</f>
        <v/>
      </c>
      <c r="G26" s="17">
        <f>IF(B26&lt;=2011,IF(C26="","",Puente_CPI!$G$2+Puente_CPI!$G$3*C26),IF(D26="","",D26))</f>
        <v/>
      </c>
      <c r="H26" s="8">
        <f>A26&amp;"|"&amp;B26</f>
        <v/>
      </c>
    </row>
    <row r="27">
      <c r="A27" s="8" t="inlineStr">
        <is>
          <t>Bolivia</t>
        </is>
      </c>
      <c r="B27" s="8" t="n">
        <v>2000</v>
      </c>
      <c r="C27" s="14" t="n">
        <v>2.7</v>
      </c>
      <c r="D27" s="15" t="n"/>
      <c r="E27" s="16">
        <f>IF(B27&lt;=2011,IF(C27="","",C27),IF(D27="","",D27/10))</f>
        <v/>
      </c>
      <c r="F27" s="13">
        <f>IF(OR(B27&lt;=2011,D27=""),"",D27)</f>
        <v/>
      </c>
      <c r="G27" s="17">
        <f>IF(B27&lt;=2011,IF(C27="","",Puente_CPI!$G$2+Puente_CPI!$G$3*C27),IF(D27="","",D27))</f>
        <v/>
      </c>
      <c r="H27" s="8">
        <f>A27&amp;"|"&amp;B27</f>
        <v/>
      </c>
    </row>
    <row r="28">
      <c r="A28" s="8" t="inlineStr">
        <is>
          <t>Bolivia</t>
        </is>
      </c>
      <c r="B28" s="8" t="n">
        <v>2001</v>
      </c>
      <c r="C28" s="14" t="n">
        <v>2</v>
      </c>
      <c r="D28" s="15" t="n"/>
      <c r="E28" s="16">
        <f>IF(B28&lt;=2011,IF(C28="","",C28),IF(D28="","",D28/10))</f>
        <v/>
      </c>
      <c r="F28" s="13">
        <f>IF(OR(B28&lt;=2011,D28=""),"",D28)</f>
        <v/>
      </c>
      <c r="G28" s="17">
        <f>IF(B28&lt;=2011,IF(C28="","",Puente_CPI!$G$2+Puente_CPI!$G$3*C28),IF(D28="","",D28))</f>
        <v/>
      </c>
      <c r="H28" s="8">
        <f>A28&amp;"|"&amp;B28</f>
        <v/>
      </c>
    </row>
    <row r="29">
      <c r="A29" s="8" t="inlineStr">
        <is>
          <t>Bolivia</t>
        </is>
      </c>
      <c r="B29" s="8" t="n">
        <v>2002</v>
      </c>
      <c r="C29" s="14" t="n">
        <v>2.2</v>
      </c>
      <c r="D29" s="15" t="n"/>
      <c r="E29" s="16">
        <f>IF(B29&lt;=2011,IF(C29="","",C29),IF(D29="","",D29/10))</f>
        <v/>
      </c>
      <c r="F29" s="13">
        <f>IF(OR(B29&lt;=2011,D29=""),"",D29)</f>
        <v/>
      </c>
      <c r="G29" s="17">
        <f>IF(B29&lt;=2011,IF(C29="","",Puente_CPI!$G$2+Puente_CPI!$G$3*C29),IF(D29="","",D29))</f>
        <v/>
      </c>
      <c r="H29" s="8">
        <f>A29&amp;"|"&amp;B29</f>
        <v/>
      </c>
    </row>
    <row r="30">
      <c r="A30" s="8" t="inlineStr">
        <is>
          <t>Bolivia</t>
        </is>
      </c>
      <c r="B30" s="8" t="n">
        <v>2003</v>
      </c>
      <c r="C30" s="14" t="n">
        <v>2.3</v>
      </c>
      <c r="D30" s="15" t="n"/>
      <c r="E30" s="16">
        <f>IF(B30&lt;=2011,IF(C30="","",C30),IF(D30="","",D30/10))</f>
        <v/>
      </c>
      <c r="F30" s="13">
        <f>IF(OR(B30&lt;=2011,D30=""),"",D30)</f>
        <v/>
      </c>
      <c r="G30" s="17">
        <f>IF(B30&lt;=2011,IF(C30="","",Puente_CPI!$G$2+Puente_CPI!$G$3*C30),IF(D30="","",D30))</f>
        <v/>
      </c>
      <c r="H30" s="8">
        <f>A30&amp;"|"&amp;B30</f>
        <v/>
      </c>
    </row>
    <row r="31">
      <c r="A31" s="8" t="inlineStr">
        <is>
          <t>Bolivia</t>
        </is>
      </c>
      <c r="B31" s="8" t="n">
        <v>2004</v>
      </c>
      <c r="C31" s="14" t="n">
        <v>2.2</v>
      </c>
      <c r="D31" s="15" t="n"/>
      <c r="E31" s="16">
        <f>IF(B31&lt;=2011,IF(C31="","",C31),IF(D31="","",D31/10))</f>
        <v/>
      </c>
      <c r="F31" s="13">
        <f>IF(OR(B31&lt;=2011,D31=""),"",D31)</f>
        <v/>
      </c>
      <c r="G31" s="17">
        <f>IF(B31&lt;=2011,IF(C31="","",Puente_CPI!$G$2+Puente_CPI!$G$3*C31),IF(D31="","",D31))</f>
        <v/>
      </c>
      <c r="H31" s="8">
        <f>A31&amp;"|"&amp;B31</f>
        <v/>
      </c>
    </row>
    <row r="32">
      <c r="A32" s="8" t="inlineStr">
        <is>
          <t>Bolivia</t>
        </is>
      </c>
      <c r="B32" s="8" t="n">
        <v>2005</v>
      </c>
      <c r="C32" s="14" t="n">
        <v>2.5</v>
      </c>
      <c r="D32" s="15" t="n"/>
      <c r="E32" s="16">
        <f>IF(B32&lt;=2011,IF(C32="","",C32),IF(D32="","",D32/10))</f>
        <v/>
      </c>
      <c r="F32" s="13">
        <f>IF(OR(B32&lt;=2011,D32=""),"",D32)</f>
        <v/>
      </c>
      <c r="G32" s="17">
        <f>IF(B32&lt;=2011,IF(C32="","",Puente_CPI!$G$2+Puente_CPI!$G$3*C32),IF(D32="","",D32))</f>
        <v/>
      </c>
      <c r="H32" s="8">
        <f>A32&amp;"|"&amp;B32</f>
        <v/>
      </c>
    </row>
    <row r="33">
      <c r="A33" s="8" t="inlineStr">
        <is>
          <t>Bolivia</t>
        </is>
      </c>
      <c r="B33" s="8" t="n">
        <v>2006</v>
      </c>
      <c r="C33" s="14" t="n">
        <v>2.7</v>
      </c>
      <c r="D33" s="15" t="n"/>
      <c r="E33" s="16">
        <f>IF(B33&lt;=2011,IF(C33="","",C33),IF(D33="","",D33/10))</f>
        <v/>
      </c>
      <c r="F33" s="13">
        <f>IF(OR(B33&lt;=2011,D33=""),"",D33)</f>
        <v/>
      </c>
      <c r="G33" s="17">
        <f>IF(B33&lt;=2011,IF(C33="","",Puente_CPI!$G$2+Puente_CPI!$G$3*C33),IF(D33="","",D33))</f>
        <v/>
      </c>
      <c r="H33" s="8">
        <f>A33&amp;"|"&amp;B33</f>
        <v/>
      </c>
    </row>
    <row r="34">
      <c r="A34" s="8" t="inlineStr">
        <is>
          <t>Bolivia</t>
        </is>
      </c>
      <c r="B34" s="8" t="n">
        <v>2007</v>
      </c>
      <c r="C34" s="14" t="n">
        <v>2.9</v>
      </c>
      <c r="D34" s="15" t="n"/>
      <c r="E34" s="16">
        <f>IF(B34&lt;=2011,IF(C34="","",C34),IF(D34="","",D34/10))</f>
        <v/>
      </c>
      <c r="F34" s="13">
        <f>IF(OR(B34&lt;=2011,D34=""),"",D34)</f>
        <v/>
      </c>
      <c r="G34" s="17">
        <f>IF(B34&lt;=2011,IF(C34="","",Puente_CPI!$G$2+Puente_CPI!$G$3*C34),IF(D34="","",D34))</f>
        <v/>
      </c>
      <c r="H34" s="8">
        <f>A34&amp;"|"&amp;B34</f>
        <v/>
      </c>
    </row>
    <row r="35">
      <c r="A35" s="8" t="inlineStr">
        <is>
          <t>Bolivia</t>
        </is>
      </c>
      <c r="B35" s="8" t="n">
        <v>2008</v>
      </c>
      <c r="C35" s="14" t="n">
        <v>3</v>
      </c>
      <c r="D35" s="15" t="n"/>
      <c r="E35" s="16">
        <f>IF(B35&lt;=2011,IF(C35="","",C35),IF(D35="","",D35/10))</f>
        <v/>
      </c>
      <c r="F35" s="13">
        <f>IF(OR(B35&lt;=2011,D35=""),"",D35)</f>
        <v/>
      </c>
      <c r="G35" s="17">
        <f>IF(B35&lt;=2011,IF(C35="","",Puente_CPI!$G$2+Puente_CPI!$G$3*C35),IF(D35="","",D35))</f>
        <v/>
      </c>
      <c r="H35" s="8">
        <f>A35&amp;"|"&amp;B35</f>
        <v/>
      </c>
    </row>
    <row r="36">
      <c r="A36" s="8" t="inlineStr">
        <is>
          <t>Bolivia</t>
        </is>
      </c>
      <c r="B36" s="8" t="n">
        <v>2009</v>
      </c>
      <c r="C36" s="14" t="n">
        <v>2.7</v>
      </c>
      <c r="D36" s="15" t="n"/>
      <c r="E36" s="16">
        <f>IF(B36&lt;=2011,IF(C36="","",C36),IF(D36="","",D36/10))</f>
        <v/>
      </c>
      <c r="F36" s="13">
        <f>IF(OR(B36&lt;=2011,D36=""),"",D36)</f>
        <v/>
      </c>
      <c r="G36" s="17">
        <f>IF(B36&lt;=2011,IF(C36="","",Puente_CPI!$G$2+Puente_CPI!$G$3*C36),IF(D36="","",D36))</f>
        <v/>
      </c>
      <c r="H36" s="8">
        <f>A36&amp;"|"&amp;B36</f>
        <v/>
      </c>
    </row>
    <row r="37">
      <c r="A37" s="8" t="inlineStr">
        <is>
          <t>Bolivia</t>
        </is>
      </c>
      <c r="B37" s="8" t="n">
        <v>2010</v>
      </c>
      <c r="C37" s="14" t="n">
        <v>2.8</v>
      </c>
      <c r="D37" s="15" t="n"/>
      <c r="E37" s="16">
        <f>IF(B37&lt;=2011,IF(C37="","",C37),IF(D37="","",D37/10))</f>
        <v/>
      </c>
      <c r="F37" s="13">
        <f>IF(OR(B37&lt;=2011,D37=""),"",D37)</f>
        <v/>
      </c>
      <c r="G37" s="17">
        <f>IF(B37&lt;=2011,IF(C37="","",Puente_CPI!$G$2+Puente_CPI!$G$3*C37),IF(D37="","",D37))</f>
        <v/>
      </c>
      <c r="H37" s="8">
        <f>A37&amp;"|"&amp;B37</f>
        <v/>
      </c>
    </row>
    <row r="38">
      <c r="A38" s="8" t="inlineStr">
        <is>
          <t>Bolivia</t>
        </is>
      </c>
      <c r="B38" s="8" t="n">
        <v>2011</v>
      </c>
      <c r="C38" s="14" t="n">
        <v>2.763</v>
      </c>
      <c r="D38" s="15" t="n"/>
      <c r="E38" s="16">
        <f>IF(B38&lt;=2011,IF(C38="","",C38),IF(D38="","",D38/10))</f>
        <v/>
      </c>
      <c r="F38" s="13">
        <f>IF(OR(B38&lt;=2011,D38=""),"",D38)</f>
        <v/>
      </c>
      <c r="G38" s="17">
        <f>IF(B38&lt;=2011,IF(C38="","",Puente_CPI!$G$2+Puente_CPI!$G$3*C38),IF(D38="","",D38))</f>
        <v/>
      </c>
      <c r="H38" s="8">
        <f>A38&amp;"|"&amp;B38</f>
        <v/>
      </c>
    </row>
    <row r="39">
      <c r="A39" s="8" t="inlineStr">
        <is>
          <t>Bolivia</t>
        </is>
      </c>
      <c r="B39" s="8" t="n">
        <v>2016</v>
      </c>
      <c r="C39" s="14" t="n"/>
      <c r="D39" s="15" t="n">
        <v>33</v>
      </c>
      <c r="E39" s="16">
        <f>IF(B39&lt;=2011,IF(C39="","",C39),IF(D39="","",D39/10))</f>
        <v/>
      </c>
      <c r="F39" s="13">
        <f>IF(OR(B39&lt;=2011,D39=""),"",D39)</f>
        <v/>
      </c>
      <c r="G39" s="17">
        <f>IF(B39&lt;=2011,IF(C39="","",Puente_CPI!$G$2+Puente_CPI!$G$3*C39),IF(D39="","",D39))</f>
        <v/>
      </c>
      <c r="H39" s="8">
        <f>A39&amp;"|"&amp;B39</f>
        <v/>
      </c>
    </row>
    <row r="40">
      <c r="A40" s="8" t="inlineStr">
        <is>
          <t>Bolivia</t>
        </is>
      </c>
      <c r="B40" s="8" t="n">
        <v>2017</v>
      </c>
      <c r="C40" s="14" t="n"/>
      <c r="D40" s="15" t="n">
        <v>33</v>
      </c>
      <c r="E40" s="16">
        <f>IF(B40&lt;=2011,IF(C40="","",C40),IF(D40="","",D40/10))</f>
        <v/>
      </c>
      <c r="F40" s="13">
        <f>IF(OR(B40&lt;=2011,D40=""),"",D40)</f>
        <v/>
      </c>
      <c r="G40" s="17">
        <f>IF(B40&lt;=2011,IF(C40="","",Puente_CPI!$G$2+Puente_CPI!$G$3*C40),IF(D40="","",D40))</f>
        <v/>
      </c>
      <c r="H40" s="8">
        <f>A40&amp;"|"&amp;B40</f>
        <v/>
      </c>
    </row>
    <row r="41">
      <c r="A41" s="8" t="inlineStr">
        <is>
          <t>Bolivia</t>
        </is>
      </c>
      <c r="B41" s="8" t="n">
        <v>2018</v>
      </c>
      <c r="C41" s="14" t="n"/>
      <c r="D41" s="15" t="n">
        <v>29</v>
      </c>
      <c r="E41" s="16">
        <f>IF(B41&lt;=2011,IF(C41="","",C41),IF(D41="","",D41/10))</f>
        <v/>
      </c>
      <c r="F41" s="13">
        <f>IF(OR(B41&lt;=2011,D41=""),"",D41)</f>
        <v/>
      </c>
      <c r="G41" s="17">
        <f>IF(B41&lt;=2011,IF(C41="","",Puente_CPI!$G$2+Puente_CPI!$G$3*C41),IF(D41="","",D41))</f>
        <v/>
      </c>
      <c r="H41" s="8">
        <f>A41&amp;"|"&amp;B41</f>
        <v/>
      </c>
    </row>
    <row r="42">
      <c r="A42" s="8" t="inlineStr">
        <is>
          <t>Bolivia</t>
        </is>
      </c>
      <c r="B42" s="8" t="n">
        <v>2020</v>
      </c>
      <c r="C42" s="14" t="n"/>
      <c r="D42" s="15" t="n">
        <v>31</v>
      </c>
      <c r="E42" s="16">
        <f>IF(B42&lt;=2011,IF(C42="","",C42),IF(D42="","",D42/10))</f>
        <v/>
      </c>
      <c r="F42" s="13">
        <f>IF(OR(B42&lt;=2011,D42=""),"",D42)</f>
        <v/>
      </c>
      <c r="G42" s="17">
        <f>IF(B42&lt;=2011,IF(C42="","",Puente_CPI!$G$2+Puente_CPI!$G$3*C42),IF(D42="","",D42))</f>
        <v/>
      </c>
      <c r="H42" s="8">
        <f>A42&amp;"|"&amp;B42</f>
        <v/>
      </c>
    </row>
    <row r="43">
      <c r="A43" s="8" t="inlineStr">
        <is>
          <t>Bolivia</t>
        </is>
      </c>
      <c r="B43" s="8" t="n">
        <v>2024</v>
      </c>
      <c r="C43" s="14" t="n"/>
      <c r="D43" s="15" t="n">
        <v>28</v>
      </c>
      <c r="E43" s="16">
        <f>IF(B43&lt;=2011,IF(C43="","",C43),IF(D43="","",D43/10))</f>
        <v/>
      </c>
      <c r="F43" s="13">
        <f>IF(OR(B43&lt;=2011,D43=""),"",D43)</f>
        <v/>
      </c>
      <c r="G43" s="17">
        <f>IF(B43&lt;=2011,IF(C43="","",Puente_CPI!$G$2+Puente_CPI!$G$3*C43),IF(D43="","",D43))</f>
        <v/>
      </c>
      <c r="H43" s="8">
        <f>A43&amp;"|"&amp;B43</f>
        <v/>
      </c>
    </row>
    <row r="44">
      <c r="A44" s="8" t="inlineStr">
        <is>
          <t>Brasil</t>
        </is>
      </c>
      <c r="B44" s="8" t="n">
        <v>1995</v>
      </c>
      <c r="C44" s="14" t="n">
        <v>2.7</v>
      </c>
      <c r="D44" s="15" t="n"/>
      <c r="E44" s="16">
        <f>IF(B44&lt;=2011,IF(C44="","",C44),IF(D44="","",D44/10))</f>
        <v/>
      </c>
      <c r="F44" s="13">
        <f>IF(OR(B44&lt;=2011,D44=""),"",D44)</f>
        <v/>
      </c>
      <c r="G44" s="17">
        <f>IF(B44&lt;=2011,IF(C44="","",Puente_CPI!$G$2+Puente_CPI!$G$3*C44),IF(D44="","",D44))</f>
        <v/>
      </c>
      <c r="H44" s="8">
        <f>A44&amp;"|"&amp;B44</f>
        <v/>
      </c>
    </row>
    <row r="45">
      <c r="A45" s="8" t="inlineStr">
        <is>
          <t>Brasil</t>
        </is>
      </c>
      <c r="B45" s="8" t="n">
        <v>1996</v>
      </c>
      <c r="C45" s="14" t="n">
        <v>2.96</v>
      </c>
      <c r="D45" s="15" t="n"/>
      <c r="E45" s="16">
        <f>IF(B45&lt;=2011,IF(C45="","",C45),IF(D45="","",D45/10))</f>
        <v/>
      </c>
      <c r="F45" s="13">
        <f>IF(OR(B45&lt;=2011,D45=""),"",D45)</f>
        <v/>
      </c>
      <c r="G45" s="17">
        <f>IF(B45&lt;=2011,IF(C45="","",Puente_CPI!$G$2+Puente_CPI!$G$3*C45),IF(D45="","",D45))</f>
        <v/>
      </c>
      <c r="H45" s="8">
        <f>A45&amp;"|"&amp;B45</f>
        <v/>
      </c>
    </row>
    <row r="46">
      <c r="A46" s="8" t="inlineStr">
        <is>
          <t>Brasil</t>
        </is>
      </c>
      <c r="B46" s="8" t="n">
        <v>1997</v>
      </c>
      <c r="C46" s="14" t="n">
        <v>3.56</v>
      </c>
      <c r="D46" s="15" t="n"/>
      <c r="E46" s="16">
        <f>IF(B46&lt;=2011,IF(C46="","",C46),IF(D46="","",D46/10))</f>
        <v/>
      </c>
      <c r="F46" s="13">
        <f>IF(OR(B46&lt;=2011,D46=""),"",D46)</f>
        <v/>
      </c>
      <c r="G46" s="17">
        <f>IF(B46&lt;=2011,IF(C46="","",Puente_CPI!$G$2+Puente_CPI!$G$3*C46),IF(D46="","",D46))</f>
        <v/>
      </c>
      <c r="H46" s="8">
        <f>A46&amp;"|"&amp;B46</f>
        <v/>
      </c>
    </row>
    <row r="47">
      <c r="A47" s="8" t="inlineStr">
        <is>
          <t>Brasil</t>
        </is>
      </c>
      <c r="B47" s="8" t="n">
        <v>1998</v>
      </c>
      <c r="C47" s="14" t="n">
        <v>4</v>
      </c>
      <c r="D47" s="15" t="n"/>
      <c r="E47" s="16">
        <f>IF(B47&lt;=2011,IF(C47="","",C47),IF(D47="","",D47/10))</f>
        <v/>
      </c>
      <c r="F47" s="13">
        <f>IF(OR(B47&lt;=2011,D47=""),"",D47)</f>
        <v/>
      </c>
      <c r="G47" s="17">
        <f>IF(B47&lt;=2011,IF(C47="","",Puente_CPI!$G$2+Puente_CPI!$G$3*C47),IF(D47="","",D47))</f>
        <v/>
      </c>
      <c r="H47" s="8">
        <f>A47&amp;"|"&amp;B47</f>
        <v/>
      </c>
    </row>
    <row r="48">
      <c r="A48" s="8" t="inlineStr">
        <is>
          <t>Brasil</t>
        </is>
      </c>
      <c r="B48" s="8" t="n">
        <v>2000</v>
      </c>
      <c r="C48" s="14" t="n">
        <v>3.9</v>
      </c>
      <c r="D48" s="15" t="n"/>
      <c r="E48" s="16">
        <f>IF(B48&lt;=2011,IF(C48="","",C48),IF(D48="","",D48/10))</f>
        <v/>
      </c>
      <c r="F48" s="13">
        <f>IF(OR(B48&lt;=2011,D48=""),"",D48)</f>
        <v/>
      </c>
      <c r="G48" s="17">
        <f>IF(B48&lt;=2011,IF(C48="","",Puente_CPI!$G$2+Puente_CPI!$G$3*C48),IF(D48="","",D48))</f>
        <v/>
      </c>
      <c r="H48" s="8">
        <f>A48&amp;"|"&amp;B48</f>
        <v/>
      </c>
    </row>
    <row r="49">
      <c r="A49" s="8" t="inlineStr">
        <is>
          <t>Brasil</t>
        </is>
      </c>
      <c r="B49" s="8" t="n">
        <v>2001</v>
      </c>
      <c r="C49" s="14" t="n">
        <v>4</v>
      </c>
      <c r="D49" s="15" t="n"/>
      <c r="E49" s="16">
        <f>IF(B49&lt;=2011,IF(C49="","",C49),IF(D49="","",D49/10))</f>
        <v/>
      </c>
      <c r="F49" s="13">
        <f>IF(OR(B49&lt;=2011,D49=""),"",D49)</f>
        <v/>
      </c>
      <c r="G49" s="17">
        <f>IF(B49&lt;=2011,IF(C49="","",Puente_CPI!$G$2+Puente_CPI!$G$3*C49),IF(D49="","",D49))</f>
        <v/>
      </c>
      <c r="H49" s="8">
        <f>A49&amp;"|"&amp;B49</f>
        <v/>
      </c>
    </row>
    <row r="50">
      <c r="A50" s="8" t="inlineStr">
        <is>
          <t>Brasil</t>
        </is>
      </c>
      <c r="B50" s="8" t="n">
        <v>2002</v>
      </c>
      <c r="C50" s="14" t="n">
        <v>4</v>
      </c>
      <c r="D50" s="15" t="n"/>
      <c r="E50" s="16">
        <f>IF(B50&lt;=2011,IF(C50="","",C50),IF(D50="","",D50/10))</f>
        <v/>
      </c>
      <c r="F50" s="13">
        <f>IF(OR(B50&lt;=2011,D50=""),"",D50)</f>
        <v/>
      </c>
      <c r="G50" s="17">
        <f>IF(B50&lt;=2011,IF(C50="","",Puente_CPI!$G$2+Puente_CPI!$G$3*C50),IF(D50="","",D50))</f>
        <v/>
      </c>
      <c r="H50" s="8">
        <f>A50&amp;"|"&amp;B50</f>
        <v/>
      </c>
    </row>
    <row r="51">
      <c r="A51" s="8" t="inlineStr">
        <is>
          <t>Brasil</t>
        </is>
      </c>
      <c r="B51" s="8" t="n">
        <v>2003</v>
      </c>
      <c r="C51" s="14" t="n">
        <v>3.9</v>
      </c>
      <c r="D51" s="15" t="n"/>
      <c r="E51" s="16">
        <f>IF(B51&lt;=2011,IF(C51="","",C51),IF(D51="","",D51/10))</f>
        <v/>
      </c>
      <c r="F51" s="13">
        <f>IF(OR(B51&lt;=2011,D51=""),"",D51)</f>
        <v/>
      </c>
      <c r="G51" s="17">
        <f>IF(B51&lt;=2011,IF(C51="","",Puente_CPI!$G$2+Puente_CPI!$G$3*C51),IF(D51="","",D51))</f>
        <v/>
      </c>
      <c r="H51" s="8">
        <f>A51&amp;"|"&amp;B51</f>
        <v/>
      </c>
    </row>
    <row r="52">
      <c r="A52" s="8" t="inlineStr">
        <is>
          <t>Brasil</t>
        </is>
      </c>
      <c r="B52" s="8" t="n">
        <v>2004</v>
      </c>
      <c r="C52" s="14" t="n">
        <v>3.9</v>
      </c>
      <c r="D52" s="15" t="n"/>
      <c r="E52" s="16">
        <f>IF(B52&lt;=2011,IF(C52="","",C52),IF(D52="","",D52/10))</f>
        <v/>
      </c>
      <c r="F52" s="13">
        <f>IF(OR(B52&lt;=2011,D52=""),"",D52)</f>
        <v/>
      </c>
      <c r="G52" s="17">
        <f>IF(B52&lt;=2011,IF(C52="","",Puente_CPI!$G$2+Puente_CPI!$G$3*C52),IF(D52="","",D52))</f>
        <v/>
      </c>
      <c r="H52" s="8">
        <f>A52&amp;"|"&amp;B52</f>
        <v/>
      </c>
    </row>
    <row r="53">
      <c r="A53" s="8" t="inlineStr">
        <is>
          <t>Brasil</t>
        </is>
      </c>
      <c r="B53" s="8" t="n">
        <v>2005</v>
      </c>
      <c r="C53" s="14" t="n">
        <v>3.7</v>
      </c>
      <c r="D53" s="15" t="n"/>
      <c r="E53" s="16">
        <f>IF(B53&lt;=2011,IF(C53="","",C53),IF(D53="","",D53/10))</f>
        <v/>
      </c>
      <c r="F53" s="13">
        <f>IF(OR(B53&lt;=2011,D53=""),"",D53)</f>
        <v/>
      </c>
      <c r="G53" s="17">
        <f>IF(B53&lt;=2011,IF(C53="","",Puente_CPI!$G$2+Puente_CPI!$G$3*C53),IF(D53="","",D53))</f>
        <v/>
      </c>
      <c r="H53" s="8">
        <f>A53&amp;"|"&amp;B53</f>
        <v/>
      </c>
    </row>
    <row r="54">
      <c r="A54" s="8" t="inlineStr">
        <is>
          <t>Brasil</t>
        </is>
      </c>
      <c r="B54" s="8" t="n">
        <v>2006</v>
      </c>
      <c r="C54" s="14" t="n">
        <v>3.3</v>
      </c>
      <c r="D54" s="15" t="n"/>
      <c r="E54" s="16">
        <f>IF(B54&lt;=2011,IF(C54="","",C54),IF(D54="","",D54/10))</f>
        <v/>
      </c>
      <c r="F54" s="13">
        <f>IF(OR(B54&lt;=2011,D54=""),"",D54)</f>
        <v/>
      </c>
      <c r="G54" s="17">
        <f>IF(B54&lt;=2011,IF(C54="","",Puente_CPI!$G$2+Puente_CPI!$G$3*C54),IF(D54="","",D54))</f>
        <v/>
      </c>
      <c r="H54" s="8">
        <f>A54&amp;"|"&amp;B54</f>
        <v/>
      </c>
    </row>
    <row r="55">
      <c r="A55" s="8" t="inlineStr">
        <is>
          <t>Brasil</t>
        </is>
      </c>
      <c r="B55" s="8" t="n">
        <v>2007</v>
      </c>
      <c r="C55" s="14" t="n">
        <v>3.5</v>
      </c>
      <c r="D55" s="15" t="n"/>
      <c r="E55" s="16">
        <f>IF(B55&lt;=2011,IF(C55="","",C55),IF(D55="","",D55/10))</f>
        <v/>
      </c>
      <c r="F55" s="13">
        <f>IF(OR(B55&lt;=2011,D55=""),"",D55)</f>
        <v/>
      </c>
      <c r="G55" s="17">
        <f>IF(B55&lt;=2011,IF(C55="","",Puente_CPI!$G$2+Puente_CPI!$G$3*C55),IF(D55="","",D55))</f>
        <v/>
      </c>
      <c r="H55" s="8">
        <f>A55&amp;"|"&amp;B55</f>
        <v/>
      </c>
    </row>
    <row r="56">
      <c r="A56" s="8" t="inlineStr">
        <is>
          <t>Brasil</t>
        </is>
      </c>
      <c r="B56" s="8" t="n">
        <v>2008</v>
      </c>
      <c r="C56" s="14" t="n">
        <v>3.5</v>
      </c>
      <c r="D56" s="15" t="n"/>
      <c r="E56" s="16">
        <f>IF(B56&lt;=2011,IF(C56="","",C56),IF(D56="","",D56/10))</f>
        <v/>
      </c>
      <c r="F56" s="13">
        <f>IF(OR(B56&lt;=2011,D56=""),"",D56)</f>
        <v/>
      </c>
      <c r="G56" s="17">
        <f>IF(B56&lt;=2011,IF(C56="","",Puente_CPI!$G$2+Puente_CPI!$G$3*C56),IF(D56="","",D56))</f>
        <v/>
      </c>
      <c r="H56" s="8">
        <f>A56&amp;"|"&amp;B56</f>
        <v/>
      </c>
    </row>
    <row r="57">
      <c r="A57" s="8" t="inlineStr">
        <is>
          <t>Brasil</t>
        </is>
      </c>
      <c r="B57" s="8" t="n">
        <v>2009</v>
      </c>
      <c r="C57" s="14" t="n">
        <v>3.7</v>
      </c>
      <c r="D57" s="15" t="n"/>
      <c r="E57" s="16">
        <f>IF(B57&lt;=2011,IF(C57="","",C57),IF(D57="","",D57/10))</f>
        <v/>
      </c>
      <c r="F57" s="13">
        <f>IF(OR(B57&lt;=2011,D57=""),"",D57)</f>
        <v/>
      </c>
      <c r="G57" s="17">
        <f>IF(B57&lt;=2011,IF(C57="","",Puente_CPI!$G$2+Puente_CPI!$G$3*C57),IF(D57="","",D57))</f>
        <v/>
      </c>
      <c r="H57" s="8">
        <f>A57&amp;"|"&amp;B57</f>
        <v/>
      </c>
    </row>
    <row r="58">
      <c r="A58" s="8" t="inlineStr">
        <is>
          <t>Brasil</t>
        </is>
      </c>
      <c r="B58" s="8" t="n">
        <v>2010</v>
      </c>
      <c r="C58" s="14" t="n">
        <v>3.7</v>
      </c>
      <c r="D58" s="15" t="n"/>
      <c r="E58" s="16">
        <f>IF(B58&lt;=2011,IF(C58="","",C58),IF(D58="","",D58/10))</f>
        <v/>
      </c>
      <c r="F58" s="13">
        <f>IF(OR(B58&lt;=2011,D58=""),"",D58)</f>
        <v/>
      </c>
      <c r="G58" s="17">
        <f>IF(B58&lt;=2011,IF(C58="","",Puente_CPI!$G$2+Puente_CPI!$G$3*C58),IF(D58="","",D58))</f>
        <v/>
      </c>
      <c r="H58" s="8">
        <f>A58&amp;"|"&amp;B58</f>
        <v/>
      </c>
    </row>
    <row r="59">
      <c r="A59" s="8" t="inlineStr">
        <is>
          <t>Brasil</t>
        </is>
      </c>
      <c r="B59" s="8" t="n">
        <v>2011</v>
      </c>
      <c r="C59" s="14" t="n">
        <v>3.774</v>
      </c>
      <c r="D59" s="15" t="n"/>
      <c r="E59" s="16">
        <f>IF(B59&lt;=2011,IF(C59="","",C59),IF(D59="","",D59/10))</f>
        <v/>
      </c>
      <c r="F59" s="13">
        <f>IF(OR(B59&lt;=2011,D59=""),"",D59)</f>
        <v/>
      </c>
      <c r="G59" s="17">
        <f>IF(B59&lt;=2011,IF(C59="","",Puente_CPI!$G$2+Puente_CPI!$G$3*C59),IF(D59="","",D59))</f>
        <v/>
      </c>
      <c r="H59" s="8">
        <f>A59&amp;"|"&amp;B59</f>
        <v/>
      </c>
    </row>
    <row r="60">
      <c r="A60" s="8" t="inlineStr">
        <is>
          <t>Brasil</t>
        </is>
      </c>
      <c r="B60" s="8" t="n">
        <v>2015</v>
      </c>
      <c r="C60" s="14" t="n"/>
      <c r="D60" s="15" t="n">
        <v>38</v>
      </c>
      <c r="E60" s="16">
        <f>IF(B60&lt;=2011,IF(C60="","",C60),IF(D60="","",D60/10))</f>
        <v/>
      </c>
      <c r="F60" s="13">
        <f>IF(OR(B60&lt;=2011,D60=""),"",D60)</f>
        <v/>
      </c>
      <c r="G60" s="17">
        <f>IF(B60&lt;=2011,IF(C60="","",Puente_CPI!$G$2+Puente_CPI!$G$3*C60),IF(D60="","",D60))</f>
        <v/>
      </c>
      <c r="H60" s="8">
        <f>A60&amp;"|"&amp;B60</f>
        <v/>
      </c>
    </row>
    <row r="61">
      <c r="A61" s="8" t="inlineStr">
        <is>
          <t>Brasil</t>
        </is>
      </c>
      <c r="B61" s="8" t="n">
        <v>2016</v>
      </c>
      <c r="C61" s="14" t="n"/>
      <c r="D61" s="15" t="n">
        <v>40</v>
      </c>
      <c r="E61" s="16">
        <f>IF(B61&lt;=2011,IF(C61="","",C61),IF(D61="","",D61/10))</f>
        <v/>
      </c>
      <c r="F61" s="13">
        <f>IF(OR(B61&lt;=2011,D61=""),"",D61)</f>
        <v/>
      </c>
      <c r="G61" s="17">
        <f>IF(B61&lt;=2011,IF(C61="","",Puente_CPI!$G$2+Puente_CPI!$G$3*C61),IF(D61="","",D61))</f>
        <v/>
      </c>
      <c r="H61" s="8">
        <f>A61&amp;"|"&amp;B61</f>
        <v/>
      </c>
    </row>
    <row r="62">
      <c r="A62" s="8" t="inlineStr">
        <is>
          <t>Brasil</t>
        </is>
      </c>
      <c r="B62" s="8" t="n">
        <v>2017</v>
      </c>
      <c r="C62" s="14" t="n"/>
      <c r="D62" s="15" t="n">
        <v>37</v>
      </c>
      <c r="E62" s="16">
        <f>IF(B62&lt;=2011,IF(C62="","",C62),IF(D62="","",D62/10))</f>
        <v/>
      </c>
      <c r="F62" s="13">
        <f>IF(OR(B62&lt;=2011,D62=""),"",D62)</f>
        <v/>
      </c>
      <c r="G62" s="17">
        <f>IF(B62&lt;=2011,IF(C62="","",Puente_CPI!$G$2+Puente_CPI!$G$3*C62),IF(D62="","",D62))</f>
        <v/>
      </c>
      <c r="H62" s="8">
        <f>A62&amp;"|"&amp;B62</f>
        <v/>
      </c>
    </row>
    <row r="63">
      <c r="A63" s="8" t="inlineStr">
        <is>
          <t>Brasil</t>
        </is>
      </c>
      <c r="B63" s="8" t="n">
        <v>2018</v>
      </c>
      <c r="C63" s="14" t="n"/>
      <c r="D63" s="15" t="n">
        <v>35</v>
      </c>
      <c r="E63" s="16">
        <f>IF(B63&lt;=2011,IF(C63="","",C63),IF(D63="","",D63/10))</f>
        <v/>
      </c>
      <c r="F63" s="13">
        <f>IF(OR(B63&lt;=2011,D63=""),"",D63)</f>
        <v/>
      </c>
      <c r="G63" s="17">
        <f>IF(B63&lt;=2011,IF(C63="","",Puente_CPI!$G$2+Puente_CPI!$G$3*C63),IF(D63="","",D63))</f>
        <v/>
      </c>
      <c r="H63" s="8">
        <f>A63&amp;"|"&amp;B63</f>
        <v/>
      </c>
    </row>
    <row r="64">
      <c r="A64" s="8" t="inlineStr">
        <is>
          <t>Brasil</t>
        </is>
      </c>
      <c r="B64" s="8" t="n">
        <v>2020</v>
      </c>
      <c r="C64" s="14" t="n"/>
      <c r="D64" s="15" t="n">
        <v>38</v>
      </c>
      <c r="E64" s="16">
        <f>IF(B64&lt;=2011,IF(C64="","",C64),IF(D64="","",D64/10))</f>
        <v/>
      </c>
      <c r="F64" s="13">
        <f>IF(OR(B64&lt;=2011,D64=""),"",D64)</f>
        <v/>
      </c>
      <c r="G64" s="17">
        <f>IF(B64&lt;=2011,IF(C64="","",Puente_CPI!$G$2+Puente_CPI!$G$3*C64),IF(D64="","",D64))</f>
        <v/>
      </c>
      <c r="H64" s="8">
        <f>A64&amp;"|"&amp;B64</f>
        <v/>
      </c>
    </row>
    <row r="65">
      <c r="A65" s="8" t="inlineStr">
        <is>
          <t>Brasil</t>
        </is>
      </c>
      <c r="B65" s="8" t="n">
        <v>2024</v>
      </c>
      <c r="C65" s="14" t="n"/>
      <c r="D65" s="15" t="n">
        <v>34</v>
      </c>
      <c r="E65" s="16">
        <f>IF(B65&lt;=2011,IF(C65="","",C65),IF(D65="","",D65/10))</f>
        <v/>
      </c>
      <c r="F65" s="13">
        <f>IF(OR(B65&lt;=2011,D65=""),"",D65)</f>
        <v/>
      </c>
      <c r="G65" s="17">
        <f>IF(B65&lt;=2011,IF(C65="","",Puente_CPI!$G$2+Puente_CPI!$G$3*C65),IF(D65="","",D65))</f>
        <v/>
      </c>
      <c r="H65" s="8">
        <f>A65&amp;"|"&amp;B65</f>
        <v/>
      </c>
    </row>
    <row r="66">
      <c r="A66" s="8" t="inlineStr">
        <is>
          <t>Chile</t>
        </is>
      </c>
      <c r="B66" s="8" t="n">
        <v>1995</v>
      </c>
      <c r="C66" s="14" t="n">
        <v>7.94</v>
      </c>
      <c r="D66" s="15" t="n"/>
      <c r="E66" s="16">
        <f>IF(B66&lt;=2011,IF(C66="","",C66),IF(D66="","",D66/10))</f>
        <v/>
      </c>
      <c r="F66" s="13">
        <f>IF(OR(B66&lt;=2011,D66=""),"",D66)</f>
        <v/>
      </c>
      <c r="G66" s="17">
        <f>IF(B66&lt;=2011,IF(C66="","",Puente_CPI!$G$2+Puente_CPI!$G$3*C66),IF(D66="","",D66))</f>
        <v/>
      </c>
      <c r="H66" s="8">
        <f>A66&amp;"|"&amp;B66</f>
        <v/>
      </c>
    </row>
    <row r="67">
      <c r="A67" s="8" t="inlineStr">
        <is>
          <t>Chile</t>
        </is>
      </c>
      <c r="B67" s="8" t="n">
        <v>1996</v>
      </c>
      <c r="C67" s="14" t="n">
        <v>6.8</v>
      </c>
      <c r="D67" s="15" t="n"/>
      <c r="E67" s="16">
        <f>IF(B67&lt;=2011,IF(C67="","",C67),IF(D67="","",D67/10))</f>
        <v/>
      </c>
      <c r="F67" s="13">
        <f>IF(OR(B67&lt;=2011,D67=""),"",D67)</f>
        <v/>
      </c>
      <c r="G67" s="17">
        <f>IF(B67&lt;=2011,IF(C67="","",Puente_CPI!$G$2+Puente_CPI!$G$3*C67),IF(D67="","",D67))</f>
        <v/>
      </c>
      <c r="H67" s="8">
        <f>A67&amp;"|"&amp;B67</f>
        <v/>
      </c>
    </row>
    <row r="68">
      <c r="A68" s="8" t="inlineStr">
        <is>
          <t>Chile</t>
        </is>
      </c>
      <c r="B68" s="8" t="n">
        <v>1997</v>
      </c>
      <c r="C68" s="14" t="n">
        <v>6.05</v>
      </c>
      <c r="D68" s="15" t="n"/>
      <c r="E68" s="16">
        <f>IF(B68&lt;=2011,IF(C68="","",C68),IF(D68="","",D68/10))</f>
        <v/>
      </c>
      <c r="F68" s="13">
        <f>IF(OR(B68&lt;=2011,D68=""),"",D68)</f>
        <v/>
      </c>
      <c r="G68" s="17">
        <f>IF(B68&lt;=2011,IF(C68="","",Puente_CPI!$G$2+Puente_CPI!$G$3*C68),IF(D68="","",D68))</f>
        <v/>
      </c>
      <c r="H68" s="8">
        <f>A68&amp;"|"&amp;B68</f>
        <v/>
      </c>
    </row>
    <row r="69">
      <c r="A69" s="8" t="inlineStr">
        <is>
          <t>Chile</t>
        </is>
      </c>
      <c r="B69" s="8" t="n">
        <v>1998</v>
      </c>
      <c r="C69" s="14" t="n">
        <v>6.8</v>
      </c>
      <c r="D69" s="15" t="n"/>
      <c r="E69" s="16">
        <f>IF(B69&lt;=2011,IF(C69="","",C69),IF(D69="","",D69/10))</f>
        <v/>
      </c>
      <c r="F69" s="13">
        <f>IF(OR(B69&lt;=2011,D69=""),"",D69)</f>
        <v/>
      </c>
      <c r="G69" s="17">
        <f>IF(B69&lt;=2011,IF(C69="","",Puente_CPI!$G$2+Puente_CPI!$G$3*C69),IF(D69="","",D69))</f>
        <v/>
      </c>
      <c r="H69" s="8">
        <f>A69&amp;"|"&amp;B69</f>
        <v/>
      </c>
    </row>
    <row r="70">
      <c r="A70" s="8" t="inlineStr">
        <is>
          <t>Chile</t>
        </is>
      </c>
      <c r="B70" s="8" t="n">
        <v>2000</v>
      </c>
      <c r="C70" s="14" t="n">
        <v>7.4</v>
      </c>
      <c r="D70" s="15" t="n"/>
      <c r="E70" s="16">
        <f>IF(B70&lt;=2011,IF(C70="","",C70),IF(D70="","",D70/10))</f>
        <v/>
      </c>
      <c r="F70" s="13">
        <f>IF(OR(B70&lt;=2011,D70=""),"",D70)</f>
        <v/>
      </c>
      <c r="G70" s="17">
        <f>IF(B70&lt;=2011,IF(C70="","",Puente_CPI!$G$2+Puente_CPI!$G$3*C70),IF(D70="","",D70))</f>
        <v/>
      </c>
      <c r="H70" s="8">
        <f>A70&amp;"|"&amp;B70</f>
        <v/>
      </c>
    </row>
    <row r="71">
      <c r="A71" s="8" t="inlineStr">
        <is>
          <t>Chile</t>
        </is>
      </c>
      <c r="B71" s="8" t="n">
        <v>2001</v>
      </c>
      <c r="C71" s="14" t="n">
        <v>7.5</v>
      </c>
      <c r="D71" s="15" t="n"/>
      <c r="E71" s="16">
        <f>IF(B71&lt;=2011,IF(C71="","",C71),IF(D71="","",D71/10))</f>
        <v/>
      </c>
      <c r="F71" s="13">
        <f>IF(OR(B71&lt;=2011,D71=""),"",D71)</f>
        <v/>
      </c>
      <c r="G71" s="17">
        <f>IF(B71&lt;=2011,IF(C71="","",Puente_CPI!$G$2+Puente_CPI!$G$3*C71),IF(D71="","",D71))</f>
        <v/>
      </c>
      <c r="H71" s="8">
        <f>A71&amp;"|"&amp;B71</f>
        <v/>
      </c>
    </row>
    <row r="72">
      <c r="A72" s="8" t="inlineStr">
        <is>
          <t>Chile</t>
        </is>
      </c>
      <c r="B72" s="8" t="n">
        <v>2002</v>
      </c>
      <c r="C72" s="14" t="n">
        <v>7.5</v>
      </c>
      <c r="D72" s="15" t="n"/>
      <c r="E72" s="16">
        <f>IF(B72&lt;=2011,IF(C72="","",C72),IF(D72="","",D72/10))</f>
        <v/>
      </c>
      <c r="F72" s="13">
        <f>IF(OR(B72&lt;=2011,D72=""),"",D72)</f>
        <v/>
      </c>
      <c r="G72" s="17">
        <f>IF(B72&lt;=2011,IF(C72="","",Puente_CPI!$G$2+Puente_CPI!$G$3*C72),IF(D72="","",D72))</f>
        <v/>
      </c>
      <c r="H72" s="8">
        <f>A72&amp;"|"&amp;B72</f>
        <v/>
      </c>
    </row>
    <row r="73">
      <c r="A73" s="8" t="inlineStr">
        <is>
          <t>Chile</t>
        </is>
      </c>
      <c r="B73" s="8" t="n">
        <v>2003</v>
      </c>
      <c r="C73" s="14" t="n">
        <v>7.4</v>
      </c>
      <c r="D73" s="15" t="n"/>
      <c r="E73" s="16">
        <f>IF(B73&lt;=2011,IF(C73="","",C73),IF(D73="","",D73/10))</f>
        <v/>
      </c>
      <c r="F73" s="13">
        <f>IF(OR(B73&lt;=2011,D73=""),"",D73)</f>
        <v/>
      </c>
      <c r="G73" s="17">
        <f>IF(B73&lt;=2011,IF(C73="","",Puente_CPI!$G$2+Puente_CPI!$G$3*C73),IF(D73="","",D73))</f>
        <v/>
      </c>
      <c r="H73" s="8">
        <f>A73&amp;"|"&amp;B73</f>
        <v/>
      </c>
    </row>
    <row r="74">
      <c r="A74" s="8" t="inlineStr">
        <is>
          <t>Chile</t>
        </is>
      </c>
      <c r="B74" s="8" t="n">
        <v>2004</v>
      </c>
      <c r="C74" s="14" t="n">
        <v>7.4</v>
      </c>
      <c r="D74" s="15" t="n"/>
      <c r="E74" s="16">
        <f>IF(B74&lt;=2011,IF(C74="","",C74),IF(D74="","",D74/10))</f>
        <v/>
      </c>
      <c r="F74" s="13">
        <f>IF(OR(B74&lt;=2011,D74=""),"",D74)</f>
        <v/>
      </c>
      <c r="G74" s="17">
        <f>IF(B74&lt;=2011,IF(C74="","",Puente_CPI!$G$2+Puente_CPI!$G$3*C74),IF(D74="","",D74))</f>
        <v/>
      </c>
      <c r="H74" s="8">
        <f>A74&amp;"|"&amp;B74</f>
        <v/>
      </c>
    </row>
    <row r="75">
      <c r="A75" s="8" t="inlineStr">
        <is>
          <t>Chile</t>
        </is>
      </c>
      <c r="B75" s="8" t="n">
        <v>2005</v>
      </c>
      <c r="C75" s="14" t="n">
        <v>7.3</v>
      </c>
      <c r="D75" s="15" t="n"/>
      <c r="E75" s="16">
        <f>IF(B75&lt;=2011,IF(C75="","",C75),IF(D75="","",D75/10))</f>
        <v/>
      </c>
      <c r="F75" s="13">
        <f>IF(OR(B75&lt;=2011,D75=""),"",D75)</f>
        <v/>
      </c>
      <c r="G75" s="17">
        <f>IF(B75&lt;=2011,IF(C75="","",Puente_CPI!$G$2+Puente_CPI!$G$3*C75),IF(D75="","",D75))</f>
        <v/>
      </c>
      <c r="H75" s="8">
        <f>A75&amp;"|"&amp;B75</f>
        <v/>
      </c>
    </row>
    <row r="76">
      <c r="A76" s="8" t="inlineStr">
        <is>
          <t>Chile</t>
        </is>
      </c>
      <c r="B76" s="8" t="n">
        <v>2006</v>
      </c>
      <c r="C76" s="14" t="n">
        <v>7.3</v>
      </c>
      <c r="D76" s="15" t="n"/>
      <c r="E76" s="16">
        <f>IF(B76&lt;=2011,IF(C76="","",C76),IF(D76="","",D76/10))</f>
        <v/>
      </c>
      <c r="F76" s="13">
        <f>IF(OR(B76&lt;=2011,D76=""),"",D76)</f>
        <v/>
      </c>
      <c r="G76" s="17">
        <f>IF(B76&lt;=2011,IF(C76="","",Puente_CPI!$G$2+Puente_CPI!$G$3*C76),IF(D76="","",D76))</f>
        <v/>
      </c>
      <c r="H76" s="8">
        <f>A76&amp;"|"&amp;B76</f>
        <v/>
      </c>
    </row>
    <row r="77">
      <c r="A77" s="8" t="inlineStr">
        <is>
          <t>Chile</t>
        </is>
      </c>
      <c r="B77" s="8" t="n">
        <v>2007</v>
      </c>
      <c r="C77" s="14" t="n">
        <v>7</v>
      </c>
      <c r="D77" s="15" t="n"/>
      <c r="E77" s="16">
        <f>IF(B77&lt;=2011,IF(C77="","",C77),IF(D77="","",D77/10))</f>
        <v/>
      </c>
      <c r="F77" s="13">
        <f>IF(OR(B77&lt;=2011,D77=""),"",D77)</f>
        <v/>
      </c>
      <c r="G77" s="17">
        <f>IF(B77&lt;=2011,IF(C77="","",Puente_CPI!$G$2+Puente_CPI!$G$3*C77),IF(D77="","",D77))</f>
        <v/>
      </c>
      <c r="H77" s="8">
        <f>A77&amp;"|"&amp;B77</f>
        <v/>
      </c>
    </row>
    <row r="78">
      <c r="A78" s="8" t="inlineStr">
        <is>
          <t>Chile</t>
        </is>
      </c>
      <c r="B78" s="8" t="n">
        <v>2008</v>
      </c>
      <c r="C78" s="14" t="n">
        <v>6.9</v>
      </c>
      <c r="D78" s="15" t="n"/>
      <c r="E78" s="16">
        <f>IF(B78&lt;=2011,IF(C78="","",C78),IF(D78="","",D78/10))</f>
        <v/>
      </c>
      <c r="F78" s="13">
        <f>IF(OR(B78&lt;=2011,D78=""),"",D78)</f>
        <v/>
      </c>
      <c r="G78" s="17">
        <f>IF(B78&lt;=2011,IF(C78="","",Puente_CPI!$G$2+Puente_CPI!$G$3*C78),IF(D78="","",D78))</f>
        <v/>
      </c>
      <c r="H78" s="8">
        <f>A78&amp;"|"&amp;B78</f>
        <v/>
      </c>
    </row>
    <row r="79">
      <c r="A79" s="8" t="inlineStr">
        <is>
          <t>Chile</t>
        </is>
      </c>
      <c r="B79" s="8" t="n">
        <v>2009</v>
      </c>
      <c r="C79" s="14" t="n">
        <v>6.7</v>
      </c>
      <c r="D79" s="15" t="n"/>
      <c r="E79" s="16">
        <f>IF(B79&lt;=2011,IF(C79="","",C79),IF(D79="","",D79/10))</f>
        <v/>
      </c>
      <c r="F79" s="13">
        <f>IF(OR(B79&lt;=2011,D79=""),"",D79)</f>
        <v/>
      </c>
      <c r="G79" s="17">
        <f>IF(B79&lt;=2011,IF(C79="","",Puente_CPI!$G$2+Puente_CPI!$G$3*C79),IF(D79="","",D79))</f>
        <v/>
      </c>
      <c r="H79" s="8">
        <f>A79&amp;"|"&amp;B79</f>
        <v/>
      </c>
    </row>
    <row r="80">
      <c r="A80" s="8" t="inlineStr">
        <is>
          <t>Chile</t>
        </is>
      </c>
      <c r="B80" s="8" t="n">
        <v>2010</v>
      </c>
      <c r="C80" s="14" t="n">
        <v>7.2</v>
      </c>
      <c r="D80" s="15" t="n"/>
      <c r="E80" s="16">
        <f>IF(B80&lt;=2011,IF(C80="","",C80),IF(D80="","",D80/10))</f>
        <v/>
      </c>
      <c r="F80" s="13">
        <f>IF(OR(B80&lt;=2011,D80=""),"",D80)</f>
        <v/>
      </c>
      <c r="G80" s="17">
        <f>IF(B80&lt;=2011,IF(C80="","",Puente_CPI!$G$2+Puente_CPI!$G$3*C80),IF(D80="","",D80))</f>
        <v/>
      </c>
      <c r="H80" s="8">
        <f>A80&amp;"|"&amp;B80</f>
        <v/>
      </c>
    </row>
    <row r="81">
      <c r="A81" s="8" t="inlineStr">
        <is>
          <t>Chile</t>
        </is>
      </c>
      <c r="B81" s="8" t="n">
        <v>2011</v>
      </c>
      <c r="C81" s="14" t="n">
        <v>7.214</v>
      </c>
      <c r="D81" s="15" t="n"/>
      <c r="E81" s="16">
        <f>IF(B81&lt;=2011,IF(C81="","",C81),IF(D81="","",D81/10))</f>
        <v/>
      </c>
      <c r="F81" s="13">
        <f>IF(OR(B81&lt;=2011,D81=""),"",D81)</f>
        <v/>
      </c>
      <c r="G81" s="17">
        <f>IF(B81&lt;=2011,IF(C81="","",Puente_CPI!$G$2+Puente_CPI!$G$3*C81),IF(D81="","",D81))</f>
        <v/>
      </c>
      <c r="H81" s="8">
        <f>A81&amp;"|"&amp;B81</f>
        <v/>
      </c>
    </row>
    <row r="82">
      <c r="A82" s="8" t="inlineStr">
        <is>
          <t>Chile</t>
        </is>
      </c>
      <c r="B82" s="8" t="n">
        <v>2016</v>
      </c>
      <c r="C82" s="14" t="n"/>
      <c r="D82" s="15" t="n">
        <v>66</v>
      </c>
      <c r="E82" s="16">
        <f>IF(B82&lt;=2011,IF(C82="","",C82),IF(D82="","",D82/10))</f>
        <v/>
      </c>
      <c r="F82" s="13">
        <f>IF(OR(B82&lt;=2011,D82=""),"",D82)</f>
        <v/>
      </c>
      <c r="G82" s="17">
        <f>IF(B82&lt;=2011,IF(C82="","",Puente_CPI!$G$2+Puente_CPI!$G$3*C82),IF(D82="","",D82))</f>
        <v/>
      </c>
      <c r="H82" s="8">
        <f>A82&amp;"|"&amp;B82</f>
        <v/>
      </c>
    </row>
    <row r="83">
      <c r="A83" s="8" t="inlineStr">
        <is>
          <t>Chile</t>
        </is>
      </c>
      <c r="B83" s="8" t="n">
        <v>2017</v>
      </c>
      <c r="C83" s="14" t="n"/>
      <c r="D83" s="15" t="n">
        <v>67</v>
      </c>
      <c r="E83" s="16">
        <f>IF(B83&lt;=2011,IF(C83="","",C83),IF(D83="","",D83/10))</f>
        <v/>
      </c>
      <c r="F83" s="13">
        <f>IF(OR(B83&lt;=2011,D83=""),"",D83)</f>
        <v/>
      </c>
      <c r="G83" s="17">
        <f>IF(B83&lt;=2011,IF(C83="","",Puente_CPI!$G$2+Puente_CPI!$G$3*C83),IF(D83="","",D83))</f>
        <v/>
      </c>
      <c r="H83" s="8">
        <f>A83&amp;"|"&amp;B83</f>
        <v/>
      </c>
    </row>
    <row r="84">
      <c r="A84" s="8" t="inlineStr">
        <is>
          <t>Chile</t>
        </is>
      </c>
      <c r="B84" s="8" t="n">
        <v>2018</v>
      </c>
      <c r="C84" s="14" t="n"/>
      <c r="D84" s="15" t="n">
        <v>67</v>
      </c>
      <c r="E84" s="16">
        <f>IF(B84&lt;=2011,IF(C84="","",C84),IF(D84="","",D84/10))</f>
        <v/>
      </c>
      <c r="F84" s="13">
        <f>IF(OR(B84&lt;=2011,D84=""),"",D84)</f>
        <v/>
      </c>
      <c r="G84" s="17">
        <f>IF(B84&lt;=2011,IF(C84="","",Puente_CPI!$G$2+Puente_CPI!$G$3*C84),IF(D84="","",D84))</f>
        <v/>
      </c>
      <c r="H84" s="8">
        <f>A84&amp;"|"&amp;B84</f>
        <v/>
      </c>
    </row>
    <row r="85">
      <c r="A85" s="8" t="inlineStr">
        <is>
          <t>Chile</t>
        </is>
      </c>
      <c r="B85" s="8" t="n">
        <v>2020</v>
      </c>
      <c r="C85" s="14" t="n"/>
      <c r="D85" s="15" t="n">
        <v>67</v>
      </c>
      <c r="E85" s="16">
        <f>IF(B85&lt;=2011,IF(C85="","",C85),IF(D85="","",D85/10))</f>
        <v/>
      </c>
      <c r="F85" s="13">
        <f>IF(OR(B85&lt;=2011,D85=""),"",D85)</f>
        <v/>
      </c>
      <c r="G85" s="17">
        <f>IF(B85&lt;=2011,IF(C85="","",Puente_CPI!$G$2+Puente_CPI!$G$3*C85),IF(D85="","",D85))</f>
        <v/>
      </c>
      <c r="H85" s="8">
        <f>A85&amp;"|"&amp;B85</f>
        <v/>
      </c>
    </row>
    <row r="86">
      <c r="A86" s="8" t="inlineStr">
        <is>
          <t>Chile</t>
        </is>
      </c>
      <c r="B86" s="8" t="n">
        <v>2024</v>
      </c>
      <c r="C86" s="14" t="n"/>
      <c r="D86" s="15" t="n">
        <v>63</v>
      </c>
      <c r="E86" s="16">
        <f>IF(B86&lt;=2011,IF(C86="","",C86),IF(D86="","",D86/10))</f>
        <v/>
      </c>
      <c r="F86" s="13">
        <f>IF(OR(B86&lt;=2011,D86=""),"",D86)</f>
        <v/>
      </c>
      <c r="G86" s="17">
        <f>IF(B86&lt;=2011,IF(C86="","",Puente_CPI!$G$2+Puente_CPI!$G$3*C86),IF(D86="","",D86))</f>
        <v/>
      </c>
      <c r="H86" s="8">
        <f>A86&amp;"|"&amp;B86</f>
        <v/>
      </c>
    </row>
    <row r="87">
      <c r="A87" s="8" t="inlineStr">
        <is>
          <t>Colombia</t>
        </is>
      </c>
      <c r="B87" s="8" t="n">
        <v>1996</v>
      </c>
      <c r="C87" s="14" t="n">
        <v>2.73</v>
      </c>
      <c r="D87" s="15" t="n"/>
      <c r="E87" s="16">
        <f>IF(B87&lt;=2011,IF(C87="","",C87),IF(D87="","",D87/10))</f>
        <v/>
      </c>
      <c r="F87" s="13">
        <f>IF(OR(B87&lt;=2011,D87=""),"",D87)</f>
        <v/>
      </c>
      <c r="G87" s="17">
        <f>IF(B87&lt;=2011,IF(C87="","",Puente_CPI!$G$2+Puente_CPI!$G$3*C87),IF(D87="","",D87))</f>
        <v/>
      </c>
      <c r="H87" s="8">
        <f>A87&amp;"|"&amp;B87</f>
        <v/>
      </c>
    </row>
    <row r="88">
      <c r="A88" s="8" t="inlineStr">
        <is>
          <t>Colombia</t>
        </is>
      </c>
      <c r="B88" s="8" t="n">
        <v>1997</v>
      </c>
      <c r="C88" s="14" t="n">
        <v>2.23</v>
      </c>
      <c r="D88" s="15" t="n"/>
      <c r="E88" s="16">
        <f>IF(B88&lt;=2011,IF(C88="","",C88),IF(D88="","",D88/10))</f>
        <v/>
      </c>
      <c r="F88" s="13">
        <f>IF(OR(B88&lt;=2011,D88=""),"",D88)</f>
        <v/>
      </c>
      <c r="G88" s="17">
        <f>IF(B88&lt;=2011,IF(C88="","",Puente_CPI!$G$2+Puente_CPI!$G$3*C88),IF(D88="","",D88))</f>
        <v/>
      </c>
      <c r="H88" s="8">
        <f>A88&amp;"|"&amp;B88</f>
        <v/>
      </c>
    </row>
    <row r="89">
      <c r="A89" s="8" t="inlineStr">
        <is>
          <t>Colombia</t>
        </is>
      </c>
      <c r="B89" s="8" t="n">
        <v>1998</v>
      </c>
      <c r="C89" s="14" t="n">
        <v>2.2</v>
      </c>
      <c r="D89" s="15" t="n"/>
      <c r="E89" s="16">
        <f>IF(B89&lt;=2011,IF(C89="","",C89),IF(D89="","",D89/10))</f>
        <v/>
      </c>
      <c r="F89" s="13">
        <f>IF(OR(B89&lt;=2011,D89=""),"",D89)</f>
        <v/>
      </c>
      <c r="G89" s="17">
        <f>IF(B89&lt;=2011,IF(C89="","",Puente_CPI!$G$2+Puente_CPI!$G$3*C89),IF(D89="","",D89))</f>
        <v/>
      </c>
      <c r="H89" s="8">
        <f>A89&amp;"|"&amp;B89</f>
        <v/>
      </c>
    </row>
    <row r="90">
      <c r="A90" s="8" t="inlineStr">
        <is>
          <t>Colombia</t>
        </is>
      </c>
      <c r="B90" s="8" t="n">
        <v>2000</v>
      </c>
      <c r="C90" s="14" t="n">
        <v>3.2</v>
      </c>
      <c r="D90" s="15" t="n"/>
      <c r="E90" s="16">
        <f>IF(B90&lt;=2011,IF(C90="","",C90),IF(D90="","",D90/10))</f>
        <v/>
      </c>
      <c r="F90" s="13">
        <f>IF(OR(B90&lt;=2011,D90=""),"",D90)</f>
        <v/>
      </c>
      <c r="G90" s="17">
        <f>IF(B90&lt;=2011,IF(C90="","",Puente_CPI!$G$2+Puente_CPI!$G$3*C90),IF(D90="","",D90))</f>
        <v/>
      </c>
      <c r="H90" s="8">
        <f>A90&amp;"|"&amp;B90</f>
        <v/>
      </c>
    </row>
    <row r="91">
      <c r="A91" s="8" t="inlineStr">
        <is>
          <t>Colombia</t>
        </is>
      </c>
      <c r="B91" s="8" t="n">
        <v>2001</v>
      </c>
      <c r="C91" s="14" t="n">
        <v>3.8</v>
      </c>
      <c r="D91" s="15" t="n"/>
      <c r="E91" s="16">
        <f>IF(B91&lt;=2011,IF(C91="","",C91),IF(D91="","",D91/10))</f>
        <v/>
      </c>
      <c r="F91" s="13">
        <f>IF(OR(B91&lt;=2011,D91=""),"",D91)</f>
        <v/>
      </c>
      <c r="G91" s="17">
        <f>IF(B91&lt;=2011,IF(C91="","",Puente_CPI!$G$2+Puente_CPI!$G$3*C91),IF(D91="","",D91))</f>
        <v/>
      </c>
      <c r="H91" s="8">
        <f>A91&amp;"|"&amp;B91</f>
        <v/>
      </c>
    </row>
    <row r="92">
      <c r="A92" s="8" t="inlineStr">
        <is>
          <t>Colombia</t>
        </is>
      </c>
      <c r="B92" s="8" t="n">
        <v>2002</v>
      </c>
      <c r="C92" s="14" t="n">
        <v>3.6</v>
      </c>
      <c r="D92" s="15" t="n"/>
      <c r="E92" s="16">
        <f>IF(B92&lt;=2011,IF(C92="","",C92),IF(D92="","",D92/10))</f>
        <v/>
      </c>
      <c r="F92" s="13">
        <f>IF(OR(B92&lt;=2011,D92=""),"",D92)</f>
        <v/>
      </c>
      <c r="G92" s="17">
        <f>IF(B92&lt;=2011,IF(C92="","",Puente_CPI!$G$2+Puente_CPI!$G$3*C92),IF(D92="","",D92))</f>
        <v/>
      </c>
      <c r="H92" s="8">
        <f>A92&amp;"|"&amp;B92</f>
        <v/>
      </c>
    </row>
    <row r="93">
      <c r="A93" s="8" t="inlineStr">
        <is>
          <t>Colombia</t>
        </is>
      </c>
      <c r="B93" s="8" t="n">
        <v>2003</v>
      </c>
      <c r="C93" s="14" t="n">
        <v>3.7</v>
      </c>
      <c r="D93" s="15" t="n"/>
      <c r="E93" s="16">
        <f>IF(B93&lt;=2011,IF(C93="","",C93),IF(D93="","",D93/10))</f>
        <v/>
      </c>
      <c r="F93" s="13">
        <f>IF(OR(B93&lt;=2011,D93=""),"",D93)</f>
        <v/>
      </c>
      <c r="G93" s="17">
        <f>IF(B93&lt;=2011,IF(C93="","",Puente_CPI!$G$2+Puente_CPI!$G$3*C93),IF(D93="","",D93))</f>
        <v/>
      </c>
      <c r="H93" s="8">
        <f>A93&amp;"|"&amp;B93</f>
        <v/>
      </c>
    </row>
    <row r="94">
      <c r="A94" s="8" t="inlineStr">
        <is>
          <t>Colombia</t>
        </is>
      </c>
      <c r="B94" s="8" t="n">
        <v>2004</v>
      </c>
      <c r="C94" s="14" t="n">
        <v>3.8</v>
      </c>
      <c r="D94" s="15" t="n"/>
      <c r="E94" s="16">
        <f>IF(B94&lt;=2011,IF(C94="","",C94),IF(D94="","",D94/10))</f>
        <v/>
      </c>
      <c r="F94" s="13">
        <f>IF(OR(B94&lt;=2011,D94=""),"",D94)</f>
        <v/>
      </c>
      <c r="G94" s="17">
        <f>IF(B94&lt;=2011,IF(C94="","",Puente_CPI!$G$2+Puente_CPI!$G$3*C94),IF(D94="","",D94))</f>
        <v/>
      </c>
      <c r="H94" s="8">
        <f>A94&amp;"|"&amp;B94</f>
        <v/>
      </c>
    </row>
    <row r="95">
      <c r="A95" s="8" t="inlineStr">
        <is>
          <t>Colombia</t>
        </is>
      </c>
      <c r="B95" s="8" t="n">
        <v>2005</v>
      </c>
      <c r="C95" s="14" t="n">
        <v>4</v>
      </c>
      <c r="D95" s="15" t="n"/>
      <c r="E95" s="16">
        <f>IF(B95&lt;=2011,IF(C95="","",C95),IF(D95="","",D95/10))</f>
        <v/>
      </c>
      <c r="F95" s="13">
        <f>IF(OR(B95&lt;=2011,D95=""),"",D95)</f>
        <v/>
      </c>
      <c r="G95" s="17">
        <f>IF(B95&lt;=2011,IF(C95="","",Puente_CPI!$G$2+Puente_CPI!$G$3*C95),IF(D95="","",D95))</f>
        <v/>
      </c>
      <c r="H95" s="8">
        <f>A95&amp;"|"&amp;B95</f>
        <v/>
      </c>
    </row>
    <row r="96">
      <c r="A96" s="8" t="inlineStr">
        <is>
          <t>Colombia</t>
        </is>
      </c>
      <c r="B96" s="8" t="n">
        <v>2006</v>
      </c>
      <c r="C96" s="14" t="n">
        <v>3.9</v>
      </c>
      <c r="D96" s="15" t="n"/>
      <c r="E96" s="16">
        <f>IF(B96&lt;=2011,IF(C96="","",C96),IF(D96="","",D96/10))</f>
        <v/>
      </c>
      <c r="F96" s="13">
        <f>IF(OR(B96&lt;=2011,D96=""),"",D96)</f>
        <v/>
      </c>
      <c r="G96" s="17">
        <f>IF(B96&lt;=2011,IF(C96="","",Puente_CPI!$G$2+Puente_CPI!$G$3*C96),IF(D96="","",D96))</f>
        <v/>
      </c>
      <c r="H96" s="8">
        <f>A96&amp;"|"&amp;B96</f>
        <v/>
      </c>
    </row>
    <row r="97">
      <c r="A97" s="8" t="inlineStr">
        <is>
          <t>Colombia</t>
        </is>
      </c>
      <c r="B97" s="8" t="n">
        <v>2007</v>
      </c>
      <c r="C97" s="14" t="n">
        <v>3.8</v>
      </c>
      <c r="D97" s="15" t="n"/>
      <c r="E97" s="16">
        <f>IF(B97&lt;=2011,IF(C97="","",C97),IF(D97="","",D97/10))</f>
        <v/>
      </c>
      <c r="F97" s="13">
        <f>IF(OR(B97&lt;=2011,D97=""),"",D97)</f>
        <v/>
      </c>
      <c r="G97" s="17">
        <f>IF(B97&lt;=2011,IF(C97="","",Puente_CPI!$G$2+Puente_CPI!$G$3*C97),IF(D97="","",D97))</f>
        <v/>
      </c>
      <c r="H97" s="8">
        <f>A97&amp;"|"&amp;B97</f>
        <v/>
      </c>
    </row>
    <row r="98">
      <c r="A98" s="8" t="inlineStr">
        <is>
          <t>Colombia</t>
        </is>
      </c>
      <c r="B98" s="8" t="n">
        <v>2008</v>
      </c>
      <c r="C98" s="14" t="n">
        <v>3.8</v>
      </c>
      <c r="D98" s="15" t="n"/>
      <c r="E98" s="16">
        <f>IF(B98&lt;=2011,IF(C98="","",C98),IF(D98="","",D98/10))</f>
        <v/>
      </c>
      <c r="F98" s="13">
        <f>IF(OR(B98&lt;=2011,D98=""),"",D98)</f>
        <v/>
      </c>
      <c r="G98" s="17">
        <f>IF(B98&lt;=2011,IF(C98="","",Puente_CPI!$G$2+Puente_CPI!$G$3*C98),IF(D98="","",D98))</f>
        <v/>
      </c>
      <c r="H98" s="8">
        <f>A98&amp;"|"&amp;B98</f>
        <v/>
      </c>
    </row>
    <row r="99">
      <c r="A99" s="8" t="inlineStr">
        <is>
          <t>Colombia</t>
        </is>
      </c>
      <c r="B99" s="8" t="n">
        <v>2009</v>
      </c>
      <c r="C99" s="14" t="n">
        <v>3.7</v>
      </c>
      <c r="D99" s="15" t="n"/>
      <c r="E99" s="16">
        <f>IF(B99&lt;=2011,IF(C99="","",C99),IF(D99="","",D99/10))</f>
        <v/>
      </c>
      <c r="F99" s="13">
        <f>IF(OR(B99&lt;=2011,D99=""),"",D99)</f>
        <v/>
      </c>
      <c r="G99" s="17">
        <f>IF(B99&lt;=2011,IF(C99="","",Puente_CPI!$G$2+Puente_CPI!$G$3*C99),IF(D99="","",D99))</f>
        <v/>
      </c>
      <c r="H99" s="8">
        <f>A99&amp;"|"&amp;B99</f>
        <v/>
      </c>
    </row>
    <row r="100">
      <c r="A100" s="8" t="inlineStr">
        <is>
          <t>Colombia</t>
        </is>
      </c>
      <c r="B100" s="8" t="n">
        <v>2010</v>
      </c>
      <c r="C100" s="14" t="n">
        <v>3.5</v>
      </c>
      <c r="D100" s="15" t="n"/>
      <c r="E100" s="16">
        <f>IF(B100&lt;=2011,IF(C100="","",C100),IF(D100="","",D100/10))</f>
        <v/>
      </c>
      <c r="F100" s="13">
        <f>IF(OR(B100&lt;=2011,D100=""),"",D100)</f>
        <v/>
      </c>
      <c r="G100" s="17">
        <f>IF(B100&lt;=2011,IF(C100="","",Puente_CPI!$G$2+Puente_CPI!$G$3*C100),IF(D100="","",D100))</f>
        <v/>
      </c>
      <c r="H100" s="8">
        <f>A100&amp;"|"&amp;B100</f>
        <v/>
      </c>
    </row>
    <row r="101">
      <c r="A101" s="8" t="inlineStr">
        <is>
          <t>Colombia</t>
        </is>
      </c>
      <c r="B101" s="8" t="n">
        <v>2011</v>
      </c>
      <c r="C101" s="14" t="n">
        <v>3.447</v>
      </c>
      <c r="D101" s="15" t="n"/>
      <c r="E101" s="16">
        <f>IF(B101&lt;=2011,IF(C101="","",C101),IF(D101="","",D101/10))</f>
        <v/>
      </c>
      <c r="F101" s="13">
        <f>IF(OR(B101&lt;=2011,D101=""),"",D101)</f>
        <v/>
      </c>
      <c r="G101" s="17">
        <f>IF(B101&lt;=2011,IF(C101="","",Puente_CPI!$G$2+Puente_CPI!$G$3*C101),IF(D101="","",D101))</f>
        <v/>
      </c>
      <c r="H101" s="8">
        <f>A101&amp;"|"&amp;B101</f>
        <v/>
      </c>
    </row>
    <row r="102">
      <c r="A102" s="8" t="inlineStr">
        <is>
          <t>Colombia</t>
        </is>
      </c>
      <c r="B102" s="8" t="n">
        <v>2016</v>
      </c>
      <c r="C102" s="14" t="n"/>
      <c r="D102" s="15" t="n">
        <v>37</v>
      </c>
      <c r="E102" s="16">
        <f>IF(B102&lt;=2011,IF(C102="","",C102),IF(D102="","",D102/10))</f>
        <v/>
      </c>
      <c r="F102" s="13">
        <f>IF(OR(B102&lt;=2011,D102=""),"",D102)</f>
        <v/>
      </c>
      <c r="G102" s="17">
        <f>IF(B102&lt;=2011,IF(C102="","",Puente_CPI!$G$2+Puente_CPI!$G$3*C102),IF(D102="","",D102))</f>
        <v/>
      </c>
      <c r="H102" s="8">
        <f>A102&amp;"|"&amp;B102</f>
        <v/>
      </c>
    </row>
    <row r="103">
      <c r="A103" s="8" t="inlineStr">
        <is>
          <t>Colombia</t>
        </is>
      </c>
      <c r="B103" s="8" t="n">
        <v>2017</v>
      </c>
      <c r="C103" s="14" t="n"/>
      <c r="D103" s="15" t="n">
        <v>37</v>
      </c>
      <c r="E103" s="16">
        <f>IF(B103&lt;=2011,IF(C103="","",C103),IF(D103="","",D103/10))</f>
        <v/>
      </c>
      <c r="F103" s="13">
        <f>IF(OR(B103&lt;=2011,D103=""),"",D103)</f>
        <v/>
      </c>
      <c r="G103" s="17">
        <f>IF(B103&lt;=2011,IF(C103="","",Puente_CPI!$G$2+Puente_CPI!$G$3*C103),IF(D103="","",D103))</f>
        <v/>
      </c>
      <c r="H103" s="8">
        <f>A103&amp;"|"&amp;B103</f>
        <v/>
      </c>
    </row>
    <row r="104">
      <c r="A104" s="8" t="inlineStr">
        <is>
          <t>Colombia</t>
        </is>
      </c>
      <c r="B104" s="8" t="n">
        <v>2018</v>
      </c>
      <c r="C104" s="14" t="n"/>
      <c r="D104" s="15" t="n">
        <v>36</v>
      </c>
      <c r="E104" s="16">
        <f>IF(B104&lt;=2011,IF(C104="","",C104),IF(D104="","",D104/10))</f>
        <v/>
      </c>
      <c r="F104" s="13">
        <f>IF(OR(B104&lt;=2011,D104=""),"",D104)</f>
        <v/>
      </c>
      <c r="G104" s="17">
        <f>IF(B104&lt;=2011,IF(C104="","",Puente_CPI!$G$2+Puente_CPI!$G$3*C104),IF(D104="","",D104))</f>
        <v/>
      </c>
      <c r="H104" s="8">
        <f>A104&amp;"|"&amp;B104</f>
        <v/>
      </c>
    </row>
    <row r="105">
      <c r="A105" s="8" t="inlineStr">
        <is>
          <t>Colombia</t>
        </is>
      </c>
      <c r="B105" s="8" t="n">
        <v>2020</v>
      </c>
      <c r="C105" s="14" t="n"/>
      <c r="D105" s="15" t="n">
        <v>39</v>
      </c>
      <c r="E105" s="16">
        <f>IF(B105&lt;=2011,IF(C105="","",C105),IF(D105="","",D105/10))</f>
        <v/>
      </c>
      <c r="F105" s="13">
        <f>IF(OR(B105&lt;=2011,D105=""),"",D105)</f>
        <v/>
      </c>
      <c r="G105" s="17">
        <f>IF(B105&lt;=2011,IF(C105="","",Puente_CPI!$G$2+Puente_CPI!$G$3*C105),IF(D105="","",D105))</f>
        <v/>
      </c>
      <c r="H105" s="8">
        <f>A105&amp;"|"&amp;B105</f>
        <v/>
      </c>
    </row>
    <row r="106">
      <c r="A106" s="8" t="inlineStr">
        <is>
          <t>Colombia</t>
        </is>
      </c>
      <c r="B106" s="8" t="n">
        <v>2024</v>
      </c>
      <c r="C106" s="14" t="n"/>
      <c r="D106" s="15" t="n">
        <v>39</v>
      </c>
      <c r="E106" s="16">
        <f>IF(B106&lt;=2011,IF(C106="","",C106),IF(D106="","",D106/10))</f>
        <v/>
      </c>
      <c r="F106" s="13">
        <f>IF(OR(B106&lt;=2011,D106=""),"",D106)</f>
        <v/>
      </c>
      <c r="G106" s="17">
        <f>IF(B106&lt;=2011,IF(C106="","",Puente_CPI!$G$2+Puente_CPI!$G$3*C106),IF(D106="","",D106))</f>
        <v/>
      </c>
      <c r="H106" s="8">
        <f>A106&amp;"|"&amp;B106</f>
        <v/>
      </c>
    </row>
    <row r="107">
      <c r="A107" s="8" t="inlineStr">
        <is>
          <t>Costa Rica</t>
        </is>
      </c>
      <c r="B107" s="8" t="n">
        <v>1996</v>
      </c>
      <c r="C107" s="14" t="n"/>
      <c r="D107" s="15" t="n"/>
      <c r="E107" s="16">
        <f>IF(B107&lt;=2011,IF(C107="","",C107),IF(D107="","",D107/10))</f>
        <v/>
      </c>
      <c r="F107" s="13">
        <f>IF(OR(B107&lt;=2011,D107=""),"",D107)</f>
        <v/>
      </c>
      <c r="G107" s="17">
        <f>IF(B107&lt;=2011,IF(C107="","",Puente_CPI!$G$2+Puente_CPI!$G$3*C107),IF(D107="","",D107))</f>
        <v/>
      </c>
      <c r="H107" s="8">
        <f>A107&amp;"|"&amp;B107</f>
        <v/>
      </c>
    </row>
    <row r="108">
      <c r="A108" s="8" t="inlineStr">
        <is>
          <t>Costa Rica</t>
        </is>
      </c>
      <c r="B108" s="8" t="n">
        <v>1997</v>
      </c>
      <c r="C108" s="14" t="n">
        <v>6.45</v>
      </c>
      <c r="D108" s="15" t="n"/>
      <c r="E108" s="16">
        <f>IF(B108&lt;=2011,IF(C108="","",C108),IF(D108="","",D108/10))</f>
        <v/>
      </c>
      <c r="F108" s="13">
        <f>IF(OR(B108&lt;=2011,D108=""),"",D108)</f>
        <v/>
      </c>
      <c r="G108" s="17">
        <f>IF(B108&lt;=2011,IF(C108="","",Puente_CPI!$G$2+Puente_CPI!$G$3*C108),IF(D108="","",D108))</f>
        <v/>
      </c>
      <c r="H108" s="8">
        <f>A108&amp;"|"&amp;B108</f>
        <v/>
      </c>
    </row>
    <row r="109">
      <c r="A109" s="8" t="inlineStr">
        <is>
          <t>Costa Rica</t>
        </is>
      </c>
      <c r="B109" s="8" t="n">
        <v>1998</v>
      </c>
      <c r="C109" s="14" t="n">
        <v>5.6</v>
      </c>
      <c r="D109" s="15" t="n"/>
      <c r="E109" s="16">
        <f>IF(B109&lt;=2011,IF(C109="","",C109),IF(D109="","",D109/10))</f>
        <v/>
      </c>
      <c r="F109" s="13">
        <f>IF(OR(B109&lt;=2011,D109=""),"",D109)</f>
        <v/>
      </c>
      <c r="G109" s="17">
        <f>IF(B109&lt;=2011,IF(C109="","",Puente_CPI!$G$2+Puente_CPI!$G$3*C109),IF(D109="","",D109))</f>
        <v/>
      </c>
      <c r="H109" s="8">
        <f>A109&amp;"|"&amp;B109</f>
        <v/>
      </c>
    </row>
    <row r="110">
      <c r="A110" s="8" t="inlineStr">
        <is>
          <t>Costa Rica</t>
        </is>
      </c>
      <c r="B110" s="8" t="n">
        <v>2000</v>
      </c>
      <c r="C110" s="14" t="n">
        <v>5.4</v>
      </c>
      <c r="D110" s="15" t="n"/>
      <c r="E110" s="16">
        <f>IF(B110&lt;=2011,IF(C110="","",C110),IF(D110="","",D110/10))</f>
        <v/>
      </c>
      <c r="F110" s="13">
        <f>IF(OR(B110&lt;=2011,D110=""),"",D110)</f>
        <v/>
      </c>
      <c r="G110" s="17">
        <f>IF(B110&lt;=2011,IF(C110="","",Puente_CPI!$G$2+Puente_CPI!$G$3*C110),IF(D110="","",D110))</f>
        <v/>
      </c>
      <c r="H110" s="8">
        <f>A110&amp;"|"&amp;B110</f>
        <v/>
      </c>
    </row>
    <row r="111">
      <c r="A111" s="8" t="inlineStr">
        <is>
          <t>Costa Rica</t>
        </is>
      </c>
      <c r="B111" s="8" t="n">
        <v>2001</v>
      </c>
      <c r="C111" s="14" t="n">
        <v>4.5</v>
      </c>
      <c r="D111" s="15" t="n"/>
      <c r="E111" s="16">
        <f>IF(B111&lt;=2011,IF(C111="","",C111),IF(D111="","",D111/10))</f>
        <v/>
      </c>
      <c r="F111" s="13">
        <f>IF(OR(B111&lt;=2011,D111=""),"",D111)</f>
        <v/>
      </c>
      <c r="G111" s="17">
        <f>IF(B111&lt;=2011,IF(C111="","",Puente_CPI!$G$2+Puente_CPI!$G$3*C111),IF(D111="","",D111))</f>
        <v/>
      </c>
      <c r="H111" s="8">
        <f>A111&amp;"|"&amp;B111</f>
        <v/>
      </c>
    </row>
    <row r="112">
      <c r="A112" s="8" t="inlineStr">
        <is>
          <t>Costa Rica</t>
        </is>
      </c>
      <c r="B112" s="8" t="n">
        <v>2002</v>
      </c>
      <c r="C112" s="14" t="n">
        <v>4.5</v>
      </c>
      <c r="D112" s="15" t="n"/>
      <c r="E112" s="16">
        <f>IF(B112&lt;=2011,IF(C112="","",C112),IF(D112="","",D112/10))</f>
        <v/>
      </c>
      <c r="F112" s="13">
        <f>IF(OR(B112&lt;=2011,D112=""),"",D112)</f>
        <v/>
      </c>
      <c r="G112" s="17">
        <f>IF(B112&lt;=2011,IF(C112="","",Puente_CPI!$G$2+Puente_CPI!$G$3*C112),IF(D112="","",D112))</f>
        <v/>
      </c>
      <c r="H112" s="8">
        <f>A112&amp;"|"&amp;B112</f>
        <v/>
      </c>
    </row>
    <row r="113">
      <c r="A113" s="8" t="inlineStr">
        <is>
          <t>Costa Rica</t>
        </is>
      </c>
      <c r="B113" s="8" t="n">
        <v>2003</v>
      </c>
      <c r="C113" s="14" t="n">
        <v>4.3</v>
      </c>
      <c r="D113" s="15" t="n"/>
      <c r="E113" s="16">
        <f>IF(B113&lt;=2011,IF(C113="","",C113),IF(D113="","",D113/10))</f>
        <v/>
      </c>
      <c r="F113" s="13">
        <f>IF(OR(B113&lt;=2011,D113=""),"",D113)</f>
        <v/>
      </c>
      <c r="G113" s="17">
        <f>IF(B113&lt;=2011,IF(C113="","",Puente_CPI!$G$2+Puente_CPI!$G$3*C113),IF(D113="","",D113))</f>
        <v/>
      </c>
      <c r="H113" s="8">
        <f>A113&amp;"|"&amp;B113</f>
        <v/>
      </c>
    </row>
    <row r="114">
      <c r="A114" s="8" t="inlineStr">
        <is>
          <t>Costa Rica</t>
        </is>
      </c>
      <c r="B114" s="8" t="n">
        <v>2004</v>
      </c>
      <c r="C114" s="14" t="n">
        <v>4.9</v>
      </c>
      <c r="D114" s="15" t="n"/>
      <c r="E114" s="16">
        <f>IF(B114&lt;=2011,IF(C114="","",C114),IF(D114="","",D114/10))</f>
        <v/>
      </c>
      <c r="F114" s="13">
        <f>IF(OR(B114&lt;=2011,D114=""),"",D114)</f>
        <v/>
      </c>
      <c r="G114" s="17">
        <f>IF(B114&lt;=2011,IF(C114="","",Puente_CPI!$G$2+Puente_CPI!$G$3*C114),IF(D114="","",D114))</f>
        <v/>
      </c>
      <c r="H114" s="8">
        <f>A114&amp;"|"&amp;B114</f>
        <v/>
      </c>
    </row>
    <row r="115">
      <c r="A115" s="8" t="inlineStr">
        <is>
          <t>Costa Rica</t>
        </is>
      </c>
      <c r="B115" s="8" t="n">
        <v>2005</v>
      </c>
      <c r="C115" s="14" t="n">
        <v>4.2</v>
      </c>
      <c r="D115" s="15" t="n"/>
      <c r="E115" s="16">
        <f>IF(B115&lt;=2011,IF(C115="","",C115),IF(D115="","",D115/10))</f>
        <v/>
      </c>
      <c r="F115" s="13">
        <f>IF(OR(B115&lt;=2011,D115=""),"",D115)</f>
        <v/>
      </c>
      <c r="G115" s="17">
        <f>IF(B115&lt;=2011,IF(C115="","",Puente_CPI!$G$2+Puente_CPI!$G$3*C115),IF(D115="","",D115))</f>
        <v/>
      </c>
      <c r="H115" s="8">
        <f>A115&amp;"|"&amp;B115</f>
        <v/>
      </c>
    </row>
    <row r="116">
      <c r="A116" s="8" t="inlineStr">
        <is>
          <t>Costa Rica</t>
        </is>
      </c>
      <c r="B116" s="8" t="n">
        <v>2006</v>
      </c>
      <c r="C116" s="14" t="n">
        <v>4.1</v>
      </c>
      <c r="D116" s="15" t="n"/>
      <c r="E116" s="16">
        <f>IF(B116&lt;=2011,IF(C116="","",C116),IF(D116="","",D116/10))</f>
        <v/>
      </c>
      <c r="F116" s="13">
        <f>IF(OR(B116&lt;=2011,D116=""),"",D116)</f>
        <v/>
      </c>
      <c r="G116" s="17">
        <f>IF(B116&lt;=2011,IF(C116="","",Puente_CPI!$G$2+Puente_CPI!$G$3*C116),IF(D116="","",D116))</f>
        <v/>
      </c>
      <c r="H116" s="8">
        <f>A116&amp;"|"&amp;B116</f>
        <v/>
      </c>
    </row>
    <row r="117">
      <c r="A117" s="8" t="inlineStr">
        <is>
          <t>Costa Rica</t>
        </is>
      </c>
      <c r="B117" s="8" t="n">
        <v>2007</v>
      </c>
      <c r="C117" s="14" t="n">
        <v>5</v>
      </c>
      <c r="D117" s="15" t="n"/>
      <c r="E117" s="16">
        <f>IF(B117&lt;=2011,IF(C117="","",C117),IF(D117="","",D117/10))</f>
        <v/>
      </c>
      <c r="F117" s="13">
        <f>IF(OR(B117&lt;=2011,D117=""),"",D117)</f>
        <v/>
      </c>
      <c r="G117" s="17">
        <f>IF(B117&lt;=2011,IF(C117="","",Puente_CPI!$G$2+Puente_CPI!$G$3*C117),IF(D117="","",D117))</f>
        <v/>
      </c>
      <c r="H117" s="8">
        <f>A117&amp;"|"&amp;B117</f>
        <v/>
      </c>
    </row>
    <row r="118">
      <c r="A118" s="8" t="inlineStr">
        <is>
          <t>Costa Rica</t>
        </is>
      </c>
      <c r="B118" s="8" t="n">
        <v>2008</v>
      </c>
      <c r="C118" s="14" t="n">
        <v>5.1</v>
      </c>
      <c r="D118" s="15" t="n"/>
      <c r="E118" s="16">
        <f>IF(B118&lt;=2011,IF(C118="","",C118),IF(D118="","",D118/10))</f>
        <v/>
      </c>
      <c r="F118" s="13">
        <f>IF(OR(B118&lt;=2011,D118=""),"",D118)</f>
        <v/>
      </c>
      <c r="G118" s="17">
        <f>IF(B118&lt;=2011,IF(C118="","",Puente_CPI!$G$2+Puente_CPI!$G$3*C118),IF(D118="","",D118))</f>
        <v/>
      </c>
      <c r="H118" s="8">
        <f>A118&amp;"|"&amp;B118</f>
        <v/>
      </c>
    </row>
    <row r="119">
      <c r="A119" s="8" t="inlineStr">
        <is>
          <t>Costa Rica</t>
        </is>
      </c>
      <c r="B119" s="8" t="n">
        <v>2009</v>
      </c>
      <c r="C119" s="14" t="n">
        <v>5.3</v>
      </c>
      <c r="D119" s="15" t="n"/>
      <c r="E119" s="16">
        <f>IF(B119&lt;=2011,IF(C119="","",C119),IF(D119="","",D119/10))</f>
        <v/>
      </c>
      <c r="F119" s="13">
        <f>IF(OR(B119&lt;=2011,D119=""),"",D119)</f>
        <v/>
      </c>
      <c r="G119" s="17">
        <f>IF(B119&lt;=2011,IF(C119="","",Puente_CPI!$G$2+Puente_CPI!$G$3*C119),IF(D119="","",D119))</f>
        <v/>
      </c>
      <c r="H119" s="8">
        <f>A119&amp;"|"&amp;B119</f>
        <v/>
      </c>
    </row>
    <row r="120">
      <c r="A120" s="8" t="inlineStr">
        <is>
          <t>Costa Rica</t>
        </is>
      </c>
      <c r="B120" s="8" t="n">
        <v>2010</v>
      </c>
      <c r="C120" s="14" t="n">
        <v>5.3</v>
      </c>
      <c r="D120" s="15" t="n"/>
      <c r="E120" s="16">
        <f>IF(B120&lt;=2011,IF(C120="","",C120),IF(D120="","",D120/10))</f>
        <v/>
      </c>
      <c r="F120" s="13">
        <f>IF(OR(B120&lt;=2011,D120=""),"",D120)</f>
        <v/>
      </c>
      <c r="G120" s="17">
        <f>IF(B120&lt;=2011,IF(C120="","",Puente_CPI!$G$2+Puente_CPI!$G$3*C120),IF(D120="","",D120))</f>
        <v/>
      </c>
      <c r="H120" s="8">
        <f>A120&amp;"|"&amp;B120</f>
        <v/>
      </c>
    </row>
    <row r="121">
      <c r="A121" s="8" t="inlineStr">
        <is>
          <t>Costa Rica</t>
        </is>
      </c>
      <c r="B121" s="8" t="n">
        <v>2011</v>
      </c>
      <c r="C121" s="14" t="n">
        <v>4.798</v>
      </c>
      <c r="D121" s="15" t="n"/>
      <c r="E121" s="16">
        <f>IF(B121&lt;=2011,IF(C121="","",C121),IF(D121="","",D121/10))</f>
        <v/>
      </c>
      <c r="F121" s="13">
        <f>IF(OR(B121&lt;=2011,D121=""),"",D121)</f>
        <v/>
      </c>
      <c r="G121" s="17">
        <f>IF(B121&lt;=2011,IF(C121="","",Puente_CPI!$G$2+Puente_CPI!$G$3*C121),IF(D121="","",D121))</f>
        <v/>
      </c>
      <c r="H121" s="8">
        <f>A121&amp;"|"&amp;B121</f>
        <v/>
      </c>
    </row>
    <row r="122">
      <c r="A122" s="8" t="inlineStr">
        <is>
          <t>Costa Rica</t>
        </is>
      </c>
      <c r="B122" s="8" t="n">
        <v>2016</v>
      </c>
      <c r="C122" s="14" t="n"/>
      <c r="D122" s="15" t="n">
        <v>58</v>
      </c>
      <c r="E122" s="16">
        <f>IF(B122&lt;=2011,IF(C122="","",C122),IF(D122="","",D122/10))</f>
        <v/>
      </c>
      <c r="F122" s="13">
        <f>IF(OR(B122&lt;=2011,D122=""),"",D122)</f>
        <v/>
      </c>
      <c r="G122" s="17">
        <f>IF(B122&lt;=2011,IF(C122="","",Puente_CPI!$G$2+Puente_CPI!$G$3*C122),IF(D122="","",D122))</f>
        <v/>
      </c>
      <c r="H122" s="8">
        <f>A122&amp;"|"&amp;B122</f>
        <v/>
      </c>
    </row>
    <row r="123">
      <c r="A123" s="8" t="inlineStr">
        <is>
          <t>Costa Rica</t>
        </is>
      </c>
      <c r="B123" s="8" t="n">
        <v>2017</v>
      </c>
      <c r="C123" s="14" t="n"/>
      <c r="D123" s="15" t="n">
        <v>59</v>
      </c>
      <c r="E123" s="16">
        <f>IF(B123&lt;=2011,IF(C123="","",C123),IF(D123="","",D123/10))</f>
        <v/>
      </c>
      <c r="F123" s="13">
        <f>IF(OR(B123&lt;=2011,D123=""),"",D123)</f>
        <v/>
      </c>
      <c r="G123" s="17">
        <f>IF(B123&lt;=2011,IF(C123="","",Puente_CPI!$G$2+Puente_CPI!$G$3*C123),IF(D123="","",D123))</f>
        <v/>
      </c>
      <c r="H123" s="8">
        <f>A123&amp;"|"&amp;B123</f>
        <v/>
      </c>
    </row>
    <row r="124">
      <c r="A124" s="8" t="inlineStr">
        <is>
          <t>Costa Rica</t>
        </is>
      </c>
      <c r="B124" s="8" t="n">
        <v>2018</v>
      </c>
      <c r="C124" s="14" t="n"/>
      <c r="D124" s="15" t="n">
        <v>56</v>
      </c>
      <c r="E124" s="16">
        <f>IF(B124&lt;=2011,IF(C124="","",C124),IF(D124="","",D124/10))</f>
        <v/>
      </c>
      <c r="F124" s="13">
        <f>IF(OR(B124&lt;=2011,D124=""),"",D124)</f>
        <v/>
      </c>
      <c r="G124" s="17">
        <f>IF(B124&lt;=2011,IF(C124="","",Puente_CPI!$G$2+Puente_CPI!$G$3*C124),IF(D124="","",D124))</f>
        <v/>
      </c>
      <c r="H124" s="8">
        <f>A124&amp;"|"&amp;B124</f>
        <v/>
      </c>
    </row>
    <row r="125">
      <c r="A125" s="8" t="inlineStr">
        <is>
          <t>Costa Rica</t>
        </is>
      </c>
      <c r="B125" s="8" t="n">
        <v>2020</v>
      </c>
      <c r="C125" s="14" t="n"/>
      <c r="D125" s="15" t="n">
        <v>57</v>
      </c>
      <c r="E125" s="16">
        <f>IF(B125&lt;=2011,IF(C125="","",C125),IF(D125="","",D125/10))</f>
        <v/>
      </c>
      <c r="F125" s="13">
        <f>IF(OR(B125&lt;=2011,D125=""),"",D125)</f>
        <v/>
      </c>
      <c r="G125" s="17">
        <f>IF(B125&lt;=2011,IF(C125="","",Puente_CPI!$G$2+Puente_CPI!$G$3*C125),IF(D125="","",D125))</f>
        <v/>
      </c>
      <c r="H125" s="8">
        <f>A125&amp;"|"&amp;B125</f>
        <v/>
      </c>
    </row>
    <row r="126">
      <c r="A126" s="8" t="inlineStr">
        <is>
          <t>Costa Rica</t>
        </is>
      </c>
      <c r="B126" s="8" t="n">
        <v>2024</v>
      </c>
      <c r="C126" s="14" t="n"/>
      <c r="D126" s="15" t="n">
        <v>58</v>
      </c>
      <c r="E126" s="16">
        <f>IF(B126&lt;=2011,IF(C126="","",C126),IF(D126="","",D126/10))</f>
        <v/>
      </c>
      <c r="F126" s="13">
        <f>IF(OR(B126&lt;=2011,D126=""),"",D126)</f>
        <v/>
      </c>
      <c r="G126" s="17">
        <f>IF(B126&lt;=2011,IF(C126="","",Puente_CPI!$G$2+Puente_CPI!$G$3*C126),IF(D126="","",D126))</f>
        <v/>
      </c>
      <c r="H126" s="8">
        <f>A126&amp;"|"&amp;B126</f>
        <v/>
      </c>
    </row>
    <row r="127">
      <c r="A127" s="8" t="inlineStr">
        <is>
          <t>Rep. Dominicana</t>
        </is>
      </c>
      <c r="B127" s="8" t="n">
        <v>2004</v>
      </c>
      <c r="C127" s="14" t="n">
        <v>2.9</v>
      </c>
      <c r="D127" s="15" t="n"/>
      <c r="E127" s="16">
        <f>IF(B127&lt;=2011,IF(C127="","",C127),IF(D127="","",D127/10))</f>
        <v/>
      </c>
      <c r="F127" s="13">
        <f>IF(OR(B127&lt;=2011,D127=""),"",D127)</f>
        <v/>
      </c>
      <c r="G127" s="17">
        <f>IF(B127&lt;=2011,IF(C127="","",Puente_CPI!$G$2+Puente_CPI!$G$3*C127),IF(D127="","",D127))</f>
        <v/>
      </c>
      <c r="H127" s="8">
        <f>A127&amp;"|"&amp;B127</f>
        <v/>
      </c>
    </row>
    <row r="128">
      <c r="A128" s="8" t="inlineStr">
        <is>
          <t>Rep. Dominicana</t>
        </is>
      </c>
      <c r="B128" s="8" t="n">
        <v>2005</v>
      </c>
      <c r="C128" s="14" t="n">
        <v>3</v>
      </c>
      <c r="D128" s="15" t="n"/>
      <c r="E128" s="16">
        <f>IF(B128&lt;=2011,IF(C128="","",C128),IF(D128="","",D128/10))</f>
        <v/>
      </c>
      <c r="F128" s="13">
        <f>IF(OR(B128&lt;=2011,D128=""),"",D128)</f>
        <v/>
      </c>
      <c r="G128" s="17">
        <f>IF(B128&lt;=2011,IF(C128="","",Puente_CPI!$G$2+Puente_CPI!$G$3*C128),IF(D128="","",D128))</f>
        <v/>
      </c>
      <c r="H128" s="8">
        <f>A128&amp;"|"&amp;B128</f>
        <v/>
      </c>
    </row>
    <row r="129">
      <c r="A129" s="8" t="inlineStr">
        <is>
          <t>Rep. Dominicana</t>
        </is>
      </c>
      <c r="B129" s="8" t="n">
        <v>2006</v>
      </c>
      <c r="C129" s="14" t="n">
        <v>2.8</v>
      </c>
      <c r="D129" s="15" t="n"/>
      <c r="E129" s="16">
        <f>IF(B129&lt;=2011,IF(C129="","",C129),IF(D129="","",D129/10))</f>
        <v/>
      </c>
      <c r="F129" s="13">
        <f>IF(OR(B129&lt;=2011,D129=""),"",D129)</f>
        <v/>
      </c>
      <c r="G129" s="17">
        <f>IF(B129&lt;=2011,IF(C129="","",Puente_CPI!$G$2+Puente_CPI!$G$3*C129),IF(D129="","",D129))</f>
        <v/>
      </c>
      <c r="H129" s="8">
        <f>A129&amp;"|"&amp;B129</f>
        <v/>
      </c>
    </row>
    <row r="130">
      <c r="A130" s="8" t="inlineStr">
        <is>
          <t>Rep. Dominicana</t>
        </is>
      </c>
      <c r="B130" s="8" t="n">
        <v>2007</v>
      </c>
      <c r="C130" s="14" t="n">
        <v>3</v>
      </c>
      <c r="D130" s="15" t="n"/>
      <c r="E130" s="16">
        <f>IF(B130&lt;=2011,IF(C130="","",C130),IF(D130="","",D130/10))</f>
        <v/>
      </c>
      <c r="F130" s="13">
        <f>IF(OR(B130&lt;=2011,D130=""),"",D130)</f>
        <v/>
      </c>
      <c r="G130" s="17">
        <f>IF(B130&lt;=2011,IF(C130="","",Puente_CPI!$G$2+Puente_CPI!$G$3*C130),IF(D130="","",D130))</f>
        <v/>
      </c>
      <c r="H130" s="8">
        <f>A130&amp;"|"&amp;B130</f>
        <v/>
      </c>
    </row>
    <row r="131">
      <c r="A131" s="8" t="inlineStr">
        <is>
          <t>Rep. Dominicana</t>
        </is>
      </c>
      <c r="B131" s="8" t="n">
        <v>2008</v>
      </c>
      <c r="C131" s="14" t="n">
        <v>3</v>
      </c>
      <c r="D131" s="15" t="n"/>
      <c r="E131" s="16">
        <f>IF(B131&lt;=2011,IF(C131="","",C131),IF(D131="","",D131/10))</f>
        <v/>
      </c>
      <c r="F131" s="13">
        <f>IF(OR(B131&lt;=2011,D131=""),"",D131)</f>
        <v/>
      </c>
      <c r="G131" s="17">
        <f>IF(B131&lt;=2011,IF(C131="","",Puente_CPI!$G$2+Puente_CPI!$G$3*C131),IF(D131="","",D131))</f>
        <v/>
      </c>
      <c r="H131" s="8">
        <f>A131&amp;"|"&amp;B131</f>
        <v/>
      </c>
    </row>
    <row r="132">
      <c r="A132" s="8" t="inlineStr">
        <is>
          <t>Rep. Dominicana</t>
        </is>
      </c>
      <c r="B132" s="8" t="n">
        <v>2009</v>
      </c>
      <c r="C132" s="14" t="n">
        <v>3</v>
      </c>
      <c r="D132" s="15" t="n"/>
      <c r="E132" s="16">
        <f>IF(B132&lt;=2011,IF(C132="","",C132),IF(D132="","",D132/10))</f>
        <v/>
      </c>
      <c r="F132" s="13">
        <f>IF(OR(B132&lt;=2011,D132=""),"",D132)</f>
        <v/>
      </c>
      <c r="G132" s="17">
        <f>IF(B132&lt;=2011,IF(C132="","",Puente_CPI!$G$2+Puente_CPI!$G$3*C132),IF(D132="","",D132))</f>
        <v/>
      </c>
      <c r="H132" s="8">
        <f>A132&amp;"|"&amp;B132</f>
        <v/>
      </c>
    </row>
    <row r="133">
      <c r="A133" s="8" t="inlineStr">
        <is>
          <t>Rep. Dominicana</t>
        </is>
      </c>
      <c r="B133" s="8" t="n">
        <v>2010</v>
      </c>
      <c r="C133" s="14" t="n">
        <v>3</v>
      </c>
      <c r="D133" s="15" t="n"/>
      <c r="E133" s="16">
        <f>IF(B133&lt;=2011,IF(C133="","",C133),IF(D133="","",D133/10))</f>
        <v/>
      </c>
      <c r="F133" s="13">
        <f>IF(OR(B133&lt;=2011,D133=""),"",D133)</f>
        <v/>
      </c>
      <c r="G133" s="17">
        <f>IF(B133&lt;=2011,IF(C133="","",Puente_CPI!$G$2+Puente_CPI!$G$3*C133),IF(D133="","",D133))</f>
        <v/>
      </c>
      <c r="H133" s="8">
        <f>A133&amp;"|"&amp;B133</f>
        <v/>
      </c>
    </row>
    <row r="134">
      <c r="A134" s="8" t="inlineStr">
        <is>
          <t>Rep. Dominicana</t>
        </is>
      </c>
      <c r="B134" s="8" t="n">
        <v>2011</v>
      </c>
      <c r="C134" s="14" t="n">
        <v>2.59</v>
      </c>
      <c r="D134" s="15" t="n"/>
      <c r="E134" s="16">
        <f>IF(B134&lt;=2011,IF(C134="","",C134),IF(D134="","",D134/10))</f>
        <v/>
      </c>
      <c r="F134" s="13">
        <f>IF(OR(B134&lt;=2011,D134=""),"",D134)</f>
        <v/>
      </c>
      <c r="G134" s="17">
        <f>IF(B134&lt;=2011,IF(C134="","",Puente_CPI!$G$2+Puente_CPI!$G$3*C134),IF(D134="","",D134))</f>
        <v/>
      </c>
      <c r="H134" s="8">
        <f>A134&amp;"|"&amp;B134</f>
        <v/>
      </c>
    </row>
    <row r="135">
      <c r="A135" s="8" t="inlineStr">
        <is>
          <t>Rep. Dominicana</t>
        </is>
      </c>
      <c r="B135" s="8" t="n">
        <v>2016</v>
      </c>
      <c r="C135" s="14" t="n"/>
      <c r="D135" s="15" t="n">
        <v>31</v>
      </c>
      <c r="E135" s="16">
        <f>IF(B135&lt;=2011,IF(C135="","",C135),IF(D135="","",D135/10))</f>
        <v/>
      </c>
      <c r="F135" s="13">
        <f>IF(OR(B135&lt;=2011,D135=""),"",D135)</f>
        <v/>
      </c>
      <c r="G135" s="17">
        <f>IF(B135&lt;=2011,IF(C135="","",Puente_CPI!$G$2+Puente_CPI!$G$3*C135),IF(D135="","",D135))</f>
        <v/>
      </c>
      <c r="H135" s="8">
        <f>A135&amp;"|"&amp;B135</f>
        <v/>
      </c>
    </row>
    <row r="136">
      <c r="A136" s="8" t="inlineStr">
        <is>
          <t>Rep. Dominicana</t>
        </is>
      </c>
      <c r="B136" s="8" t="n">
        <v>2017</v>
      </c>
      <c r="C136" s="14" t="n"/>
      <c r="D136" s="15" t="n">
        <v>29</v>
      </c>
      <c r="E136" s="16">
        <f>IF(B136&lt;=2011,IF(C136="","",C136),IF(D136="","",D136/10))</f>
        <v/>
      </c>
      <c r="F136" s="13">
        <f>IF(OR(B136&lt;=2011,D136=""),"",D136)</f>
        <v/>
      </c>
      <c r="G136" s="17">
        <f>IF(B136&lt;=2011,IF(C136="","",Puente_CPI!$G$2+Puente_CPI!$G$3*C136),IF(D136="","",D136))</f>
        <v/>
      </c>
      <c r="H136" s="8">
        <f>A136&amp;"|"&amp;B136</f>
        <v/>
      </c>
    </row>
    <row r="137">
      <c r="A137" s="8" t="inlineStr">
        <is>
          <t>Rep. Dominicana</t>
        </is>
      </c>
      <c r="B137" s="8" t="n">
        <v>2018</v>
      </c>
      <c r="C137" s="14" t="n"/>
      <c r="D137" s="15" t="n">
        <v>30</v>
      </c>
      <c r="E137" s="16">
        <f>IF(B137&lt;=2011,IF(C137="","",C137),IF(D137="","",D137/10))</f>
        <v/>
      </c>
      <c r="F137" s="13">
        <f>IF(OR(B137&lt;=2011,D137=""),"",D137)</f>
        <v/>
      </c>
      <c r="G137" s="17">
        <f>IF(B137&lt;=2011,IF(C137="","",Puente_CPI!$G$2+Puente_CPI!$G$3*C137),IF(D137="","",D137))</f>
        <v/>
      </c>
      <c r="H137" s="8">
        <f>A137&amp;"|"&amp;B137</f>
        <v/>
      </c>
    </row>
    <row r="138">
      <c r="A138" s="8" t="inlineStr">
        <is>
          <t>Rep. Dominicana</t>
        </is>
      </c>
      <c r="B138" s="8" t="n">
        <v>2020</v>
      </c>
      <c r="C138" s="14" t="n"/>
      <c r="D138" s="15" t="n">
        <v>28</v>
      </c>
      <c r="E138" s="16">
        <f>IF(B138&lt;=2011,IF(C138="","",C138),IF(D138="","",D138/10))</f>
        <v/>
      </c>
      <c r="F138" s="13">
        <f>IF(OR(B138&lt;=2011,D138=""),"",D138)</f>
        <v/>
      </c>
      <c r="G138" s="17">
        <f>IF(B138&lt;=2011,IF(C138="","",Puente_CPI!$G$2+Puente_CPI!$G$3*C138),IF(D138="","",D138))</f>
        <v/>
      </c>
      <c r="H138" s="8">
        <f>A138&amp;"|"&amp;B138</f>
        <v/>
      </c>
    </row>
    <row r="139">
      <c r="A139" s="8" t="inlineStr">
        <is>
          <t>Rep. Dominicana</t>
        </is>
      </c>
      <c r="B139" s="8" t="n">
        <v>2024</v>
      </c>
      <c r="C139" s="14" t="n"/>
      <c r="D139" s="15" t="n">
        <v>36</v>
      </c>
      <c r="E139" s="16">
        <f>IF(B139&lt;=2011,IF(C139="","",C139),IF(D139="","",D139/10))</f>
        <v/>
      </c>
      <c r="F139" s="13">
        <f>IF(OR(B139&lt;=2011,D139=""),"",D139)</f>
        <v/>
      </c>
      <c r="G139" s="17">
        <f>IF(B139&lt;=2011,IF(C139="","",Puente_CPI!$G$2+Puente_CPI!$G$3*C139),IF(D139="","",D139))</f>
        <v/>
      </c>
      <c r="H139" s="8">
        <f>A139&amp;"|"&amp;B139</f>
        <v/>
      </c>
    </row>
    <row r="140">
      <c r="A140" s="8" t="inlineStr">
        <is>
          <t>Ecuador</t>
        </is>
      </c>
      <c r="B140" s="8" t="n">
        <v>1996</v>
      </c>
      <c r="C140" s="14" t="n">
        <v>3.19</v>
      </c>
      <c r="D140" s="15" t="n"/>
      <c r="E140" s="16">
        <f>IF(B140&lt;=2011,IF(C140="","",C140),IF(D140="","",D140/10))</f>
        <v/>
      </c>
      <c r="F140" s="13">
        <f>IF(OR(B140&lt;=2011,D140=""),"",D140)</f>
        <v/>
      </c>
      <c r="G140" s="17">
        <f>IF(B140&lt;=2011,IF(C140="","",Puente_CPI!$G$2+Puente_CPI!$G$3*C140),IF(D140="","",D140))</f>
        <v/>
      </c>
      <c r="H140" s="8">
        <f>A140&amp;"|"&amp;B140</f>
        <v/>
      </c>
    </row>
    <row r="141">
      <c r="A141" s="8" t="inlineStr">
        <is>
          <t>Ecuador</t>
        </is>
      </c>
      <c r="B141" s="8" t="n">
        <v>1997</v>
      </c>
      <c r="C141" s="14" t="n"/>
      <c r="D141" s="15" t="n"/>
      <c r="E141" s="16">
        <f>IF(B141&lt;=2011,IF(C141="","",C141),IF(D141="","",D141/10))</f>
        <v/>
      </c>
      <c r="F141" s="13">
        <f>IF(OR(B141&lt;=2011,D141=""),"",D141)</f>
        <v/>
      </c>
      <c r="G141" s="17">
        <f>IF(B141&lt;=2011,IF(C141="","",Puente_CPI!$G$2+Puente_CPI!$G$3*C141),IF(D141="","",D141))</f>
        <v/>
      </c>
      <c r="H141" s="8">
        <f>A141&amp;"|"&amp;B141</f>
        <v/>
      </c>
    </row>
    <row r="142">
      <c r="A142" s="8" t="inlineStr">
        <is>
          <t>Ecuador</t>
        </is>
      </c>
      <c r="B142" s="8" t="n">
        <v>1998</v>
      </c>
      <c r="C142" s="14" t="n">
        <v>2.3</v>
      </c>
      <c r="D142" s="15" t="n"/>
      <c r="E142" s="16">
        <f>IF(B142&lt;=2011,IF(C142="","",C142),IF(D142="","",D142/10))</f>
        <v/>
      </c>
      <c r="F142" s="13">
        <f>IF(OR(B142&lt;=2011,D142=""),"",D142)</f>
        <v/>
      </c>
      <c r="G142" s="17">
        <f>IF(B142&lt;=2011,IF(C142="","",Puente_CPI!$G$2+Puente_CPI!$G$3*C142),IF(D142="","",D142))</f>
        <v/>
      </c>
      <c r="H142" s="8">
        <f>A142&amp;"|"&amp;B142</f>
        <v/>
      </c>
    </row>
    <row r="143">
      <c r="A143" s="8" t="inlineStr">
        <is>
          <t>Ecuador</t>
        </is>
      </c>
      <c r="B143" s="8" t="n">
        <v>2000</v>
      </c>
      <c r="C143" s="14" t="n">
        <v>2.6</v>
      </c>
      <c r="D143" s="15" t="n"/>
      <c r="E143" s="16">
        <f>IF(B143&lt;=2011,IF(C143="","",C143),IF(D143="","",D143/10))</f>
        <v/>
      </c>
      <c r="F143" s="13">
        <f>IF(OR(B143&lt;=2011,D143=""),"",D143)</f>
        <v/>
      </c>
      <c r="G143" s="17">
        <f>IF(B143&lt;=2011,IF(C143="","",Puente_CPI!$G$2+Puente_CPI!$G$3*C143),IF(D143="","",D143))</f>
        <v/>
      </c>
      <c r="H143" s="8">
        <f>A143&amp;"|"&amp;B143</f>
        <v/>
      </c>
    </row>
    <row r="144">
      <c r="A144" s="8" t="inlineStr">
        <is>
          <t>Ecuador</t>
        </is>
      </c>
      <c r="B144" s="8" t="n">
        <v>2001</v>
      </c>
      <c r="C144" s="14" t="n">
        <v>2.3</v>
      </c>
      <c r="D144" s="15" t="n"/>
      <c r="E144" s="16">
        <f>IF(B144&lt;=2011,IF(C144="","",C144),IF(D144="","",D144/10))</f>
        <v/>
      </c>
      <c r="F144" s="13">
        <f>IF(OR(B144&lt;=2011,D144=""),"",D144)</f>
        <v/>
      </c>
      <c r="G144" s="17">
        <f>IF(B144&lt;=2011,IF(C144="","",Puente_CPI!$G$2+Puente_CPI!$G$3*C144),IF(D144="","",D144))</f>
        <v/>
      </c>
      <c r="H144" s="8">
        <f>A144&amp;"|"&amp;B144</f>
        <v/>
      </c>
    </row>
    <row r="145">
      <c r="A145" s="8" t="inlineStr">
        <is>
          <t>Ecuador</t>
        </is>
      </c>
      <c r="B145" s="8" t="n">
        <v>2002</v>
      </c>
      <c r="C145" s="14" t="n">
        <v>2.2</v>
      </c>
      <c r="D145" s="15" t="n"/>
      <c r="E145" s="16">
        <f>IF(B145&lt;=2011,IF(C145="","",C145),IF(D145="","",D145/10))</f>
        <v/>
      </c>
      <c r="F145" s="13">
        <f>IF(OR(B145&lt;=2011,D145=""),"",D145)</f>
        <v/>
      </c>
      <c r="G145" s="17">
        <f>IF(B145&lt;=2011,IF(C145="","",Puente_CPI!$G$2+Puente_CPI!$G$3*C145),IF(D145="","",D145))</f>
        <v/>
      </c>
      <c r="H145" s="8">
        <f>A145&amp;"|"&amp;B145</f>
        <v/>
      </c>
    </row>
    <row r="146">
      <c r="A146" s="8" t="inlineStr">
        <is>
          <t>Ecuador</t>
        </is>
      </c>
      <c r="B146" s="8" t="n">
        <v>2003</v>
      </c>
      <c r="C146" s="14" t="n">
        <v>2.2</v>
      </c>
      <c r="D146" s="15" t="n"/>
      <c r="E146" s="16">
        <f>IF(B146&lt;=2011,IF(C146="","",C146),IF(D146="","",D146/10))</f>
        <v/>
      </c>
      <c r="F146" s="13">
        <f>IF(OR(B146&lt;=2011,D146=""),"",D146)</f>
        <v/>
      </c>
      <c r="G146" s="17">
        <f>IF(B146&lt;=2011,IF(C146="","",Puente_CPI!$G$2+Puente_CPI!$G$3*C146),IF(D146="","",D146))</f>
        <v/>
      </c>
      <c r="H146" s="8">
        <f>A146&amp;"|"&amp;B146</f>
        <v/>
      </c>
    </row>
    <row r="147">
      <c r="A147" s="8" t="inlineStr">
        <is>
          <t>Ecuador</t>
        </is>
      </c>
      <c r="B147" s="8" t="n">
        <v>2004</v>
      </c>
      <c r="C147" s="14" t="n">
        <v>2.4</v>
      </c>
      <c r="D147" s="15" t="n"/>
      <c r="E147" s="16">
        <f>IF(B147&lt;=2011,IF(C147="","",C147),IF(D147="","",D147/10))</f>
        <v/>
      </c>
      <c r="F147" s="13">
        <f>IF(OR(B147&lt;=2011,D147=""),"",D147)</f>
        <v/>
      </c>
      <c r="G147" s="17">
        <f>IF(B147&lt;=2011,IF(C147="","",Puente_CPI!$G$2+Puente_CPI!$G$3*C147),IF(D147="","",D147))</f>
        <v/>
      </c>
      <c r="H147" s="8">
        <f>A147&amp;"|"&amp;B147</f>
        <v/>
      </c>
    </row>
    <row r="148">
      <c r="A148" s="8" t="inlineStr">
        <is>
          <t>Ecuador</t>
        </is>
      </c>
      <c r="B148" s="8" t="n">
        <v>2005</v>
      </c>
      <c r="C148" s="14" t="n">
        <v>2.5</v>
      </c>
      <c r="D148" s="15" t="n"/>
      <c r="E148" s="16">
        <f>IF(B148&lt;=2011,IF(C148="","",C148),IF(D148="","",D148/10))</f>
        <v/>
      </c>
      <c r="F148" s="13">
        <f>IF(OR(B148&lt;=2011,D148=""),"",D148)</f>
        <v/>
      </c>
      <c r="G148" s="17">
        <f>IF(B148&lt;=2011,IF(C148="","",Puente_CPI!$G$2+Puente_CPI!$G$3*C148),IF(D148="","",D148))</f>
        <v/>
      </c>
      <c r="H148" s="8">
        <f>A148&amp;"|"&amp;B148</f>
        <v/>
      </c>
    </row>
    <row r="149">
      <c r="A149" s="8" t="inlineStr">
        <is>
          <t>Ecuador</t>
        </is>
      </c>
      <c r="B149" s="8" t="n">
        <v>2006</v>
      </c>
      <c r="C149" s="14" t="n">
        <v>2.3</v>
      </c>
      <c r="D149" s="15" t="n"/>
      <c r="E149" s="16">
        <f>IF(B149&lt;=2011,IF(C149="","",C149),IF(D149="","",D149/10))</f>
        <v/>
      </c>
      <c r="F149" s="13">
        <f>IF(OR(B149&lt;=2011,D149=""),"",D149)</f>
        <v/>
      </c>
      <c r="G149" s="17">
        <f>IF(B149&lt;=2011,IF(C149="","",Puente_CPI!$G$2+Puente_CPI!$G$3*C149),IF(D149="","",D149))</f>
        <v/>
      </c>
      <c r="H149" s="8">
        <f>A149&amp;"|"&amp;B149</f>
        <v/>
      </c>
    </row>
    <row r="150">
      <c r="A150" s="8" t="inlineStr">
        <is>
          <t>Ecuador</t>
        </is>
      </c>
      <c r="B150" s="8" t="n">
        <v>2007</v>
      </c>
      <c r="C150" s="14" t="n">
        <v>2.1</v>
      </c>
      <c r="D150" s="15" t="n"/>
      <c r="E150" s="16">
        <f>IF(B150&lt;=2011,IF(C150="","",C150),IF(D150="","",D150/10))</f>
        <v/>
      </c>
      <c r="F150" s="13">
        <f>IF(OR(B150&lt;=2011,D150=""),"",D150)</f>
        <v/>
      </c>
      <c r="G150" s="17">
        <f>IF(B150&lt;=2011,IF(C150="","",Puente_CPI!$G$2+Puente_CPI!$G$3*C150),IF(D150="","",D150))</f>
        <v/>
      </c>
      <c r="H150" s="8">
        <f>A150&amp;"|"&amp;B150</f>
        <v/>
      </c>
    </row>
    <row r="151">
      <c r="A151" s="8" t="inlineStr">
        <is>
          <t>Ecuador</t>
        </is>
      </c>
      <c r="B151" s="8" t="n">
        <v>2008</v>
      </c>
      <c r="C151" s="14" t="n">
        <v>2</v>
      </c>
      <c r="D151" s="15" t="n"/>
      <c r="E151" s="16">
        <f>IF(B151&lt;=2011,IF(C151="","",C151),IF(D151="","",D151/10))</f>
        <v/>
      </c>
      <c r="F151" s="13">
        <f>IF(OR(B151&lt;=2011,D151=""),"",D151)</f>
        <v/>
      </c>
      <c r="G151" s="17">
        <f>IF(B151&lt;=2011,IF(C151="","",Puente_CPI!$G$2+Puente_CPI!$G$3*C151),IF(D151="","",D151))</f>
        <v/>
      </c>
      <c r="H151" s="8">
        <f>A151&amp;"|"&amp;B151</f>
        <v/>
      </c>
    </row>
    <row r="152">
      <c r="A152" s="8" t="inlineStr">
        <is>
          <t>Ecuador</t>
        </is>
      </c>
      <c r="B152" s="8" t="n">
        <v>2009</v>
      </c>
      <c r="C152" s="14" t="n">
        <v>2.2</v>
      </c>
      <c r="D152" s="15" t="n"/>
      <c r="E152" s="16">
        <f>IF(B152&lt;=2011,IF(C152="","",C152),IF(D152="","",D152/10))</f>
        <v/>
      </c>
      <c r="F152" s="13">
        <f>IF(OR(B152&lt;=2011,D152=""),"",D152)</f>
        <v/>
      </c>
      <c r="G152" s="17">
        <f>IF(B152&lt;=2011,IF(C152="","",Puente_CPI!$G$2+Puente_CPI!$G$3*C152),IF(D152="","",D152))</f>
        <v/>
      </c>
      <c r="H152" s="8">
        <f>A152&amp;"|"&amp;B152</f>
        <v/>
      </c>
    </row>
    <row r="153">
      <c r="A153" s="8" t="inlineStr">
        <is>
          <t>Ecuador</t>
        </is>
      </c>
      <c r="B153" s="8" t="n">
        <v>2010</v>
      </c>
      <c r="C153" s="14" t="n">
        <v>2.5</v>
      </c>
      <c r="D153" s="15" t="n"/>
      <c r="E153" s="16">
        <f>IF(B153&lt;=2011,IF(C153="","",C153),IF(D153="","",D153/10))</f>
        <v/>
      </c>
      <c r="F153" s="13">
        <f>IF(OR(B153&lt;=2011,D153=""),"",D153)</f>
        <v/>
      </c>
      <c r="G153" s="17">
        <f>IF(B153&lt;=2011,IF(C153="","",Puente_CPI!$G$2+Puente_CPI!$G$3*C153),IF(D153="","",D153))</f>
        <v/>
      </c>
      <c r="H153" s="8">
        <f>A153&amp;"|"&amp;B153</f>
        <v/>
      </c>
    </row>
    <row r="154">
      <c r="A154" s="8" t="inlineStr">
        <is>
          <t>Ecuador</t>
        </is>
      </c>
      <c r="B154" s="8" t="n">
        <v>2011</v>
      </c>
      <c r="C154" s="14" t="n">
        <v>2.65</v>
      </c>
      <c r="D154" s="15" t="n"/>
      <c r="E154" s="16">
        <f>IF(B154&lt;=2011,IF(C154="","",C154),IF(D154="","",D154/10))</f>
        <v/>
      </c>
      <c r="F154" s="13">
        <f>IF(OR(B154&lt;=2011,D154=""),"",D154)</f>
        <v/>
      </c>
      <c r="G154" s="17">
        <f>IF(B154&lt;=2011,IF(C154="","",Puente_CPI!$G$2+Puente_CPI!$G$3*C154),IF(D154="","",D154))</f>
        <v/>
      </c>
      <c r="H154" s="8">
        <f>A154&amp;"|"&amp;B154</f>
        <v/>
      </c>
    </row>
    <row r="155">
      <c r="A155" s="8" t="inlineStr">
        <is>
          <t>Ecuador</t>
        </is>
      </c>
      <c r="B155" s="8" t="n">
        <v>2016</v>
      </c>
      <c r="C155" s="14" t="n"/>
      <c r="D155" s="15" t="n">
        <v>31</v>
      </c>
      <c r="E155" s="16">
        <f>IF(B155&lt;=2011,IF(C155="","",C155),IF(D155="","",D155/10))</f>
        <v/>
      </c>
      <c r="F155" s="13">
        <f>IF(OR(B155&lt;=2011,D155=""),"",D155)</f>
        <v/>
      </c>
      <c r="G155" s="17">
        <f>IF(B155&lt;=2011,IF(C155="","",Puente_CPI!$G$2+Puente_CPI!$G$3*C155),IF(D155="","",D155))</f>
        <v/>
      </c>
      <c r="H155" s="8">
        <f>A155&amp;"|"&amp;B155</f>
        <v/>
      </c>
    </row>
    <row r="156">
      <c r="A156" s="8" t="inlineStr">
        <is>
          <t>Ecuador</t>
        </is>
      </c>
      <c r="B156" s="8" t="n">
        <v>2017</v>
      </c>
      <c r="C156" s="14" t="n"/>
      <c r="D156" s="15" t="n">
        <v>32</v>
      </c>
      <c r="E156" s="16">
        <f>IF(B156&lt;=2011,IF(C156="","",C156),IF(D156="","",D156/10))</f>
        <v/>
      </c>
      <c r="F156" s="13">
        <f>IF(OR(B156&lt;=2011,D156=""),"",D156)</f>
        <v/>
      </c>
      <c r="G156" s="17">
        <f>IF(B156&lt;=2011,IF(C156="","",Puente_CPI!$G$2+Puente_CPI!$G$3*C156),IF(D156="","",D156))</f>
        <v/>
      </c>
      <c r="H156" s="8">
        <f>A156&amp;"|"&amp;B156</f>
        <v/>
      </c>
    </row>
    <row r="157">
      <c r="A157" s="8" t="inlineStr">
        <is>
          <t>Ecuador</t>
        </is>
      </c>
      <c r="B157" s="8" t="n">
        <v>2018</v>
      </c>
      <c r="C157" s="14" t="n"/>
      <c r="D157" s="15" t="n">
        <v>34</v>
      </c>
      <c r="E157" s="16">
        <f>IF(B157&lt;=2011,IF(C157="","",C157),IF(D157="","",D157/10))</f>
        <v/>
      </c>
      <c r="F157" s="13">
        <f>IF(OR(B157&lt;=2011,D157=""),"",D157)</f>
        <v/>
      </c>
      <c r="G157" s="17">
        <f>IF(B157&lt;=2011,IF(C157="","",Puente_CPI!$G$2+Puente_CPI!$G$3*C157),IF(D157="","",D157))</f>
        <v/>
      </c>
      <c r="H157" s="8">
        <f>A157&amp;"|"&amp;B157</f>
        <v/>
      </c>
    </row>
    <row r="158">
      <c r="A158" s="8" t="inlineStr">
        <is>
          <t>Ecuador</t>
        </is>
      </c>
      <c r="B158" s="8" t="n">
        <v>2020</v>
      </c>
      <c r="C158" s="14" t="n"/>
      <c r="D158" s="15" t="n">
        <v>39</v>
      </c>
      <c r="E158" s="16">
        <f>IF(B158&lt;=2011,IF(C158="","",C158),IF(D158="","",D158/10))</f>
        <v/>
      </c>
      <c r="F158" s="13">
        <f>IF(OR(B158&lt;=2011,D158=""),"",D158)</f>
        <v/>
      </c>
      <c r="G158" s="17">
        <f>IF(B158&lt;=2011,IF(C158="","",Puente_CPI!$G$2+Puente_CPI!$G$3*C158),IF(D158="","",D158))</f>
        <v/>
      </c>
      <c r="H158" s="8">
        <f>A158&amp;"|"&amp;B158</f>
        <v/>
      </c>
    </row>
    <row r="159">
      <c r="A159" s="8" t="inlineStr">
        <is>
          <t>Ecuador</t>
        </is>
      </c>
      <c r="B159" s="8" t="n">
        <v>2024</v>
      </c>
      <c r="C159" s="14" t="n"/>
      <c r="D159" s="15" t="n">
        <v>32</v>
      </c>
      <c r="E159" s="16">
        <f>IF(B159&lt;=2011,IF(C159="","",C159),IF(D159="","",D159/10))</f>
        <v/>
      </c>
      <c r="F159" s="13">
        <f>IF(OR(B159&lt;=2011,D159=""),"",D159)</f>
        <v/>
      </c>
      <c r="G159" s="17">
        <f>IF(B159&lt;=2011,IF(C159="","",Puente_CPI!$G$2+Puente_CPI!$G$3*C159),IF(D159="","",D159))</f>
        <v/>
      </c>
      <c r="H159" s="8">
        <f>A159&amp;"|"&amp;B159</f>
        <v/>
      </c>
    </row>
    <row r="160">
      <c r="A160" s="8" t="inlineStr">
        <is>
          <t>El Salvador</t>
        </is>
      </c>
      <c r="B160" s="8" t="n">
        <v>1996</v>
      </c>
      <c r="C160" s="14" t="n"/>
      <c r="D160" s="15" t="n"/>
      <c r="E160" s="16">
        <f>IF(B160&lt;=2011,IF(C160="","",C160),IF(D160="","",D160/10))</f>
        <v/>
      </c>
      <c r="F160" s="13">
        <f>IF(OR(B160&lt;=2011,D160=""),"",D160)</f>
        <v/>
      </c>
      <c r="G160" s="17">
        <f>IF(B160&lt;=2011,IF(C160="","",Puente_CPI!$G$2+Puente_CPI!$G$3*C160),IF(D160="","",D160))</f>
        <v/>
      </c>
      <c r="H160" s="8">
        <f>A160&amp;"|"&amp;B160</f>
        <v/>
      </c>
    </row>
    <row r="161">
      <c r="A161" s="8" t="inlineStr">
        <is>
          <t>El Salvador</t>
        </is>
      </c>
      <c r="B161" s="8" t="n">
        <v>1997</v>
      </c>
      <c r="C161" s="14" t="n"/>
      <c r="D161" s="15" t="n"/>
      <c r="E161" s="16">
        <f>IF(B161&lt;=2011,IF(C161="","",C161),IF(D161="","",D161/10))</f>
        <v/>
      </c>
      <c r="F161" s="13">
        <f>IF(OR(B161&lt;=2011,D161=""),"",D161)</f>
        <v/>
      </c>
      <c r="G161" s="17">
        <f>IF(B161&lt;=2011,IF(C161="","",Puente_CPI!$G$2+Puente_CPI!$G$3*C161),IF(D161="","",D161))</f>
        <v/>
      </c>
      <c r="H161" s="8">
        <f>A161&amp;"|"&amp;B161</f>
        <v/>
      </c>
    </row>
    <row r="162">
      <c r="A162" s="8" t="inlineStr">
        <is>
          <t>El Salvador</t>
        </is>
      </c>
      <c r="B162" s="8" t="n">
        <v>1998</v>
      </c>
      <c r="C162" s="14" t="n">
        <v>3.6</v>
      </c>
      <c r="D162" s="15" t="n"/>
      <c r="E162" s="16">
        <f>IF(B162&lt;=2011,IF(C162="","",C162),IF(D162="","",D162/10))</f>
        <v/>
      </c>
      <c r="F162" s="13">
        <f>IF(OR(B162&lt;=2011,D162=""),"",D162)</f>
        <v/>
      </c>
      <c r="G162" s="17">
        <f>IF(B162&lt;=2011,IF(C162="","",Puente_CPI!$G$2+Puente_CPI!$G$3*C162),IF(D162="","",D162))</f>
        <v/>
      </c>
      <c r="H162" s="8">
        <f>A162&amp;"|"&amp;B162</f>
        <v/>
      </c>
    </row>
    <row r="163">
      <c r="A163" s="8" t="inlineStr">
        <is>
          <t>El Salvador</t>
        </is>
      </c>
      <c r="B163" s="8" t="n">
        <v>2000</v>
      </c>
      <c r="C163" s="14" t="n">
        <v>4.1</v>
      </c>
      <c r="D163" s="15" t="n"/>
      <c r="E163" s="16">
        <f>IF(B163&lt;=2011,IF(C163="","",C163),IF(D163="","",D163/10))</f>
        <v/>
      </c>
      <c r="F163" s="13">
        <f>IF(OR(B163&lt;=2011,D163=""),"",D163)</f>
        <v/>
      </c>
      <c r="G163" s="17">
        <f>IF(B163&lt;=2011,IF(C163="","",Puente_CPI!$G$2+Puente_CPI!$G$3*C163),IF(D163="","",D163))</f>
        <v/>
      </c>
      <c r="H163" s="8">
        <f>A163&amp;"|"&amp;B163</f>
        <v/>
      </c>
    </row>
    <row r="164">
      <c r="A164" s="8" t="inlineStr">
        <is>
          <t>El Salvador</t>
        </is>
      </c>
      <c r="B164" s="8" t="n">
        <v>2001</v>
      </c>
      <c r="C164" s="14" t="n">
        <v>3.6</v>
      </c>
      <c r="D164" s="15" t="n"/>
      <c r="E164" s="16">
        <f>IF(B164&lt;=2011,IF(C164="","",C164),IF(D164="","",D164/10))</f>
        <v/>
      </c>
      <c r="F164" s="13">
        <f>IF(OR(B164&lt;=2011,D164=""),"",D164)</f>
        <v/>
      </c>
      <c r="G164" s="17">
        <f>IF(B164&lt;=2011,IF(C164="","",Puente_CPI!$G$2+Puente_CPI!$G$3*C164),IF(D164="","",D164))</f>
        <v/>
      </c>
      <c r="H164" s="8">
        <f>A164&amp;"|"&amp;B164</f>
        <v/>
      </c>
    </row>
    <row r="165">
      <c r="A165" s="8" t="inlineStr">
        <is>
          <t>El Salvador</t>
        </is>
      </c>
      <c r="B165" s="8" t="n">
        <v>2002</v>
      </c>
      <c r="C165" s="14" t="n">
        <v>3.4</v>
      </c>
      <c r="D165" s="15" t="n"/>
      <c r="E165" s="16">
        <f>IF(B165&lt;=2011,IF(C165="","",C165),IF(D165="","",D165/10))</f>
        <v/>
      </c>
      <c r="F165" s="13">
        <f>IF(OR(B165&lt;=2011,D165=""),"",D165)</f>
        <v/>
      </c>
      <c r="G165" s="17">
        <f>IF(B165&lt;=2011,IF(C165="","",Puente_CPI!$G$2+Puente_CPI!$G$3*C165),IF(D165="","",D165))</f>
        <v/>
      </c>
      <c r="H165" s="8">
        <f>A165&amp;"|"&amp;B165</f>
        <v/>
      </c>
    </row>
    <row r="166">
      <c r="A166" s="8" t="inlineStr">
        <is>
          <t>El Salvador</t>
        </is>
      </c>
      <c r="B166" s="8" t="n">
        <v>2003</v>
      </c>
      <c r="C166" s="14" t="n">
        <v>3.7</v>
      </c>
      <c r="D166" s="15" t="n"/>
      <c r="E166" s="16">
        <f>IF(B166&lt;=2011,IF(C166="","",C166),IF(D166="","",D166/10))</f>
        <v/>
      </c>
      <c r="F166" s="13">
        <f>IF(OR(B166&lt;=2011,D166=""),"",D166)</f>
        <v/>
      </c>
      <c r="G166" s="17">
        <f>IF(B166&lt;=2011,IF(C166="","",Puente_CPI!$G$2+Puente_CPI!$G$3*C166),IF(D166="","",D166))</f>
        <v/>
      </c>
      <c r="H166" s="8">
        <f>A166&amp;"|"&amp;B166</f>
        <v/>
      </c>
    </row>
    <row r="167">
      <c r="A167" s="8" t="inlineStr">
        <is>
          <t>El Salvador</t>
        </is>
      </c>
      <c r="B167" s="8" t="n">
        <v>2004</v>
      </c>
      <c r="C167" s="14" t="n">
        <v>4.2</v>
      </c>
      <c r="D167" s="15" t="n"/>
      <c r="E167" s="16">
        <f>IF(B167&lt;=2011,IF(C167="","",C167),IF(D167="","",D167/10))</f>
        <v/>
      </c>
      <c r="F167" s="13">
        <f>IF(OR(B167&lt;=2011,D167=""),"",D167)</f>
        <v/>
      </c>
      <c r="G167" s="17">
        <f>IF(B167&lt;=2011,IF(C167="","",Puente_CPI!$G$2+Puente_CPI!$G$3*C167),IF(D167="","",D167))</f>
        <v/>
      </c>
      <c r="H167" s="8">
        <f>A167&amp;"|"&amp;B167</f>
        <v/>
      </c>
    </row>
    <row r="168">
      <c r="A168" s="8" t="inlineStr">
        <is>
          <t>El Salvador</t>
        </is>
      </c>
      <c r="B168" s="8" t="n">
        <v>2005</v>
      </c>
      <c r="C168" s="14" t="n">
        <v>4.2</v>
      </c>
      <c r="D168" s="15" t="n"/>
      <c r="E168" s="16">
        <f>IF(B168&lt;=2011,IF(C168="","",C168),IF(D168="","",D168/10))</f>
        <v/>
      </c>
      <c r="F168" s="13">
        <f>IF(OR(B168&lt;=2011,D168=""),"",D168)</f>
        <v/>
      </c>
      <c r="G168" s="17">
        <f>IF(B168&lt;=2011,IF(C168="","",Puente_CPI!$G$2+Puente_CPI!$G$3*C168),IF(D168="","",D168))</f>
        <v/>
      </c>
      <c r="H168" s="8">
        <f>A168&amp;"|"&amp;B168</f>
        <v/>
      </c>
    </row>
    <row r="169">
      <c r="A169" s="8" t="inlineStr">
        <is>
          <t>El Salvador</t>
        </is>
      </c>
      <c r="B169" s="8" t="n">
        <v>2006</v>
      </c>
      <c r="C169" s="14" t="n">
        <v>4</v>
      </c>
      <c r="D169" s="15" t="n"/>
      <c r="E169" s="16">
        <f>IF(B169&lt;=2011,IF(C169="","",C169),IF(D169="","",D169/10))</f>
        <v/>
      </c>
      <c r="F169" s="13">
        <f>IF(OR(B169&lt;=2011,D169=""),"",D169)</f>
        <v/>
      </c>
      <c r="G169" s="17">
        <f>IF(B169&lt;=2011,IF(C169="","",Puente_CPI!$G$2+Puente_CPI!$G$3*C169),IF(D169="","",D169))</f>
        <v/>
      </c>
      <c r="H169" s="8">
        <f>A169&amp;"|"&amp;B169</f>
        <v/>
      </c>
    </row>
    <row r="170">
      <c r="A170" s="8" t="inlineStr">
        <is>
          <t>El Salvador</t>
        </is>
      </c>
      <c r="B170" s="8" t="n">
        <v>2007</v>
      </c>
      <c r="C170" s="14" t="n">
        <v>4</v>
      </c>
      <c r="D170" s="15" t="n"/>
      <c r="E170" s="16">
        <f>IF(B170&lt;=2011,IF(C170="","",C170),IF(D170="","",D170/10))</f>
        <v/>
      </c>
      <c r="F170" s="13">
        <f>IF(OR(B170&lt;=2011,D170=""),"",D170)</f>
        <v/>
      </c>
      <c r="G170" s="17">
        <f>IF(B170&lt;=2011,IF(C170="","",Puente_CPI!$G$2+Puente_CPI!$G$3*C170),IF(D170="","",D170))</f>
        <v/>
      </c>
      <c r="H170" s="8">
        <f>A170&amp;"|"&amp;B170</f>
        <v/>
      </c>
    </row>
    <row r="171">
      <c r="A171" s="8" t="inlineStr">
        <is>
          <t>El Salvador</t>
        </is>
      </c>
      <c r="B171" s="8" t="n">
        <v>2008</v>
      </c>
      <c r="C171" s="14" t="n">
        <v>3.9</v>
      </c>
      <c r="D171" s="15" t="n"/>
      <c r="E171" s="16">
        <f>IF(B171&lt;=2011,IF(C171="","",C171),IF(D171="","",D171/10))</f>
        <v/>
      </c>
      <c r="F171" s="13">
        <f>IF(OR(B171&lt;=2011,D171=""),"",D171)</f>
        <v/>
      </c>
      <c r="G171" s="17">
        <f>IF(B171&lt;=2011,IF(C171="","",Puente_CPI!$G$2+Puente_CPI!$G$3*C171),IF(D171="","",D171))</f>
        <v/>
      </c>
      <c r="H171" s="8">
        <f>A171&amp;"|"&amp;B171</f>
        <v/>
      </c>
    </row>
    <row r="172">
      <c r="A172" s="8" t="inlineStr">
        <is>
          <t>El Salvador</t>
        </is>
      </c>
      <c r="B172" s="8" t="n">
        <v>2009</v>
      </c>
      <c r="C172" s="14" t="n">
        <v>3.4</v>
      </c>
      <c r="D172" s="15" t="n"/>
      <c r="E172" s="16">
        <f>IF(B172&lt;=2011,IF(C172="","",C172),IF(D172="","",D172/10))</f>
        <v/>
      </c>
      <c r="F172" s="13">
        <f>IF(OR(B172&lt;=2011,D172=""),"",D172)</f>
        <v/>
      </c>
      <c r="G172" s="17">
        <f>IF(B172&lt;=2011,IF(C172="","",Puente_CPI!$G$2+Puente_CPI!$G$3*C172),IF(D172="","",D172))</f>
        <v/>
      </c>
      <c r="H172" s="8">
        <f>A172&amp;"|"&amp;B172</f>
        <v/>
      </c>
    </row>
    <row r="173">
      <c r="A173" s="8" t="inlineStr">
        <is>
          <t>El Salvador</t>
        </is>
      </c>
      <c r="B173" s="8" t="n">
        <v>2010</v>
      </c>
      <c r="C173" s="14" t="n">
        <v>3.6</v>
      </c>
      <c r="D173" s="15" t="n"/>
      <c r="E173" s="16">
        <f>IF(B173&lt;=2011,IF(C173="","",C173),IF(D173="","",D173/10))</f>
        <v/>
      </c>
      <c r="F173" s="13">
        <f>IF(OR(B173&lt;=2011,D173=""),"",D173)</f>
        <v/>
      </c>
      <c r="G173" s="17">
        <f>IF(B173&lt;=2011,IF(C173="","",Puente_CPI!$G$2+Puente_CPI!$G$3*C173),IF(D173="","",D173))</f>
        <v/>
      </c>
      <c r="H173" s="8">
        <f>A173&amp;"|"&amp;B173</f>
        <v/>
      </c>
    </row>
    <row r="174">
      <c r="A174" s="8" t="inlineStr">
        <is>
          <t>El Salvador</t>
        </is>
      </c>
      <c r="B174" s="8" t="n">
        <v>2011</v>
      </c>
      <c r="C174" s="14" t="n">
        <v>3.425</v>
      </c>
      <c r="D174" s="15" t="n"/>
      <c r="E174" s="16">
        <f>IF(B174&lt;=2011,IF(C174="","",C174),IF(D174="","",D174/10))</f>
        <v/>
      </c>
      <c r="F174" s="13">
        <f>IF(OR(B174&lt;=2011,D174=""),"",D174)</f>
        <v/>
      </c>
      <c r="G174" s="17">
        <f>IF(B174&lt;=2011,IF(C174="","",Puente_CPI!$G$2+Puente_CPI!$G$3*C174),IF(D174="","",D174))</f>
        <v/>
      </c>
      <c r="H174" s="8">
        <f>A174&amp;"|"&amp;B174</f>
        <v/>
      </c>
    </row>
    <row r="175">
      <c r="A175" s="8" t="inlineStr">
        <is>
          <t>El Salvador</t>
        </is>
      </c>
      <c r="B175" s="8" t="n">
        <v>2016</v>
      </c>
      <c r="C175" s="14" t="n"/>
      <c r="D175" s="15" t="n">
        <v>36</v>
      </c>
      <c r="E175" s="16">
        <f>IF(B175&lt;=2011,IF(C175="","",C175),IF(D175="","",D175/10))</f>
        <v/>
      </c>
      <c r="F175" s="13">
        <f>IF(OR(B175&lt;=2011,D175=""),"",D175)</f>
        <v/>
      </c>
      <c r="G175" s="17">
        <f>IF(B175&lt;=2011,IF(C175="","",Puente_CPI!$G$2+Puente_CPI!$G$3*C175),IF(D175="","",D175))</f>
        <v/>
      </c>
      <c r="H175" s="8">
        <f>A175&amp;"|"&amp;B175</f>
        <v/>
      </c>
    </row>
    <row r="176">
      <c r="A176" s="8" t="inlineStr">
        <is>
          <t>El Salvador</t>
        </is>
      </c>
      <c r="B176" s="8" t="n">
        <v>2017</v>
      </c>
      <c r="C176" s="14" t="n"/>
      <c r="D176" s="15" t="n">
        <v>33</v>
      </c>
      <c r="E176" s="16">
        <f>IF(B176&lt;=2011,IF(C176="","",C176),IF(D176="","",D176/10))</f>
        <v/>
      </c>
      <c r="F176" s="13">
        <f>IF(OR(B176&lt;=2011,D176=""),"",D176)</f>
        <v/>
      </c>
      <c r="G176" s="17">
        <f>IF(B176&lt;=2011,IF(C176="","",Puente_CPI!$G$2+Puente_CPI!$G$3*C176),IF(D176="","",D176))</f>
        <v/>
      </c>
      <c r="H176" s="8">
        <f>A176&amp;"|"&amp;B176</f>
        <v/>
      </c>
    </row>
    <row r="177">
      <c r="A177" s="8" t="inlineStr">
        <is>
          <t>El Salvador</t>
        </is>
      </c>
      <c r="B177" s="8" t="n">
        <v>2018</v>
      </c>
      <c r="C177" s="14" t="n"/>
      <c r="D177" s="15" t="n">
        <v>35</v>
      </c>
      <c r="E177" s="16">
        <f>IF(B177&lt;=2011,IF(C177="","",C177),IF(D177="","",D177/10))</f>
        <v/>
      </c>
      <c r="F177" s="13">
        <f>IF(OR(B177&lt;=2011,D177=""),"",D177)</f>
        <v/>
      </c>
      <c r="G177" s="17">
        <f>IF(B177&lt;=2011,IF(C177="","",Puente_CPI!$G$2+Puente_CPI!$G$3*C177),IF(D177="","",D177))</f>
        <v/>
      </c>
      <c r="H177" s="8">
        <f>A177&amp;"|"&amp;B177</f>
        <v/>
      </c>
    </row>
    <row r="178">
      <c r="A178" s="8" t="inlineStr">
        <is>
          <t>El Salvador</t>
        </is>
      </c>
      <c r="B178" s="8" t="n">
        <v>2020</v>
      </c>
      <c r="C178" s="14" t="n"/>
      <c r="D178" s="15" t="n">
        <v>36</v>
      </c>
      <c r="E178" s="16">
        <f>IF(B178&lt;=2011,IF(C178="","",C178),IF(D178="","",D178/10))</f>
        <v/>
      </c>
      <c r="F178" s="13">
        <f>IF(OR(B178&lt;=2011,D178=""),"",D178)</f>
        <v/>
      </c>
      <c r="G178" s="17">
        <f>IF(B178&lt;=2011,IF(C178="","",Puente_CPI!$G$2+Puente_CPI!$G$3*C178),IF(D178="","",D178))</f>
        <v/>
      </c>
      <c r="H178" s="8">
        <f>A178&amp;"|"&amp;B178</f>
        <v/>
      </c>
    </row>
    <row r="179">
      <c r="A179" s="8" t="inlineStr">
        <is>
          <t>El Salvador</t>
        </is>
      </c>
      <c r="B179" s="8" t="n">
        <v>2024</v>
      </c>
      <c r="C179" s="14" t="n"/>
      <c r="D179" s="15" t="n">
        <v>30</v>
      </c>
      <c r="E179" s="16">
        <f>IF(B179&lt;=2011,IF(C179="","",C179),IF(D179="","",D179/10))</f>
        <v/>
      </c>
      <c r="F179" s="13">
        <f>IF(OR(B179&lt;=2011,D179=""),"",D179)</f>
        <v/>
      </c>
      <c r="G179" s="17">
        <f>IF(B179&lt;=2011,IF(C179="","",Puente_CPI!$G$2+Puente_CPI!$G$3*C179),IF(D179="","",D179))</f>
        <v/>
      </c>
      <c r="H179" s="8">
        <f>A179&amp;"|"&amp;B179</f>
        <v/>
      </c>
    </row>
    <row r="180">
      <c r="A180" s="8" t="inlineStr">
        <is>
          <t>Guatemala</t>
        </is>
      </c>
      <c r="B180" s="8" t="n">
        <v>1996</v>
      </c>
      <c r="C180" s="14" t="n"/>
      <c r="D180" s="15" t="n"/>
      <c r="E180" s="16">
        <f>IF(B180&lt;=2011,IF(C180="","",C180),IF(D180="","",D180/10))</f>
        <v/>
      </c>
      <c r="F180" s="13">
        <f>IF(OR(B180&lt;=2011,D180=""),"",D180)</f>
        <v/>
      </c>
      <c r="G180" s="17">
        <f>IF(B180&lt;=2011,IF(C180="","",Puente_CPI!$G$2+Puente_CPI!$G$3*C180),IF(D180="","",D180))</f>
        <v/>
      </c>
      <c r="H180" s="8">
        <f>A180&amp;"|"&amp;B180</f>
        <v/>
      </c>
    </row>
    <row r="181">
      <c r="A181" s="8" t="inlineStr">
        <is>
          <t>Guatemala</t>
        </is>
      </c>
      <c r="B181" s="8" t="n">
        <v>1997</v>
      </c>
      <c r="C181" s="14" t="n"/>
      <c r="D181" s="15" t="n"/>
      <c r="E181" s="16">
        <f>IF(B181&lt;=2011,IF(C181="","",C181),IF(D181="","",D181/10))</f>
        <v/>
      </c>
      <c r="F181" s="13">
        <f>IF(OR(B181&lt;=2011,D181=""),"",D181)</f>
        <v/>
      </c>
      <c r="G181" s="17">
        <f>IF(B181&lt;=2011,IF(C181="","",Puente_CPI!$G$2+Puente_CPI!$G$3*C181),IF(D181="","",D181))</f>
        <v/>
      </c>
      <c r="H181" s="8">
        <f>A181&amp;"|"&amp;B181</f>
        <v/>
      </c>
    </row>
    <row r="182">
      <c r="A182" s="8" t="inlineStr">
        <is>
          <t>Guatemala</t>
        </is>
      </c>
      <c r="B182" s="8" t="n">
        <v>1998</v>
      </c>
      <c r="C182" s="14" t="n">
        <v>3.1</v>
      </c>
      <c r="D182" s="15" t="n"/>
      <c r="E182" s="16">
        <f>IF(B182&lt;=2011,IF(C182="","",C182),IF(D182="","",D182/10))</f>
        <v/>
      </c>
      <c r="F182" s="13">
        <f>IF(OR(B182&lt;=2011,D182=""),"",D182)</f>
        <v/>
      </c>
      <c r="G182" s="17">
        <f>IF(B182&lt;=2011,IF(C182="","",Puente_CPI!$G$2+Puente_CPI!$G$3*C182),IF(D182="","",D182))</f>
        <v/>
      </c>
      <c r="H182" s="8">
        <f>A182&amp;"|"&amp;B182</f>
        <v/>
      </c>
    </row>
    <row r="183">
      <c r="A183" s="8" t="inlineStr">
        <is>
          <t>Guatemala</t>
        </is>
      </c>
      <c r="B183" s="8" t="n">
        <v>2000</v>
      </c>
      <c r="C183" s="14" t="n"/>
      <c r="D183" s="15" t="n"/>
      <c r="E183" s="16">
        <f>IF(B183&lt;=2011,IF(C183="","",C183),IF(D183="","",D183/10))</f>
        <v/>
      </c>
      <c r="F183" s="13">
        <f>IF(OR(B183&lt;=2011,D183=""),"",D183)</f>
        <v/>
      </c>
      <c r="G183" s="17">
        <f>IF(B183&lt;=2011,IF(C183="","",Puente_CPI!$G$2+Puente_CPI!$G$3*C183),IF(D183="","",D183))</f>
        <v/>
      </c>
      <c r="H183" s="8">
        <f>A183&amp;"|"&amp;B183</f>
        <v/>
      </c>
    </row>
    <row r="184">
      <c r="A184" s="8" t="inlineStr">
        <is>
          <t>Guatemala</t>
        </is>
      </c>
      <c r="B184" s="8" t="n">
        <v>2001</v>
      </c>
      <c r="C184" s="14" t="n">
        <v>2.9</v>
      </c>
      <c r="D184" s="15" t="n"/>
      <c r="E184" s="16">
        <f>IF(B184&lt;=2011,IF(C184="","",C184),IF(D184="","",D184/10))</f>
        <v/>
      </c>
      <c r="F184" s="13">
        <f>IF(OR(B184&lt;=2011,D184=""),"",D184)</f>
        <v/>
      </c>
      <c r="G184" s="17">
        <f>IF(B184&lt;=2011,IF(C184="","",Puente_CPI!$G$2+Puente_CPI!$G$3*C184),IF(D184="","",D184))</f>
        <v/>
      </c>
      <c r="H184" s="8">
        <f>A184&amp;"|"&amp;B184</f>
        <v/>
      </c>
    </row>
    <row r="185">
      <c r="A185" s="8" t="inlineStr">
        <is>
          <t>Guatemala</t>
        </is>
      </c>
      <c r="B185" s="8" t="n">
        <v>2002</v>
      </c>
      <c r="C185" s="14" t="n">
        <v>2.5</v>
      </c>
      <c r="D185" s="15" t="n"/>
      <c r="E185" s="16">
        <f>IF(B185&lt;=2011,IF(C185="","",C185),IF(D185="","",D185/10))</f>
        <v/>
      </c>
      <c r="F185" s="13">
        <f>IF(OR(B185&lt;=2011,D185=""),"",D185)</f>
        <v/>
      </c>
      <c r="G185" s="17">
        <f>IF(B185&lt;=2011,IF(C185="","",Puente_CPI!$G$2+Puente_CPI!$G$3*C185),IF(D185="","",D185))</f>
        <v/>
      </c>
      <c r="H185" s="8">
        <f>A185&amp;"|"&amp;B185</f>
        <v/>
      </c>
    </row>
    <row r="186">
      <c r="A186" s="8" t="inlineStr">
        <is>
          <t>Guatemala</t>
        </is>
      </c>
      <c r="B186" s="8" t="n">
        <v>2003</v>
      </c>
      <c r="C186" s="14" t="n">
        <v>2.4</v>
      </c>
      <c r="D186" s="15" t="n"/>
      <c r="E186" s="16">
        <f>IF(B186&lt;=2011,IF(C186="","",C186),IF(D186="","",D186/10))</f>
        <v/>
      </c>
      <c r="F186" s="13">
        <f>IF(OR(B186&lt;=2011,D186=""),"",D186)</f>
        <v/>
      </c>
      <c r="G186" s="17">
        <f>IF(B186&lt;=2011,IF(C186="","",Puente_CPI!$G$2+Puente_CPI!$G$3*C186),IF(D186="","",D186))</f>
        <v/>
      </c>
      <c r="H186" s="8">
        <f>A186&amp;"|"&amp;B186</f>
        <v/>
      </c>
    </row>
    <row r="187">
      <c r="A187" s="8" t="inlineStr">
        <is>
          <t>Guatemala</t>
        </is>
      </c>
      <c r="B187" s="8" t="n">
        <v>2004</v>
      </c>
      <c r="C187" s="14" t="n">
        <v>2.2</v>
      </c>
      <c r="D187" s="15" t="n"/>
      <c r="E187" s="16">
        <f>IF(B187&lt;=2011,IF(C187="","",C187),IF(D187="","",D187/10))</f>
        <v/>
      </c>
      <c r="F187" s="13">
        <f>IF(OR(B187&lt;=2011,D187=""),"",D187)</f>
        <v/>
      </c>
      <c r="G187" s="17">
        <f>IF(B187&lt;=2011,IF(C187="","",Puente_CPI!$G$2+Puente_CPI!$G$3*C187),IF(D187="","",D187))</f>
        <v/>
      </c>
      <c r="H187" s="8">
        <f>A187&amp;"|"&amp;B187</f>
        <v/>
      </c>
    </row>
    <row r="188">
      <c r="A188" s="8" t="inlineStr">
        <is>
          <t>Guatemala</t>
        </is>
      </c>
      <c r="B188" s="8" t="n">
        <v>2005</v>
      </c>
      <c r="C188" s="14" t="n">
        <v>2.5</v>
      </c>
      <c r="D188" s="15" t="n"/>
      <c r="E188" s="16">
        <f>IF(B188&lt;=2011,IF(C188="","",C188),IF(D188="","",D188/10))</f>
        <v/>
      </c>
      <c r="F188" s="13">
        <f>IF(OR(B188&lt;=2011,D188=""),"",D188)</f>
        <v/>
      </c>
      <c r="G188" s="17">
        <f>IF(B188&lt;=2011,IF(C188="","",Puente_CPI!$G$2+Puente_CPI!$G$3*C188),IF(D188="","",D188))</f>
        <v/>
      </c>
      <c r="H188" s="8">
        <f>A188&amp;"|"&amp;B188</f>
        <v/>
      </c>
    </row>
    <row r="189">
      <c r="A189" s="8" t="inlineStr">
        <is>
          <t>Guatemala</t>
        </is>
      </c>
      <c r="B189" s="8" t="n">
        <v>2006</v>
      </c>
      <c r="C189" s="14" t="n">
        <v>2.6</v>
      </c>
      <c r="D189" s="15" t="n"/>
      <c r="E189" s="16">
        <f>IF(B189&lt;=2011,IF(C189="","",C189),IF(D189="","",D189/10))</f>
        <v/>
      </c>
      <c r="F189" s="13">
        <f>IF(OR(B189&lt;=2011,D189=""),"",D189)</f>
        <v/>
      </c>
      <c r="G189" s="17">
        <f>IF(B189&lt;=2011,IF(C189="","",Puente_CPI!$G$2+Puente_CPI!$G$3*C189),IF(D189="","",D189))</f>
        <v/>
      </c>
      <c r="H189" s="8">
        <f>A189&amp;"|"&amp;B189</f>
        <v/>
      </c>
    </row>
    <row r="190">
      <c r="A190" s="8" t="inlineStr">
        <is>
          <t>Guatemala</t>
        </is>
      </c>
      <c r="B190" s="8" t="n">
        <v>2007</v>
      </c>
      <c r="C190" s="14" t="n">
        <v>2.8</v>
      </c>
      <c r="D190" s="15" t="n"/>
      <c r="E190" s="16">
        <f>IF(B190&lt;=2011,IF(C190="","",C190),IF(D190="","",D190/10))</f>
        <v/>
      </c>
      <c r="F190" s="13">
        <f>IF(OR(B190&lt;=2011,D190=""),"",D190)</f>
        <v/>
      </c>
      <c r="G190" s="17">
        <f>IF(B190&lt;=2011,IF(C190="","",Puente_CPI!$G$2+Puente_CPI!$G$3*C190),IF(D190="","",D190))</f>
        <v/>
      </c>
      <c r="H190" s="8">
        <f>A190&amp;"|"&amp;B190</f>
        <v/>
      </c>
    </row>
    <row r="191">
      <c r="A191" s="8" t="inlineStr">
        <is>
          <t>Guatemala</t>
        </is>
      </c>
      <c r="B191" s="8" t="n">
        <v>2008</v>
      </c>
      <c r="C191" s="14" t="n">
        <v>3.1</v>
      </c>
      <c r="D191" s="15" t="n"/>
      <c r="E191" s="16">
        <f>IF(B191&lt;=2011,IF(C191="","",C191),IF(D191="","",D191/10))</f>
        <v/>
      </c>
      <c r="F191" s="13">
        <f>IF(OR(B191&lt;=2011,D191=""),"",D191)</f>
        <v/>
      </c>
      <c r="G191" s="17">
        <f>IF(B191&lt;=2011,IF(C191="","",Puente_CPI!$G$2+Puente_CPI!$G$3*C191),IF(D191="","",D191))</f>
        <v/>
      </c>
      <c r="H191" s="8">
        <f>A191&amp;"|"&amp;B191</f>
        <v/>
      </c>
    </row>
    <row r="192">
      <c r="A192" s="8" t="inlineStr">
        <is>
          <t>Guatemala</t>
        </is>
      </c>
      <c r="B192" s="8" t="n">
        <v>2009</v>
      </c>
      <c r="C192" s="14" t="n">
        <v>3.4</v>
      </c>
      <c r="D192" s="15" t="n"/>
      <c r="E192" s="16">
        <f>IF(B192&lt;=2011,IF(C192="","",C192),IF(D192="","",D192/10))</f>
        <v/>
      </c>
      <c r="F192" s="13">
        <f>IF(OR(B192&lt;=2011,D192=""),"",D192)</f>
        <v/>
      </c>
      <c r="G192" s="17">
        <f>IF(B192&lt;=2011,IF(C192="","",Puente_CPI!$G$2+Puente_CPI!$G$3*C192),IF(D192="","",D192))</f>
        <v/>
      </c>
      <c r="H192" s="8">
        <f>A192&amp;"|"&amp;B192</f>
        <v/>
      </c>
    </row>
    <row r="193">
      <c r="A193" s="8" t="inlineStr">
        <is>
          <t>Guatemala</t>
        </is>
      </c>
      <c r="B193" s="8" t="n">
        <v>2010</v>
      </c>
      <c r="C193" s="14" t="n">
        <v>3.2</v>
      </c>
      <c r="D193" s="15" t="n"/>
      <c r="E193" s="16">
        <f>IF(B193&lt;=2011,IF(C193="","",C193),IF(D193="","",D193/10))</f>
        <v/>
      </c>
      <c r="F193" s="13">
        <f>IF(OR(B193&lt;=2011,D193=""),"",D193)</f>
        <v/>
      </c>
      <c r="G193" s="17">
        <f>IF(B193&lt;=2011,IF(C193="","",Puente_CPI!$G$2+Puente_CPI!$G$3*C193),IF(D193="","",D193))</f>
        <v/>
      </c>
      <c r="H193" s="8">
        <f>A193&amp;"|"&amp;B193</f>
        <v/>
      </c>
    </row>
    <row r="194">
      <c r="A194" s="8" t="inlineStr">
        <is>
          <t>Guatemala</t>
        </is>
      </c>
      <c r="B194" s="8" t="n">
        <v>2011</v>
      </c>
      <c r="C194" s="14" t="n">
        <v>2.728</v>
      </c>
      <c r="D194" s="15" t="n"/>
      <c r="E194" s="16">
        <f>IF(B194&lt;=2011,IF(C194="","",C194),IF(D194="","",D194/10))</f>
        <v/>
      </c>
      <c r="F194" s="13">
        <f>IF(OR(B194&lt;=2011,D194=""),"",D194)</f>
        <v/>
      </c>
      <c r="G194" s="17">
        <f>IF(B194&lt;=2011,IF(C194="","",Puente_CPI!$G$2+Puente_CPI!$G$3*C194),IF(D194="","",D194))</f>
        <v/>
      </c>
      <c r="H194" s="8">
        <f>A194&amp;"|"&amp;B194</f>
        <v/>
      </c>
    </row>
    <row r="195">
      <c r="A195" s="8" t="inlineStr">
        <is>
          <t>Guatemala</t>
        </is>
      </c>
      <c r="B195" s="8" t="n">
        <v>2016</v>
      </c>
      <c r="C195" s="14" t="n"/>
      <c r="D195" s="15" t="n">
        <v>28</v>
      </c>
      <c r="E195" s="16">
        <f>IF(B195&lt;=2011,IF(C195="","",C195),IF(D195="","",D195/10))</f>
        <v/>
      </c>
      <c r="F195" s="13">
        <f>IF(OR(B195&lt;=2011,D195=""),"",D195)</f>
        <v/>
      </c>
      <c r="G195" s="17">
        <f>IF(B195&lt;=2011,IF(C195="","",Puente_CPI!$G$2+Puente_CPI!$G$3*C195),IF(D195="","",D195))</f>
        <v/>
      </c>
      <c r="H195" s="8">
        <f>A195&amp;"|"&amp;B195</f>
        <v/>
      </c>
    </row>
    <row r="196">
      <c r="A196" s="8" t="inlineStr">
        <is>
          <t>Guatemala</t>
        </is>
      </c>
      <c r="B196" s="8" t="n">
        <v>2017</v>
      </c>
      <c r="C196" s="14" t="n"/>
      <c r="D196" s="15" t="n">
        <v>28</v>
      </c>
      <c r="E196" s="16">
        <f>IF(B196&lt;=2011,IF(C196="","",C196),IF(D196="","",D196/10))</f>
        <v/>
      </c>
      <c r="F196" s="13">
        <f>IF(OR(B196&lt;=2011,D196=""),"",D196)</f>
        <v/>
      </c>
      <c r="G196" s="17">
        <f>IF(B196&lt;=2011,IF(C196="","",Puente_CPI!$G$2+Puente_CPI!$G$3*C196),IF(D196="","",D196))</f>
        <v/>
      </c>
      <c r="H196" s="8">
        <f>A196&amp;"|"&amp;B196</f>
        <v/>
      </c>
    </row>
    <row r="197">
      <c r="A197" s="8" t="inlineStr">
        <is>
          <t>Guatemala</t>
        </is>
      </c>
      <c r="B197" s="8" t="n">
        <v>2018</v>
      </c>
      <c r="C197" s="14" t="n"/>
      <c r="D197" s="15" t="n">
        <v>27</v>
      </c>
      <c r="E197" s="16">
        <f>IF(B197&lt;=2011,IF(C197="","",C197),IF(D197="","",D197/10))</f>
        <v/>
      </c>
      <c r="F197" s="13">
        <f>IF(OR(B197&lt;=2011,D197=""),"",D197)</f>
        <v/>
      </c>
      <c r="G197" s="17">
        <f>IF(B197&lt;=2011,IF(C197="","",Puente_CPI!$G$2+Puente_CPI!$G$3*C197),IF(D197="","",D197))</f>
        <v/>
      </c>
      <c r="H197" s="8">
        <f>A197&amp;"|"&amp;B197</f>
        <v/>
      </c>
    </row>
    <row r="198">
      <c r="A198" s="8" t="inlineStr">
        <is>
          <t>Guatemala</t>
        </is>
      </c>
      <c r="B198" s="8" t="n">
        <v>2020</v>
      </c>
      <c r="C198" s="14" t="n"/>
      <c r="D198" s="15" t="n">
        <v>25</v>
      </c>
      <c r="E198" s="16">
        <f>IF(B198&lt;=2011,IF(C198="","",C198),IF(D198="","",D198/10))</f>
        <v/>
      </c>
      <c r="F198" s="13">
        <f>IF(OR(B198&lt;=2011,D198=""),"",D198)</f>
        <v/>
      </c>
      <c r="G198" s="17">
        <f>IF(B198&lt;=2011,IF(C198="","",Puente_CPI!$G$2+Puente_CPI!$G$3*C198),IF(D198="","",D198))</f>
        <v/>
      </c>
      <c r="H198" s="8">
        <f>A198&amp;"|"&amp;B198</f>
        <v/>
      </c>
    </row>
    <row r="199">
      <c r="A199" s="8" t="inlineStr">
        <is>
          <t>Guatemala</t>
        </is>
      </c>
      <c r="B199" s="8" t="n">
        <v>2024</v>
      </c>
      <c r="C199" s="14" t="n"/>
      <c r="D199" s="15" t="n">
        <v>25</v>
      </c>
      <c r="E199" s="16">
        <f>IF(B199&lt;=2011,IF(C199="","",C199),IF(D199="","",D199/10))</f>
        <v/>
      </c>
      <c r="F199" s="13">
        <f>IF(OR(B199&lt;=2011,D199=""),"",D199)</f>
        <v/>
      </c>
      <c r="G199" s="17">
        <f>IF(B199&lt;=2011,IF(C199="","",Puente_CPI!$G$2+Puente_CPI!$G$3*C199),IF(D199="","",D199))</f>
        <v/>
      </c>
      <c r="H199" s="8">
        <f>A199&amp;"|"&amp;B199</f>
        <v/>
      </c>
    </row>
    <row r="200">
      <c r="A200" s="8" t="inlineStr">
        <is>
          <t>Honduras</t>
        </is>
      </c>
      <c r="B200" s="8" t="n">
        <v>1996</v>
      </c>
      <c r="C200" s="14" t="n"/>
      <c r="D200" s="15" t="n"/>
      <c r="E200" s="16">
        <f>IF(B200&lt;=2011,IF(C200="","",C200),IF(D200="","",D200/10))</f>
        <v/>
      </c>
      <c r="F200" s="13">
        <f>IF(OR(B200&lt;=2011,D200=""),"",D200)</f>
        <v/>
      </c>
      <c r="G200" s="17">
        <f>IF(B200&lt;=2011,IF(C200="","",Puente_CPI!$G$2+Puente_CPI!$G$3*C200),IF(D200="","",D200))</f>
        <v/>
      </c>
      <c r="H200" s="8">
        <f>A200&amp;"|"&amp;B200</f>
        <v/>
      </c>
    </row>
    <row r="201">
      <c r="A201" s="8" t="inlineStr">
        <is>
          <t>Honduras</t>
        </is>
      </c>
      <c r="B201" s="8" t="n">
        <v>1997</v>
      </c>
      <c r="C201" s="14" t="n"/>
      <c r="D201" s="15" t="n"/>
      <c r="E201" s="16">
        <f>IF(B201&lt;=2011,IF(C201="","",C201),IF(D201="","",D201/10))</f>
        <v/>
      </c>
      <c r="F201" s="13">
        <f>IF(OR(B201&lt;=2011,D201=""),"",D201)</f>
        <v/>
      </c>
      <c r="G201" s="17">
        <f>IF(B201&lt;=2011,IF(C201="","",Puente_CPI!$G$2+Puente_CPI!$G$3*C201),IF(D201="","",D201))</f>
        <v/>
      </c>
      <c r="H201" s="8">
        <f>A201&amp;"|"&amp;B201</f>
        <v/>
      </c>
    </row>
    <row r="202">
      <c r="A202" s="8" t="inlineStr">
        <is>
          <t>Honduras</t>
        </is>
      </c>
      <c r="B202" s="8" t="n">
        <v>1998</v>
      </c>
      <c r="C202" s="14" t="n">
        <v>1.7</v>
      </c>
      <c r="D202" s="15" t="n"/>
      <c r="E202" s="16">
        <f>IF(B202&lt;=2011,IF(C202="","",C202),IF(D202="","",D202/10))</f>
        <v/>
      </c>
      <c r="F202" s="13">
        <f>IF(OR(B202&lt;=2011,D202=""),"",D202)</f>
        <v/>
      </c>
      <c r="G202" s="17">
        <f>IF(B202&lt;=2011,IF(C202="","",Puente_CPI!$G$2+Puente_CPI!$G$3*C202),IF(D202="","",D202))</f>
        <v/>
      </c>
      <c r="H202" s="8">
        <f>A202&amp;"|"&amp;B202</f>
        <v/>
      </c>
    </row>
    <row r="203">
      <c r="A203" s="8" t="inlineStr">
        <is>
          <t>Honduras</t>
        </is>
      </c>
      <c r="B203" s="8" t="n">
        <v>2000</v>
      </c>
      <c r="C203" s="14" t="n"/>
      <c r="D203" s="15" t="n"/>
      <c r="E203" s="16">
        <f>IF(B203&lt;=2011,IF(C203="","",C203),IF(D203="","",D203/10))</f>
        <v/>
      </c>
      <c r="F203" s="13">
        <f>IF(OR(B203&lt;=2011,D203=""),"",D203)</f>
        <v/>
      </c>
      <c r="G203" s="17">
        <f>IF(B203&lt;=2011,IF(C203="","",Puente_CPI!$G$2+Puente_CPI!$G$3*C203),IF(D203="","",D203))</f>
        <v/>
      </c>
      <c r="H203" s="8">
        <f>A203&amp;"|"&amp;B203</f>
        <v/>
      </c>
    </row>
    <row r="204">
      <c r="A204" s="8" t="inlineStr">
        <is>
          <t>Honduras</t>
        </is>
      </c>
      <c r="B204" s="8" t="n">
        <v>2001</v>
      </c>
      <c r="C204" s="14" t="n">
        <v>2.7</v>
      </c>
      <c r="D204" s="15" t="n"/>
      <c r="E204" s="16">
        <f>IF(B204&lt;=2011,IF(C204="","",C204),IF(D204="","",D204/10))</f>
        <v/>
      </c>
      <c r="F204" s="13">
        <f>IF(OR(B204&lt;=2011,D204=""),"",D204)</f>
        <v/>
      </c>
      <c r="G204" s="17">
        <f>IF(B204&lt;=2011,IF(C204="","",Puente_CPI!$G$2+Puente_CPI!$G$3*C204),IF(D204="","",D204))</f>
        <v/>
      </c>
      <c r="H204" s="8">
        <f>A204&amp;"|"&amp;B204</f>
        <v/>
      </c>
    </row>
    <row r="205">
      <c r="A205" s="8" t="inlineStr">
        <is>
          <t>Honduras</t>
        </is>
      </c>
      <c r="B205" s="8" t="n">
        <v>2002</v>
      </c>
      <c r="C205" s="14" t="n">
        <v>2.7</v>
      </c>
      <c r="D205" s="15" t="n"/>
      <c r="E205" s="16">
        <f>IF(B205&lt;=2011,IF(C205="","",C205),IF(D205="","",D205/10))</f>
        <v/>
      </c>
      <c r="F205" s="13">
        <f>IF(OR(B205&lt;=2011,D205=""),"",D205)</f>
        <v/>
      </c>
      <c r="G205" s="17">
        <f>IF(B205&lt;=2011,IF(C205="","",Puente_CPI!$G$2+Puente_CPI!$G$3*C205),IF(D205="","",D205))</f>
        <v/>
      </c>
      <c r="H205" s="8">
        <f>A205&amp;"|"&amp;B205</f>
        <v/>
      </c>
    </row>
    <row r="206">
      <c r="A206" s="8" t="inlineStr">
        <is>
          <t>Honduras</t>
        </is>
      </c>
      <c r="B206" s="8" t="n">
        <v>2003</v>
      </c>
      <c r="C206" s="14" t="n">
        <v>2.3</v>
      </c>
      <c r="D206" s="15" t="n"/>
      <c r="E206" s="16">
        <f>IF(B206&lt;=2011,IF(C206="","",C206),IF(D206="","",D206/10))</f>
        <v/>
      </c>
      <c r="F206" s="13">
        <f>IF(OR(B206&lt;=2011,D206=""),"",D206)</f>
        <v/>
      </c>
      <c r="G206" s="17">
        <f>IF(B206&lt;=2011,IF(C206="","",Puente_CPI!$G$2+Puente_CPI!$G$3*C206),IF(D206="","",D206))</f>
        <v/>
      </c>
      <c r="H206" s="8">
        <f>A206&amp;"|"&amp;B206</f>
        <v/>
      </c>
    </row>
    <row r="207">
      <c r="A207" s="8" t="inlineStr">
        <is>
          <t>Honduras</t>
        </is>
      </c>
      <c r="B207" s="8" t="n">
        <v>2004</v>
      </c>
      <c r="C207" s="14" t="n">
        <v>2.3</v>
      </c>
      <c r="D207" s="15" t="n"/>
      <c r="E207" s="16">
        <f>IF(B207&lt;=2011,IF(C207="","",C207),IF(D207="","",D207/10))</f>
        <v/>
      </c>
      <c r="F207" s="13">
        <f>IF(OR(B207&lt;=2011,D207=""),"",D207)</f>
        <v/>
      </c>
      <c r="G207" s="17">
        <f>IF(B207&lt;=2011,IF(C207="","",Puente_CPI!$G$2+Puente_CPI!$G$3*C207),IF(D207="","",D207))</f>
        <v/>
      </c>
      <c r="H207" s="8">
        <f>A207&amp;"|"&amp;B207</f>
        <v/>
      </c>
    </row>
    <row r="208">
      <c r="A208" s="8" t="inlineStr">
        <is>
          <t>Honduras</t>
        </is>
      </c>
      <c r="B208" s="8" t="n">
        <v>2005</v>
      </c>
      <c r="C208" s="14" t="n">
        <v>2.6</v>
      </c>
      <c r="D208" s="15" t="n"/>
      <c r="E208" s="16">
        <f>IF(B208&lt;=2011,IF(C208="","",C208),IF(D208="","",D208/10))</f>
        <v/>
      </c>
      <c r="F208" s="13">
        <f>IF(OR(B208&lt;=2011,D208=""),"",D208)</f>
        <v/>
      </c>
      <c r="G208" s="17">
        <f>IF(B208&lt;=2011,IF(C208="","",Puente_CPI!$G$2+Puente_CPI!$G$3*C208),IF(D208="","",D208))</f>
        <v/>
      </c>
      <c r="H208" s="8">
        <f>A208&amp;"|"&amp;B208</f>
        <v/>
      </c>
    </row>
    <row r="209">
      <c r="A209" s="8" t="inlineStr">
        <is>
          <t>Honduras</t>
        </is>
      </c>
      <c r="B209" s="8" t="n">
        <v>2006</v>
      </c>
      <c r="C209" s="14" t="n">
        <v>2.5</v>
      </c>
      <c r="D209" s="15" t="n"/>
      <c r="E209" s="16">
        <f>IF(B209&lt;=2011,IF(C209="","",C209),IF(D209="","",D209/10))</f>
        <v/>
      </c>
      <c r="F209" s="13">
        <f>IF(OR(B209&lt;=2011,D209=""),"",D209)</f>
        <v/>
      </c>
      <c r="G209" s="17">
        <f>IF(B209&lt;=2011,IF(C209="","",Puente_CPI!$G$2+Puente_CPI!$G$3*C209),IF(D209="","",D209))</f>
        <v/>
      </c>
      <c r="H209" s="8">
        <f>A209&amp;"|"&amp;B209</f>
        <v/>
      </c>
    </row>
    <row r="210">
      <c r="A210" s="8" t="inlineStr">
        <is>
          <t>Honduras</t>
        </is>
      </c>
      <c r="B210" s="8" t="n">
        <v>2007</v>
      </c>
      <c r="C210" s="14" t="n">
        <v>2.5</v>
      </c>
      <c r="D210" s="15" t="n"/>
      <c r="E210" s="16">
        <f>IF(B210&lt;=2011,IF(C210="","",C210),IF(D210="","",D210/10))</f>
        <v/>
      </c>
      <c r="F210" s="13">
        <f>IF(OR(B210&lt;=2011,D210=""),"",D210)</f>
        <v/>
      </c>
      <c r="G210" s="17">
        <f>IF(B210&lt;=2011,IF(C210="","",Puente_CPI!$G$2+Puente_CPI!$G$3*C210),IF(D210="","",D210))</f>
        <v/>
      </c>
      <c r="H210" s="8">
        <f>A210&amp;"|"&amp;B210</f>
        <v/>
      </c>
    </row>
    <row r="211">
      <c r="A211" s="8" t="inlineStr">
        <is>
          <t>Honduras</t>
        </is>
      </c>
      <c r="B211" s="8" t="n">
        <v>2008</v>
      </c>
      <c r="C211" s="14" t="n">
        <v>2.6</v>
      </c>
      <c r="D211" s="15" t="n"/>
      <c r="E211" s="16">
        <f>IF(B211&lt;=2011,IF(C211="","",C211),IF(D211="","",D211/10))</f>
        <v/>
      </c>
      <c r="F211" s="13">
        <f>IF(OR(B211&lt;=2011,D211=""),"",D211)</f>
        <v/>
      </c>
      <c r="G211" s="17">
        <f>IF(B211&lt;=2011,IF(C211="","",Puente_CPI!$G$2+Puente_CPI!$G$3*C211),IF(D211="","",D211))</f>
        <v/>
      </c>
      <c r="H211" s="8">
        <f>A211&amp;"|"&amp;B211</f>
        <v/>
      </c>
    </row>
    <row r="212">
      <c r="A212" s="8" t="inlineStr">
        <is>
          <t>Honduras</t>
        </is>
      </c>
      <c r="B212" s="8" t="n">
        <v>2009</v>
      </c>
      <c r="C212" s="14" t="n">
        <v>2.5</v>
      </c>
      <c r="D212" s="15" t="n"/>
      <c r="E212" s="16">
        <f>IF(B212&lt;=2011,IF(C212="","",C212),IF(D212="","",D212/10))</f>
        <v/>
      </c>
      <c r="F212" s="13">
        <f>IF(OR(B212&lt;=2011,D212=""),"",D212)</f>
        <v/>
      </c>
      <c r="G212" s="17">
        <f>IF(B212&lt;=2011,IF(C212="","",Puente_CPI!$G$2+Puente_CPI!$G$3*C212),IF(D212="","",D212))</f>
        <v/>
      </c>
      <c r="H212" s="8">
        <f>A212&amp;"|"&amp;B212</f>
        <v/>
      </c>
    </row>
    <row r="213">
      <c r="A213" s="8" t="inlineStr">
        <is>
          <t>Honduras</t>
        </is>
      </c>
      <c r="B213" s="8" t="n">
        <v>2010</v>
      </c>
      <c r="C213" s="14" t="n">
        <v>2.4</v>
      </c>
      <c r="D213" s="15" t="n"/>
      <c r="E213" s="16">
        <f>IF(B213&lt;=2011,IF(C213="","",C213),IF(D213="","",D213/10))</f>
        <v/>
      </c>
      <c r="F213" s="13">
        <f>IF(OR(B213&lt;=2011,D213=""),"",D213)</f>
        <v/>
      </c>
      <c r="G213" s="17">
        <f>IF(B213&lt;=2011,IF(C213="","",Puente_CPI!$G$2+Puente_CPI!$G$3*C213),IF(D213="","",D213))</f>
        <v/>
      </c>
      <c r="H213" s="8">
        <f>A213&amp;"|"&amp;B213</f>
        <v/>
      </c>
    </row>
    <row r="214">
      <c r="A214" s="8" t="inlineStr">
        <is>
          <t>Honduras</t>
        </is>
      </c>
      <c r="B214" s="8" t="n">
        <v>2011</v>
      </c>
      <c r="C214" s="14" t="n">
        <v>2.592</v>
      </c>
      <c r="D214" s="15" t="n"/>
      <c r="E214" s="16">
        <f>IF(B214&lt;=2011,IF(C214="","",C214),IF(D214="","",D214/10))</f>
        <v/>
      </c>
      <c r="F214" s="13">
        <f>IF(OR(B214&lt;=2011,D214=""),"",D214)</f>
        <v/>
      </c>
      <c r="G214" s="17">
        <f>IF(B214&lt;=2011,IF(C214="","",Puente_CPI!$G$2+Puente_CPI!$G$3*C214),IF(D214="","",D214))</f>
        <v/>
      </c>
      <c r="H214" s="8">
        <f>A214&amp;"|"&amp;B214</f>
        <v/>
      </c>
    </row>
    <row r="215">
      <c r="A215" s="8" t="inlineStr">
        <is>
          <t>Honduras</t>
        </is>
      </c>
      <c r="B215" s="8" t="n">
        <v>2016</v>
      </c>
      <c r="C215" s="14" t="n"/>
      <c r="D215" s="15" t="n">
        <v>30</v>
      </c>
      <c r="E215" s="16">
        <f>IF(B215&lt;=2011,IF(C215="","",C215),IF(D215="","",D215/10))</f>
        <v/>
      </c>
      <c r="F215" s="13">
        <f>IF(OR(B215&lt;=2011,D215=""),"",D215)</f>
        <v/>
      </c>
      <c r="G215" s="17">
        <f>IF(B215&lt;=2011,IF(C215="","",Puente_CPI!$G$2+Puente_CPI!$G$3*C215),IF(D215="","",D215))</f>
        <v/>
      </c>
      <c r="H215" s="8">
        <f>A215&amp;"|"&amp;B215</f>
        <v/>
      </c>
    </row>
    <row r="216">
      <c r="A216" s="8" t="inlineStr">
        <is>
          <t>Honduras</t>
        </is>
      </c>
      <c r="B216" s="8" t="n">
        <v>2017</v>
      </c>
      <c r="C216" s="14" t="n"/>
      <c r="D216" s="15" t="n">
        <v>29</v>
      </c>
      <c r="E216" s="16">
        <f>IF(B216&lt;=2011,IF(C216="","",C216),IF(D216="","",D216/10))</f>
        <v/>
      </c>
      <c r="F216" s="13">
        <f>IF(OR(B216&lt;=2011,D216=""),"",D216)</f>
        <v/>
      </c>
      <c r="G216" s="17">
        <f>IF(B216&lt;=2011,IF(C216="","",Puente_CPI!$G$2+Puente_CPI!$G$3*C216),IF(D216="","",D216))</f>
        <v/>
      </c>
      <c r="H216" s="8">
        <f>A216&amp;"|"&amp;B216</f>
        <v/>
      </c>
    </row>
    <row r="217">
      <c r="A217" s="8" t="inlineStr">
        <is>
          <t>Honduras</t>
        </is>
      </c>
      <c r="B217" s="8" t="n">
        <v>2018</v>
      </c>
      <c r="C217" s="14" t="n"/>
      <c r="D217" s="15" t="n">
        <v>29</v>
      </c>
      <c r="E217" s="16">
        <f>IF(B217&lt;=2011,IF(C217="","",C217),IF(D217="","",D217/10))</f>
        <v/>
      </c>
      <c r="F217" s="13">
        <f>IF(OR(B217&lt;=2011,D217=""),"",D217)</f>
        <v/>
      </c>
      <c r="G217" s="17">
        <f>IF(B217&lt;=2011,IF(C217="","",Puente_CPI!$G$2+Puente_CPI!$G$3*C217),IF(D217="","",D217))</f>
        <v/>
      </c>
      <c r="H217" s="8">
        <f>A217&amp;"|"&amp;B217</f>
        <v/>
      </c>
    </row>
    <row r="218">
      <c r="A218" s="8" t="inlineStr">
        <is>
          <t>Honduras</t>
        </is>
      </c>
      <c r="B218" s="8" t="n">
        <v>2020</v>
      </c>
      <c r="C218" s="14" t="n"/>
      <c r="D218" s="15" t="n">
        <v>24</v>
      </c>
      <c r="E218" s="16">
        <f>IF(B218&lt;=2011,IF(C218="","",C218),IF(D218="","",D218/10))</f>
        <v/>
      </c>
      <c r="F218" s="13">
        <f>IF(OR(B218&lt;=2011,D218=""),"",D218)</f>
        <v/>
      </c>
      <c r="G218" s="17">
        <f>IF(B218&lt;=2011,IF(C218="","",Puente_CPI!$G$2+Puente_CPI!$G$3*C218),IF(D218="","",D218))</f>
        <v/>
      </c>
      <c r="H218" s="8">
        <f>A218&amp;"|"&amp;B218</f>
        <v/>
      </c>
    </row>
    <row r="219">
      <c r="A219" s="8" t="inlineStr">
        <is>
          <t>Honduras</t>
        </is>
      </c>
      <c r="B219" s="8" t="n">
        <v>2024</v>
      </c>
      <c r="C219" s="14" t="n"/>
      <c r="D219" s="15" t="n">
        <v>22</v>
      </c>
      <c r="E219" s="16">
        <f>IF(B219&lt;=2011,IF(C219="","",C219),IF(D219="","",D219/10))</f>
        <v/>
      </c>
      <c r="F219" s="13">
        <f>IF(OR(B219&lt;=2011,D219=""),"",D219)</f>
        <v/>
      </c>
      <c r="G219" s="17">
        <f>IF(B219&lt;=2011,IF(C219="","",Puente_CPI!$G$2+Puente_CPI!$G$3*C219),IF(D219="","",D219))</f>
        <v/>
      </c>
      <c r="H219" s="8">
        <f>A219&amp;"|"&amp;B219</f>
        <v/>
      </c>
    </row>
    <row r="220">
      <c r="A220" s="8" t="inlineStr">
        <is>
          <t>México</t>
        </is>
      </c>
      <c r="B220" s="8" t="n">
        <v>1995</v>
      </c>
      <c r="C220" s="14" t="n">
        <v>3.18</v>
      </c>
      <c r="D220" s="15" t="n"/>
      <c r="E220" s="16">
        <f>IF(B220&lt;=2011,IF(C220="","",C220),IF(D220="","",D220/10))</f>
        <v/>
      </c>
      <c r="F220" s="13">
        <f>IF(OR(B220&lt;=2011,D220=""),"",D220)</f>
        <v/>
      </c>
      <c r="G220" s="17">
        <f>IF(B220&lt;=2011,IF(C220="","",Puente_CPI!$G$2+Puente_CPI!$G$3*C220),IF(D220="","",D220))</f>
        <v/>
      </c>
      <c r="H220" s="8">
        <f>A220&amp;"|"&amp;B220</f>
        <v/>
      </c>
    </row>
    <row r="221">
      <c r="A221" s="8" t="inlineStr">
        <is>
          <t>México</t>
        </is>
      </c>
      <c r="B221" s="8" t="n">
        <v>1996</v>
      </c>
      <c r="C221" s="14" t="n">
        <v>3.3</v>
      </c>
      <c r="D221" s="15" t="n"/>
      <c r="E221" s="16">
        <f>IF(B221&lt;=2011,IF(C221="","",C221),IF(D221="","",D221/10))</f>
        <v/>
      </c>
      <c r="F221" s="13">
        <f>IF(OR(B221&lt;=2011,D221=""),"",D221)</f>
        <v/>
      </c>
      <c r="G221" s="17">
        <f>IF(B221&lt;=2011,IF(C221="","",Puente_CPI!$G$2+Puente_CPI!$G$3*C221),IF(D221="","",D221))</f>
        <v/>
      </c>
      <c r="H221" s="8">
        <f>A221&amp;"|"&amp;B221</f>
        <v/>
      </c>
    </row>
    <row r="222">
      <c r="A222" s="8" t="inlineStr">
        <is>
          <t>México</t>
        </is>
      </c>
      <c r="B222" s="8" t="n">
        <v>1997</v>
      </c>
      <c r="C222" s="14" t="n">
        <v>2.66</v>
      </c>
      <c r="D222" s="15" t="n"/>
      <c r="E222" s="16">
        <f>IF(B222&lt;=2011,IF(C222="","",C222),IF(D222="","",D222/10))</f>
        <v/>
      </c>
      <c r="F222" s="13">
        <f>IF(OR(B222&lt;=2011,D222=""),"",D222)</f>
        <v/>
      </c>
      <c r="G222" s="17">
        <f>IF(B222&lt;=2011,IF(C222="","",Puente_CPI!$G$2+Puente_CPI!$G$3*C222),IF(D222="","",D222))</f>
        <v/>
      </c>
      <c r="H222" s="8">
        <f>A222&amp;"|"&amp;B222</f>
        <v/>
      </c>
    </row>
    <row r="223">
      <c r="A223" s="8" t="inlineStr">
        <is>
          <t>México</t>
        </is>
      </c>
      <c r="B223" s="8" t="n">
        <v>1998</v>
      </c>
      <c r="C223" s="14" t="n">
        <v>3.3</v>
      </c>
      <c r="D223" s="15" t="n"/>
      <c r="E223" s="16">
        <f>IF(B223&lt;=2011,IF(C223="","",C223),IF(D223="","",D223/10))</f>
        <v/>
      </c>
      <c r="F223" s="13">
        <f>IF(OR(B223&lt;=2011,D223=""),"",D223)</f>
        <v/>
      </c>
      <c r="G223" s="17">
        <f>IF(B223&lt;=2011,IF(C223="","",Puente_CPI!$G$2+Puente_CPI!$G$3*C223),IF(D223="","",D223))</f>
        <v/>
      </c>
      <c r="H223" s="8">
        <f>A223&amp;"|"&amp;B223</f>
        <v/>
      </c>
    </row>
    <row r="224">
      <c r="A224" s="8" t="inlineStr">
        <is>
          <t>México</t>
        </is>
      </c>
      <c r="B224" s="8" t="n">
        <v>2000</v>
      </c>
      <c r="C224" s="14" t="n">
        <v>3.3</v>
      </c>
      <c r="D224" s="15" t="n"/>
      <c r="E224" s="16">
        <f>IF(B224&lt;=2011,IF(C224="","",C224),IF(D224="","",D224/10))</f>
        <v/>
      </c>
      <c r="F224" s="13">
        <f>IF(OR(B224&lt;=2011,D224=""),"",D224)</f>
        <v/>
      </c>
      <c r="G224" s="17">
        <f>IF(B224&lt;=2011,IF(C224="","",Puente_CPI!$G$2+Puente_CPI!$G$3*C224),IF(D224="","",D224))</f>
        <v/>
      </c>
      <c r="H224" s="8">
        <f>A224&amp;"|"&amp;B224</f>
        <v/>
      </c>
    </row>
    <row r="225">
      <c r="A225" s="8" t="inlineStr">
        <is>
          <t>México</t>
        </is>
      </c>
      <c r="B225" s="8" t="n">
        <v>2001</v>
      </c>
      <c r="C225" s="14" t="n">
        <v>3.7</v>
      </c>
      <c r="D225" s="15" t="n"/>
      <c r="E225" s="16">
        <f>IF(B225&lt;=2011,IF(C225="","",C225),IF(D225="","",D225/10))</f>
        <v/>
      </c>
      <c r="F225" s="13">
        <f>IF(OR(B225&lt;=2011,D225=""),"",D225)</f>
        <v/>
      </c>
      <c r="G225" s="17">
        <f>IF(B225&lt;=2011,IF(C225="","",Puente_CPI!$G$2+Puente_CPI!$G$3*C225),IF(D225="","",D225))</f>
        <v/>
      </c>
      <c r="H225" s="8">
        <f>A225&amp;"|"&amp;B225</f>
        <v/>
      </c>
    </row>
    <row r="226">
      <c r="A226" s="8" t="inlineStr">
        <is>
          <t>México</t>
        </is>
      </c>
      <c r="B226" s="8" t="n">
        <v>2002</v>
      </c>
      <c r="C226" s="14" t="n">
        <v>3.6</v>
      </c>
      <c r="D226" s="15" t="n"/>
      <c r="E226" s="16">
        <f>IF(B226&lt;=2011,IF(C226="","",C226),IF(D226="","",D226/10))</f>
        <v/>
      </c>
      <c r="F226" s="13">
        <f>IF(OR(B226&lt;=2011,D226=""),"",D226)</f>
        <v/>
      </c>
      <c r="G226" s="17">
        <f>IF(B226&lt;=2011,IF(C226="","",Puente_CPI!$G$2+Puente_CPI!$G$3*C226),IF(D226="","",D226))</f>
        <v/>
      </c>
      <c r="H226" s="8">
        <f>A226&amp;"|"&amp;B226</f>
        <v/>
      </c>
    </row>
    <row r="227">
      <c r="A227" s="8" t="inlineStr">
        <is>
          <t>México</t>
        </is>
      </c>
      <c r="B227" s="8" t="n">
        <v>2003</v>
      </c>
      <c r="C227" s="14" t="n">
        <v>3.6</v>
      </c>
      <c r="D227" s="15" t="n"/>
      <c r="E227" s="16">
        <f>IF(B227&lt;=2011,IF(C227="","",C227),IF(D227="","",D227/10))</f>
        <v/>
      </c>
      <c r="F227" s="13">
        <f>IF(OR(B227&lt;=2011,D227=""),"",D227)</f>
        <v/>
      </c>
      <c r="G227" s="17">
        <f>IF(B227&lt;=2011,IF(C227="","",Puente_CPI!$G$2+Puente_CPI!$G$3*C227),IF(D227="","",D227))</f>
        <v/>
      </c>
      <c r="H227" s="8">
        <f>A227&amp;"|"&amp;B227</f>
        <v/>
      </c>
    </row>
    <row r="228">
      <c r="A228" s="8" t="inlineStr">
        <is>
          <t>México</t>
        </is>
      </c>
      <c r="B228" s="8" t="n">
        <v>2004</v>
      </c>
      <c r="C228" s="14" t="n">
        <v>3.6</v>
      </c>
      <c r="D228" s="15" t="n"/>
      <c r="E228" s="16">
        <f>IF(B228&lt;=2011,IF(C228="","",C228),IF(D228="","",D228/10))</f>
        <v/>
      </c>
      <c r="F228" s="13">
        <f>IF(OR(B228&lt;=2011,D228=""),"",D228)</f>
        <v/>
      </c>
      <c r="G228" s="17">
        <f>IF(B228&lt;=2011,IF(C228="","",Puente_CPI!$G$2+Puente_CPI!$G$3*C228),IF(D228="","",D228))</f>
        <v/>
      </c>
      <c r="H228" s="8">
        <f>A228&amp;"|"&amp;B228</f>
        <v/>
      </c>
    </row>
    <row r="229">
      <c r="A229" s="8" t="inlineStr">
        <is>
          <t>México</t>
        </is>
      </c>
      <c r="B229" s="8" t="n">
        <v>2005</v>
      </c>
      <c r="C229" s="14" t="n">
        <v>3.5</v>
      </c>
      <c r="D229" s="15" t="n"/>
      <c r="E229" s="16">
        <f>IF(B229&lt;=2011,IF(C229="","",C229),IF(D229="","",D229/10))</f>
        <v/>
      </c>
      <c r="F229" s="13">
        <f>IF(OR(B229&lt;=2011,D229=""),"",D229)</f>
        <v/>
      </c>
      <c r="G229" s="17">
        <f>IF(B229&lt;=2011,IF(C229="","",Puente_CPI!$G$2+Puente_CPI!$G$3*C229),IF(D229="","",D229))</f>
        <v/>
      </c>
      <c r="H229" s="8">
        <f>A229&amp;"|"&amp;B229</f>
        <v/>
      </c>
    </row>
    <row r="230">
      <c r="A230" s="8" t="inlineStr">
        <is>
          <t>México</t>
        </is>
      </c>
      <c r="B230" s="8" t="n">
        <v>2006</v>
      </c>
      <c r="C230" s="14" t="n">
        <v>3.3</v>
      </c>
      <c r="D230" s="15" t="n"/>
      <c r="E230" s="16">
        <f>IF(B230&lt;=2011,IF(C230="","",C230),IF(D230="","",D230/10))</f>
        <v/>
      </c>
      <c r="F230" s="13">
        <f>IF(OR(B230&lt;=2011,D230=""),"",D230)</f>
        <v/>
      </c>
      <c r="G230" s="17">
        <f>IF(B230&lt;=2011,IF(C230="","",Puente_CPI!$G$2+Puente_CPI!$G$3*C230),IF(D230="","",D230))</f>
        <v/>
      </c>
      <c r="H230" s="8">
        <f>A230&amp;"|"&amp;B230</f>
        <v/>
      </c>
    </row>
    <row r="231">
      <c r="A231" s="8" t="inlineStr">
        <is>
          <t>México</t>
        </is>
      </c>
      <c r="B231" s="8" t="n">
        <v>2007</v>
      </c>
      <c r="C231" s="14" t="n">
        <v>3.5</v>
      </c>
      <c r="D231" s="15" t="n"/>
      <c r="E231" s="16">
        <f>IF(B231&lt;=2011,IF(C231="","",C231),IF(D231="","",D231/10))</f>
        <v/>
      </c>
      <c r="F231" s="13">
        <f>IF(OR(B231&lt;=2011,D231=""),"",D231)</f>
        <v/>
      </c>
      <c r="G231" s="17">
        <f>IF(B231&lt;=2011,IF(C231="","",Puente_CPI!$G$2+Puente_CPI!$G$3*C231),IF(D231="","",D231))</f>
        <v/>
      </c>
      <c r="H231" s="8">
        <f>A231&amp;"|"&amp;B231</f>
        <v/>
      </c>
    </row>
    <row r="232">
      <c r="A232" s="8" t="inlineStr">
        <is>
          <t>México</t>
        </is>
      </c>
      <c r="B232" s="8" t="n">
        <v>2008</v>
      </c>
      <c r="C232" s="14" t="n">
        <v>3.6</v>
      </c>
      <c r="D232" s="15" t="n"/>
      <c r="E232" s="16">
        <f>IF(B232&lt;=2011,IF(C232="","",C232),IF(D232="","",D232/10))</f>
        <v/>
      </c>
      <c r="F232" s="13">
        <f>IF(OR(B232&lt;=2011,D232=""),"",D232)</f>
        <v/>
      </c>
      <c r="G232" s="17">
        <f>IF(B232&lt;=2011,IF(C232="","",Puente_CPI!$G$2+Puente_CPI!$G$3*C232),IF(D232="","",D232))</f>
        <v/>
      </c>
      <c r="H232" s="8">
        <f>A232&amp;"|"&amp;B232</f>
        <v/>
      </c>
    </row>
    <row r="233">
      <c r="A233" s="8" t="inlineStr">
        <is>
          <t>México</t>
        </is>
      </c>
      <c r="B233" s="8" t="n">
        <v>2009</v>
      </c>
      <c r="C233" s="14" t="n">
        <v>3.3</v>
      </c>
      <c r="D233" s="15" t="n"/>
      <c r="E233" s="16">
        <f>IF(B233&lt;=2011,IF(C233="","",C233),IF(D233="","",D233/10))</f>
        <v/>
      </c>
      <c r="F233" s="13">
        <f>IF(OR(B233&lt;=2011,D233=""),"",D233)</f>
        <v/>
      </c>
      <c r="G233" s="17">
        <f>IF(B233&lt;=2011,IF(C233="","",Puente_CPI!$G$2+Puente_CPI!$G$3*C233),IF(D233="","",D233))</f>
        <v/>
      </c>
      <c r="H233" s="8">
        <f>A233&amp;"|"&amp;B233</f>
        <v/>
      </c>
    </row>
    <row r="234">
      <c r="A234" s="8" t="inlineStr">
        <is>
          <t>México</t>
        </is>
      </c>
      <c r="B234" s="8" t="n">
        <v>2010</v>
      </c>
      <c r="C234" s="14" t="n">
        <v>3.1</v>
      </c>
      <c r="D234" s="15" t="n"/>
      <c r="E234" s="16">
        <f>IF(B234&lt;=2011,IF(C234="","",C234),IF(D234="","",D234/10))</f>
        <v/>
      </c>
      <c r="F234" s="13">
        <f>IF(OR(B234&lt;=2011,D234=""),"",D234)</f>
        <v/>
      </c>
      <c r="G234" s="17">
        <f>IF(B234&lt;=2011,IF(C234="","",Puente_CPI!$G$2+Puente_CPI!$G$3*C234),IF(D234="","",D234))</f>
        <v/>
      </c>
      <c r="H234" s="8">
        <f>A234&amp;"|"&amp;B234</f>
        <v/>
      </c>
    </row>
    <row r="235">
      <c r="A235" s="8" t="inlineStr">
        <is>
          <t>México</t>
        </is>
      </c>
      <c r="B235" s="8" t="n">
        <v>2011</v>
      </c>
      <c r="C235" s="14" t="n">
        <v>2.971</v>
      </c>
      <c r="D235" s="15" t="n"/>
      <c r="E235" s="16">
        <f>IF(B235&lt;=2011,IF(C235="","",C235),IF(D235="","",D235/10))</f>
        <v/>
      </c>
      <c r="F235" s="13">
        <f>IF(OR(B235&lt;=2011,D235=""),"",D235)</f>
        <v/>
      </c>
      <c r="G235" s="17">
        <f>IF(B235&lt;=2011,IF(C235="","",Puente_CPI!$G$2+Puente_CPI!$G$3*C235),IF(D235="","",D235))</f>
        <v/>
      </c>
      <c r="H235" s="8">
        <f>A235&amp;"|"&amp;B235</f>
        <v/>
      </c>
    </row>
    <row r="236">
      <c r="A236" s="8" t="inlineStr">
        <is>
          <t>México</t>
        </is>
      </c>
      <c r="B236" s="8" t="n">
        <v>2015</v>
      </c>
      <c r="C236" s="14" t="n"/>
      <c r="D236" s="15" t="n">
        <v>31</v>
      </c>
      <c r="E236" s="16">
        <f>IF(B236&lt;=2011,IF(C236="","",C236),IF(D236="","",D236/10))</f>
        <v/>
      </c>
      <c r="F236" s="13">
        <f>IF(OR(B236&lt;=2011,D236=""),"",D236)</f>
        <v/>
      </c>
      <c r="G236" s="17">
        <f>IF(B236&lt;=2011,IF(C236="","",Puente_CPI!$G$2+Puente_CPI!$G$3*C236),IF(D236="","",D236))</f>
        <v/>
      </c>
      <c r="H236" s="8">
        <f>A236&amp;"|"&amp;B236</f>
        <v/>
      </c>
    </row>
    <row r="237">
      <c r="A237" s="8" t="inlineStr">
        <is>
          <t>México</t>
        </is>
      </c>
      <c r="B237" s="8" t="n">
        <v>2016</v>
      </c>
      <c r="C237" s="14" t="n"/>
      <c r="D237" s="15" t="n">
        <v>30</v>
      </c>
      <c r="E237" s="16">
        <f>IF(B237&lt;=2011,IF(C237="","",C237),IF(D237="","",D237/10))</f>
        <v/>
      </c>
      <c r="F237" s="13">
        <f>IF(OR(B237&lt;=2011,D237=""),"",D237)</f>
        <v/>
      </c>
      <c r="G237" s="17">
        <f>IF(B237&lt;=2011,IF(C237="","",Puente_CPI!$G$2+Puente_CPI!$G$3*C237),IF(D237="","",D237))</f>
        <v/>
      </c>
      <c r="H237" s="8">
        <f>A237&amp;"|"&amp;B237</f>
        <v/>
      </c>
    </row>
    <row r="238">
      <c r="A238" s="8" t="inlineStr">
        <is>
          <t>México</t>
        </is>
      </c>
      <c r="B238" s="8" t="n">
        <v>2017</v>
      </c>
      <c r="C238" s="14" t="n"/>
      <c r="D238" s="15" t="n">
        <v>29</v>
      </c>
      <c r="E238" s="16">
        <f>IF(B238&lt;=2011,IF(C238="","",C238),IF(D238="","",D238/10))</f>
        <v/>
      </c>
      <c r="F238" s="13">
        <f>IF(OR(B238&lt;=2011,D238=""),"",D238)</f>
        <v/>
      </c>
      <c r="G238" s="17">
        <f>IF(B238&lt;=2011,IF(C238="","",Puente_CPI!$G$2+Puente_CPI!$G$3*C238),IF(D238="","",D238))</f>
        <v/>
      </c>
      <c r="H238" s="8">
        <f>A238&amp;"|"&amp;B238</f>
        <v/>
      </c>
    </row>
    <row r="239">
      <c r="A239" s="8" t="inlineStr">
        <is>
          <t>México</t>
        </is>
      </c>
      <c r="B239" s="8" t="n">
        <v>2018</v>
      </c>
      <c r="C239" s="14" t="n"/>
      <c r="D239" s="15" t="n">
        <v>28</v>
      </c>
      <c r="E239" s="16">
        <f>IF(B239&lt;=2011,IF(C239="","",C239),IF(D239="","",D239/10))</f>
        <v/>
      </c>
      <c r="F239" s="13">
        <f>IF(OR(B239&lt;=2011,D239=""),"",D239)</f>
        <v/>
      </c>
      <c r="G239" s="17">
        <f>IF(B239&lt;=2011,IF(C239="","",Puente_CPI!$G$2+Puente_CPI!$G$3*C239),IF(D239="","",D239))</f>
        <v/>
      </c>
      <c r="H239" s="8">
        <f>A239&amp;"|"&amp;B239</f>
        <v/>
      </c>
    </row>
    <row r="240">
      <c r="A240" s="8" t="inlineStr">
        <is>
          <t>México</t>
        </is>
      </c>
      <c r="B240" s="8" t="n">
        <v>2020</v>
      </c>
      <c r="C240" s="14" t="n"/>
      <c r="D240" s="15" t="n">
        <v>31</v>
      </c>
      <c r="E240" s="16">
        <f>IF(B240&lt;=2011,IF(C240="","",C240),IF(D240="","",D240/10))</f>
        <v/>
      </c>
      <c r="F240" s="13">
        <f>IF(OR(B240&lt;=2011,D240=""),"",D240)</f>
        <v/>
      </c>
      <c r="G240" s="17">
        <f>IF(B240&lt;=2011,IF(C240="","",Puente_CPI!$G$2+Puente_CPI!$G$3*C240),IF(D240="","",D240))</f>
        <v/>
      </c>
      <c r="H240" s="8">
        <f>A240&amp;"|"&amp;B240</f>
        <v/>
      </c>
    </row>
    <row r="241">
      <c r="A241" s="8" t="inlineStr">
        <is>
          <t>México</t>
        </is>
      </c>
      <c r="B241" s="8" t="n">
        <v>2024</v>
      </c>
      <c r="C241" s="14" t="n"/>
      <c r="D241" s="15" t="n">
        <v>26</v>
      </c>
      <c r="E241" s="16">
        <f>IF(B241&lt;=2011,IF(C241="","",C241),IF(D241="","",D241/10))</f>
        <v/>
      </c>
      <c r="F241" s="13">
        <f>IF(OR(B241&lt;=2011,D241=""),"",D241)</f>
        <v/>
      </c>
      <c r="G241" s="17">
        <f>IF(B241&lt;=2011,IF(C241="","",Puente_CPI!$G$2+Puente_CPI!$G$3*C241),IF(D241="","",D241))</f>
        <v/>
      </c>
      <c r="H241" s="8">
        <f>A241&amp;"|"&amp;B241</f>
        <v/>
      </c>
    </row>
    <row r="242">
      <c r="A242" s="8" t="inlineStr">
        <is>
          <t>Nicaragua</t>
        </is>
      </c>
      <c r="B242" s="8" t="n">
        <v>1996</v>
      </c>
      <c r="C242" s="14" t="n"/>
      <c r="D242" s="15" t="n"/>
      <c r="E242" s="16">
        <f>IF(B242&lt;=2011,IF(C242="","",C242),IF(D242="","",D242/10))</f>
        <v/>
      </c>
      <c r="F242" s="13">
        <f>IF(OR(B242&lt;=2011,D242=""),"",D242)</f>
        <v/>
      </c>
      <c r="G242" s="17">
        <f>IF(B242&lt;=2011,IF(C242="","",Puente_CPI!$G$2+Puente_CPI!$G$3*C242),IF(D242="","",D242))</f>
        <v/>
      </c>
      <c r="H242" s="8">
        <f>A242&amp;"|"&amp;B242</f>
        <v/>
      </c>
    </row>
    <row r="243">
      <c r="A243" s="8" t="inlineStr">
        <is>
          <t>Nicaragua</t>
        </is>
      </c>
      <c r="B243" s="8" t="n">
        <v>1997</v>
      </c>
      <c r="C243" s="14" t="n"/>
      <c r="D243" s="15" t="n"/>
      <c r="E243" s="16">
        <f>IF(B243&lt;=2011,IF(C243="","",C243),IF(D243="","",D243/10))</f>
        <v/>
      </c>
      <c r="F243" s="13">
        <f>IF(OR(B243&lt;=2011,D243=""),"",D243)</f>
        <v/>
      </c>
      <c r="G243" s="17">
        <f>IF(B243&lt;=2011,IF(C243="","",Puente_CPI!$G$2+Puente_CPI!$G$3*C243),IF(D243="","",D243))</f>
        <v/>
      </c>
      <c r="H243" s="8">
        <f>A243&amp;"|"&amp;B243</f>
        <v/>
      </c>
    </row>
    <row r="244">
      <c r="A244" s="8" t="inlineStr">
        <is>
          <t>Nicaragua</t>
        </is>
      </c>
      <c r="B244" s="8" t="n">
        <v>1998</v>
      </c>
      <c r="C244" s="14" t="n">
        <v>3</v>
      </c>
      <c r="D244" s="15" t="n"/>
      <c r="E244" s="16">
        <f>IF(B244&lt;=2011,IF(C244="","",C244),IF(D244="","",D244/10))</f>
        <v/>
      </c>
      <c r="F244" s="13">
        <f>IF(OR(B244&lt;=2011,D244=""),"",D244)</f>
        <v/>
      </c>
      <c r="G244" s="17">
        <f>IF(B244&lt;=2011,IF(C244="","",Puente_CPI!$G$2+Puente_CPI!$G$3*C244),IF(D244="","",D244))</f>
        <v/>
      </c>
      <c r="H244" s="8">
        <f>A244&amp;"|"&amp;B244</f>
        <v/>
      </c>
    </row>
    <row r="245">
      <c r="A245" s="8" t="inlineStr">
        <is>
          <t>Nicaragua</t>
        </is>
      </c>
      <c r="B245" s="8" t="n">
        <v>2000</v>
      </c>
      <c r="C245" s="14" t="n"/>
      <c r="D245" s="15" t="n"/>
      <c r="E245" s="16">
        <f>IF(B245&lt;=2011,IF(C245="","",C245),IF(D245="","",D245/10))</f>
        <v/>
      </c>
      <c r="F245" s="13">
        <f>IF(OR(B245&lt;=2011,D245=""),"",D245)</f>
        <v/>
      </c>
      <c r="G245" s="17">
        <f>IF(B245&lt;=2011,IF(C245="","",Puente_CPI!$G$2+Puente_CPI!$G$3*C245),IF(D245="","",D245))</f>
        <v/>
      </c>
      <c r="H245" s="8">
        <f>A245&amp;"|"&amp;B245</f>
        <v/>
      </c>
    </row>
    <row r="246">
      <c r="A246" s="8" t="inlineStr">
        <is>
          <t>Nicaragua</t>
        </is>
      </c>
      <c r="B246" s="8" t="n">
        <v>2001</v>
      </c>
      <c r="C246" s="14" t="n">
        <v>2.4</v>
      </c>
      <c r="D246" s="15" t="n"/>
      <c r="E246" s="16">
        <f>IF(B246&lt;=2011,IF(C246="","",C246),IF(D246="","",D246/10))</f>
        <v/>
      </c>
      <c r="F246" s="13">
        <f>IF(OR(B246&lt;=2011,D246=""),"",D246)</f>
        <v/>
      </c>
      <c r="G246" s="17">
        <f>IF(B246&lt;=2011,IF(C246="","",Puente_CPI!$G$2+Puente_CPI!$G$3*C246),IF(D246="","",D246))</f>
        <v/>
      </c>
      <c r="H246" s="8">
        <f>A246&amp;"|"&amp;B246</f>
        <v/>
      </c>
    </row>
    <row r="247">
      <c r="A247" s="8" t="inlineStr">
        <is>
          <t>Nicaragua</t>
        </is>
      </c>
      <c r="B247" s="8" t="n">
        <v>2002</v>
      </c>
      <c r="C247" s="14" t="n">
        <v>2.5</v>
      </c>
      <c r="D247" s="15" t="n"/>
      <c r="E247" s="16">
        <f>IF(B247&lt;=2011,IF(C247="","",C247),IF(D247="","",D247/10))</f>
        <v/>
      </c>
      <c r="F247" s="13">
        <f>IF(OR(B247&lt;=2011,D247=""),"",D247)</f>
        <v/>
      </c>
      <c r="G247" s="17">
        <f>IF(B247&lt;=2011,IF(C247="","",Puente_CPI!$G$2+Puente_CPI!$G$3*C247),IF(D247="","",D247))</f>
        <v/>
      </c>
      <c r="H247" s="8">
        <f>A247&amp;"|"&amp;B247</f>
        <v/>
      </c>
    </row>
    <row r="248">
      <c r="A248" s="8" t="inlineStr">
        <is>
          <t>Nicaragua</t>
        </is>
      </c>
      <c r="B248" s="8" t="n">
        <v>2003</v>
      </c>
      <c r="C248" s="14" t="n">
        <v>2.6</v>
      </c>
      <c r="D248" s="15" t="n"/>
      <c r="E248" s="16">
        <f>IF(B248&lt;=2011,IF(C248="","",C248),IF(D248="","",D248/10))</f>
        <v/>
      </c>
      <c r="F248" s="13">
        <f>IF(OR(B248&lt;=2011,D248=""),"",D248)</f>
        <v/>
      </c>
      <c r="G248" s="17">
        <f>IF(B248&lt;=2011,IF(C248="","",Puente_CPI!$G$2+Puente_CPI!$G$3*C248),IF(D248="","",D248))</f>
        <v/>
      </c>
      <c r="H248" s="8">
        <f>A248&amp;"|"&amp;B248</f>
        <v/>
      </c>
    </row>
    <row r="249">
      <c r="A249" s="8" t="inlineStr">
        <is>
          <t>Nicaragua</t>
        </is>
      </c>
      <c r="B249" s="8" t="n">
        <v>2004</v>
      </c>
      <c r="C249" s="14" t="n">
        <v>2.7</v>
      </c>
      <c r="D249" s="15" t="n"/>
      <c r="E249" s="16">
        <f>IF(B249&lt;=2011,IF(C249="","",C249),IF(D249="","",D249/10))</f>
        <v/>
      </c>
      <c r="F249" s="13">
        <f>IF(OR(B249&lt;=2011,D249=""),"",D249)</f>
        <v/>
      </c>
      <c r="G249" s="17">
        <f>IF(B249&lt;=2011,IF(C249="","",Puente_CPI!$G$2+Puente_CPI!$G$3*C249),IF(D249="","",D249))</f>
        <v/>
      </c>
      <c r="H249" s="8">
        <f>A249&amp;"|"&amp;B249</f>
        <v/>
      </c>
    </row>
    <row r="250">
      <c r="A250" s="8" t="inlineStr">
        <is>
          <t>Nicaragua</t>
        </is>
      </c>
      <c r="B250" s="8" t="n">
        <v>2005</v>
      </c>
      <c r="C250" s="14" t="n">
        <v>2.6</v>
      </c>
      <c r="D250" s="15" t="n"/>
      <c r="E250" s="16">
        <f>IF(B250&lt;=2011,IF(C250="","",C250),IF(D250="","",D250/10))</f>
        <v/>
      </c>
      <c r="F250" s="13">
        <f>IF(OR(B250&lt;=2011,D250=""),"",D250)</f>
        <v/>
      </c>
      <c r="G250" s="17">
        <f>IF(B250&lt;=2011,IF(C250="","",Puente_CPI!$G$2+Puente_CPI!$G$3*C250),IF(D250="","",D250))</f>
        <v/>
      </c>
      <c r="H250" s="8">
        <f>A250&amp;"|"&amp;B250</f>
        <v/>
      </c>
    </row>
    <row r="251">
      <c r="A251" s="8" t="inlineStr">
        <is>
          <t>Nicaragua</t>
        </is>
      </c>
      <c r="B251" s="8" t="n">
        <v>2006</v>
      </c>
      <c r="C251" s="14" t="n">
        <v>2.6</v>
      </c>
      <c r="D251" s="15" t="n"/>
      <c r="E251" s="16">
        <f>IF(B251&lt;=2011,IF(C251="","",C251),IF(D251="","",D251/10))</f>
        <v/>
      </c>
      <c r="F251" s="13">
        <f>IF(OR(B251&lt;=2011,D251=""),"",D251)</f>
        <v/>
      </c>
      <c r="G251" s="17">
        <f>IF(B251&lt;=2011,IF(C251="","",Puente_CPI!$G$2+Puente_CPI!$G$3*C251),IF(D251="","",D251))</f>
        <v/>
      </c>
      <c r="H251" s="8">
        <f>A251&amp;"|"&amp;B251</f>
        <v/>
      </c>
    </row>
    <row r="252">
      <c r="A252" s="8" t="inlineStr">
        <is>
          <t>Nicaragua</t>
        </is>
      </c>
      <c r="B252" s="8" t="n">
        <v>2007</v>
      </c>
      <c r="C252" s="14" t="n">
        <v>2.6</v>
      </c>
      <c r="D252" s="15" t="n"/>
      <c r="E252" s="16">
        <f>IF(B252&lt;=2011,IF(C252="","",C252),IF(D252="","",D252/10))</f>
        <v/>
      </c>
      <c r="F252" s="13">
        <f>IF(OR(B252&lt;=2011,D252=""),"",D252)</f>
        <v/>
      </c>
      <c r="G252" s="17">
        <f>IF(B252&lt;=2011,IF(C252="","",Puente_CPI!$G$2+Puente_CPI!$G$3*C252),IF(D252="","",D252))</f>
        <v/>
      </c>
      <c r="H252" s="8">
        <f>A252&amp;"|"&amp;B252</f>
        <v/>
      </c>
    </row>
    <row r="253">
      <c r="A253" s="8" t="inlineStr">
        <is>
          <t>Nicaragua</t>
        </is>
      </c>
      <c r="B253" s="8" t="n">
        <v>2008</v>
      </c>
      <c r="C253" s="14" t="n">
        <v>2.5</v>
      </c>
      <c r="D253" s="15" t="n"/>
      <c r="E253" s="16">
        <f>IF(B253&lt;=2011,IF(C253="","",C253),IF(D253="","",D253/10))</f>
        <v/>
      </c>
      <c r="F253" s="13">
        <f>IF(OR(B253&lt;=2011,D253=""),"",D253)</f>
        <v/>
      </c>
      <c r="G253" s="17">
        <f>IF(B253&lt;=2011,IF(C253="","",Puente_CPI!$G$2+Puente_CPI!$G$3*C253),IF(D253="","",D253))</f>
        <v/>
      </c>
      <c r="H253" s="8">
        <f>A253&amp;"|"&amp;B253</f>
        <v/>
      </c>
    </row>
    <row r="254">
      <c r="A254" s="8" t="inlineStr">
        <is>
          <t>Nicaragua</t>
        </is>
      </c>
      <c r="B254" s="8" t="n">
        <v>2009</v>
      </c>
      <c r="C254" s="14" t="n">
        <v>2.5</v>
      </c>
      <c r="D254" s="15" t="n"/>
      <c r="E254" s="16">
        <f>IF(B254&lt;=2011,IF(C254="","",C254),IF(D254="","",D254/10))</f>
        <v/>
      </c>
      <c r="F254" s="13">
        <f>IF(OR(B254&lt;=2011,D254=""),"",D254)</f>
        <v/>
      </c>
      <c r="G254" s="17">
        <f>IF(B254&lt;=2011,IF(C254="","",Puente_CPI!$G$2+Puente_CPI!$G$3*C254),IF(D254="","",D254))</f>
        <v/>
      </c>
      <c r="H254" s="8">
        <f>A254&amp;"|"&amp;B254</f>
        <v/>
      </c>
    </row>
    <row r="255">
      <c r="A255" s="8" t="inlineStr">
        <is>
          <t>Nicaragua</t>
        </is>
      </c>
      <c r="B255" s="8" t="n">
        <v>2010</v>
      </c>
      <c r="C255" s="14" t="n">
        <v>2.5</v>
      </c>
      <c r="D255" s="15" t="n"/>
      <c r="E255" s="16">
        <f>IF(B255&lt;=2011,IF(C255="","",C255),IF(D255="","",D255/10))</f>
        <v/>
      </c>
      <c r="F255" s="13">
        <f>IF(OR(B255&lt;=2011,D255=""),"",D255)</f>
        <v/>
      </c>
      <c r="G255" s="17">
        <f>IF(B255&lt;=2011,IF(C255="","",Puente_CPI!$G$2+Puente_CPI!$G$3*C255),IF(D255="","",D255))</f>
        <v/>
      </c>
      <c r="H255" s="8">
        <f>A255&amp;"|"&amp;B255</f>
        <v/>
      </c>
    </row>
    <row r="256">
      <c r="A256" s="8" t="inlineStr">
        <is>
          <t>Nicaragua</t>
        </is>
      </c>
      <c r="B256" s="8" t="n">
        <v>2011</v>
      </c>
      <c r="C256" s="14" t="n">
        <v>2.53</v>
      </c>
      <c r="D256" s="15" t="n"/>
      <c r="E256" s="16">
        <f>IF(B256&lt;=2011,IF(C256="","",C256),IF(D256="","",D256/10))</f>
        <v/>
      </c>
      <c r="F256" s="13">
        <f>IF(OR(B256&lt;=2011,D256=""),"",D256)</f>
        <v/>
      </c>
      <c r="G256" s="17">
        <f>IF(B256&lt;=2011,IF(C256="","",Puente_CPI!$G$2+Puente_CPI!$G$3*C256),IF(D256="","",D256))</f>
        <v/>
      </c>
      <c r="H256" s="8">
        <f>A256&amp;"|"&amp;B256</f>
        <v/>
      </c>
    </row>
    <row r="257">
      <c r="A257" s="8" t="inlineStr">
        <is>
          <t>Nicaragua</t>
        </is>
      </c>
      <c r="B257" s="8" t="n">
        <v>2016</v>
      </c>
      <c r="C257" s="14" t="n"/>
      <c r="D257" s="15" t="n">
        <v>26</v>
      </c>
      <c r="E257" s="16">
        <f>IF(B257&lt;=2011,IF(C257="","",C257),IF(D257="","",D257/10))</f>
        <v/>
      </c>
      <c r="F257" s="13">
        <f>IF(OR(B257&lt;=2011,D257=""),"",D257)</f>
        <v/>
      </c>
      <c r="G257" s="17">
        <f>IF(B257&lt;=2011,IF(C257="","",Puente_CPI!$G$2+Puente_CPI!$G$3*C257),IF(D257="","",D257))</f>
        <v/>
      </c>
      <c r="H257" s="8">
        <f>A257&amp;"|"&amp;B257</f>
        <v/>
      </c>
    </row>
    <row r="258">
      <c r="A258" s="8" t="inlineStr">
        <is>
          <t>Nicaragua</t>
        </is>
      </c>
      <c r="B258" s="8" t="n">
        <v>2017</v>
      </c>
      <c r="C258" s="14" t="n"/>
      <c r="D258" s="15" t="n">
        <v>26</v>
      </c>
      <c r="E258" s="16">
        <f>IF(B258&lt;=2011,IF(C258="","",C258),IF(D258="","",D258/10))</f>
        <v/>
      </c>
      <c r="F258" s="13">
        <f>IF(OR(B258&lt;=2011,D258=""),"",D258)</f>
        <v/>
      </c>
      <c r="G258" s="17">
        <f>IF(B258&lt;=2011,IF(C258="","",Puente_CPI!$G$2+Puente_CPI!$G$3*C258),IF(D258="","",D258))</f>
        <v/>
      </c>
      <c r="H258" s="8">
        <f>A258&amp;"|"&amp;B258</f>
        <v/>
      </c>
    </row>
    <row r="259">
      <c r="A259" s="8" t="inlineStr">
        <is>
          <t>Nicaragua</t>
        </is>
      </c>
      <c r="B259" s="8" t="n">
        <v>2018</v>
      </c>
      <c r="C259" s="14" t="n"/>
      <c r="D259" s="15" t="n">
        <v>25</v>
      </c>
      <c r="E259" s="16">
        <f>IF(B259&lt;=2011,IF(C259="","",C259),IF(D259="","",D259/10))</f>
        <v/>
      </c>
      <c r="F259" s="13">
        <f>IF(OR(B259&lt;=2011,D259=""),"",D259)</f>
        <v/>
      </c>
      <c r="G259" s="17">
        <f>IF(B259&lt;=2011,IF(C259="","",Puente_CPI!$G$2+Puente_CPI!$G$3*C259),IF(D259="","",D259))</f>
        <v/>
      </c>
      <c r="H259" s="8">
        <f>A259&amp;"|"&amp;B259</f>
        <v/>
      </c>
    </row>
    <row r="260">
      <c r="A260" s="8" t="inlineStr">
        <is>
          <t>Nicaragua</t>
        </is>
      </c>
      <c r="B260" s="8" t="n">
        <v>2020</v>
      </c>
      <c r="C260" s="14" t="n"/>
      <c r="D260" s="15" t="n">
        <v>22</v>
      </c>
      <c r="E260" s="16">
        <f>IF(B260&lt;=2011,IF(C260="","",C260),IF(D260="","",D260/10))</f>
        <v/>
      </c>
      <c r="F260" s="13">
        <f>IF(OR(B260&lt;=2011,D260=""),"",D260)</f>
        <v/>
      </c>
      <c r="G260" s="17">
        <f>IF(B260&lt;=2011,IF(C260="","",Puente_CPI!$G$2+Puente_CPI!$G$3*C260),IF(D260="","",D260))</f>
        <v/>
      </c>
      <c r="H260" s="8">
        <f>A260&amp;"|"&amp;B260</f>
        <v/>
      </c>
    </row>
    <row r="261">
      <c r="A261" s="8" t="inlineStr">
        <is>
          <t>Panamá</t>
        </is>
      </c>
      <c r="B261" s="8" t="n">
        <v>1996</v>
      </c>
      <c r="C261" s="14" t="n"/>
      <c r="D261" s="15" t="n"/>
      <c r="E261" s="16">
        <f>IF(B261&lt;=2011,IF(C261="","",C261),IF(D261="","",D261/10))</f>
        <v/>
      </c>
      <c r="F261" s="13">
        <f>IF(OR(B261&lt;=2011,D261=""),"",D261)</f>
        <v/>
      </c>
      <c r="G261" s="17">
        <f>IF(B261&lt;=2011,IF(C261="","",Puente_CPI!$G$2+Puente_CPI!$G$3*C261),IF(D261="","",D261))</f>
        <v/>
      </c>
      <c r="H261" s="8">
        <f>A261&amp;"|"&amp;B261</f>
        <v/>
      </c>
    </row>
    <row r="262">
      <c r="A262" s="8" t="inlineStr">
        <is>
          <t>Panamá</t>
        </is>
      </c>
      <c r="B262" s="8" t="n">
        <v>1997</v>
      </c>
      <c r="C262" s="14" t="n"/>
      <c r="D262" s="15" t="n"/>
      <c r="E262" s="16">
        <f>IF(B262&lt;=2011,IF(C262="","",C262),IF(D262="","",D262/10))</f>
        <v/>
      </c>
      <c r="F262" s="13">
        <f>IF(OR(B262&lt;=2011,D262=""),"",D262)</f>
        <v/>
      </c>
      <c r="G262" s="17">
        <f>IF(B262&lt;=2011,IF(C262="","",Puente_CPI!$G$2+Puente_CPI!$G$3*C262),IF(D262="","",D262))</f>
        <v/>
      </c>
      <c r="H262" s="8">
        <f>A262&amp;"|"&amp;B262</f>
        <v/>
      </c>
    </row>
    <row r="263">
      <c r="A263" s="8" t="inlineStr">
        <is>
          <t>Panamá</t>
        </is>
      </c>
      <c r="B263" s="8" t="n">
        <v>1998</v>
      </c>
      <c r="C263" s="14" t="n"/>
      <c r="D263" s="15" t="n"/>
      <c r="E263" s="16">
        <f>IF(B263&lt;=2011,IF(C263="","",C263),IF(D263="","",D263/10))</f>
        <v/>
      </c>
      <c r="F263" s="13">
        <f>IF(OR(B263&lt;=2011,D263=""),"",D263)</f>
        <v/>
      </c>
      <c r="G263" s="17">
        <f>IF(B263&lt;=2011,IF(C263="","",Puente_CPI!$G$2+Puente_CPI!$G$3*C263),IF(D263="","",D263))</f>
        <v/>
      </c>
      <c r="H263" s="8">
        <f>A263&amp;"|"&amp;B263</f>
        <v/>
      </c>
    </row>
    <row r="264">
      <c r="A264" s="8" t="inlineStr">
        <is>
          <t>Panamá</t>
        </is>
      </c>
      <c r="B264" s="8" t="n">
        <v>2000</v>
      </c>
      <c r="C264" s="14" t="n"/>
      <c r="D264" s="15" t="n"/>
      <c r="E264" s="16">
        <f>IF(B264&lt;=2011,IF(C264="","",C264),IF(D264="","",D264/10))</f>
        <v/>
      </c>
      <c r="F264" s="13">
        <f>IF(OR(B264&lt;=2011,D264=""),"",D264)</f>
        <v/>
      </c>
      <c r="G264" s="17">
        <f>IF(B264&lt;=2011,IF(C264="","",Puente_CPI!$G$2+Puente_CPI!$G$3*C264),IF(D264="","",D264))</f>
        <v/>
      </c>
      <c r="H264" s="8">
        <f>A264&amp;"|"&amp;B264</f>
        <v/>
      </c>
    </row>
    <row r="265">
      <c r="A265" s="8" t="inlineStr">
        <is>
          <t>Panamá</t>
        </is>
      </c>
      <c r="B265" s="8" t="n">
        <v>2001</v>
      </c>
      <c r="C265" s="14" t="n">
        <v>3.7</v>
      </c>
      <c r="D265" s="15" t="n"/>
      <c r="E265" s="16">
        <f>IF(B265&lt;=2011,IF(C265="","",C265),IF(D265="","",D265/10))</f>
        <v/>
      </c>
      <c r="F265" s="13">
        <f>IF(OR(B265&lt;=2011,D265=""),"",D265)</f>
        <v/>
      </c>
      <c r="G265" s="17">
        <f>IF(B265&lt;=2011,IF(C265="","",Puente_CPI!$G$2+Puente_CPI!$G$3*C265),IF(D265="","",D265))</f>
        <v/>
      </c>
      <c r="H265" s="8">
        <f>A265&amp;"|"&amp;B265</f>
        <v/>
      </c>
    </row>
    <row r="266">
      <c r="A266" s="8" t="inlineStr">
        <is>
          <t>Panamá</t>
        </is>
      </c>
      <c r="B266" s="8" t="n">
        <v>2002</v>
      </c>
      <c r="C266" s="14" t="n">
        <v>3</v>
      </c>
      <c r="D266" s="15" t="n"/>
      <c r="E266" s="16">
        <f>IF(B266&lt;=2011,IF(C266="","",C266),IF(D266="","",D266/10))</f>
        <v/>
      </c>
      <c r="F266" s="13">
        <f>IF(OR(B266&lt;=2011,D266=""),"",D266)</f>
        <v/>
      </c>
      <c r="G266" s="17">
        <f>IF(B266&lt;=2011,IF(C266="","",Puente_CPI!$G$2+Puente_CPI!$G$3*C266),IF(D266="","",D266))</f>
        <v/>
      </c>
      <c r="H266" s="8">
        <f>A266&amp;"|"&amp;B266</f>
        <v/>
      </c>
    </row>
    <row r="267">
      <c r="A267" s="8" t="inlineStr">
        <is>
          <t>Panamá</t>
        </is>
      </c>
      <c r="B267" s="8" t="n">
        <v>2003</v>
      </c>
      <c r="C267" s="14" t="n">
        <v>3.4</v>
      </c>
      <c r="D267" s="15" t="n"/>
      <c r="E267" s="16">
        <f>IF(B267&lt;=2011,IF(C267="","",C267),IF(D267="","",D267/10))</f>
        <v/>
      </c>
      <c r="F267" s="13">
        <f>IF(OR(B267&lt;=2011,D267=""),"",D267)</f>
        <v/>
      </c>
      <c r="G267" s="17">
        <f>IF(B267&lt;=2011,IF(C267="","",Puente_CPI!$G$2+Puente_CPI!$G$3*C267),IF(D267="","",D267))</f>
        <v/>
      </c>
      <c r="H267" s="8">
        <f>A267&amp;"|"&amp;B267</f>
        <v/>
      </c>
    </row>
    <row r="268">
      <c r="A268" s="8" t="inlineStr">
        <is>
          <t>Panamá</t>
        </is>
      </c>
      <c r="B268" s="8" t="n">
        <v>2004</v>
      </c>
      <c r="C268" s="14" t="n">
        <v>3.7</v>
      </c>
      <c r="D268" s="15" t="n"/>
      <c r="E268" s="16">
        <f>IF(B268&lt;=2011,IF(C268="","",C268),IF(D268="","",D268/10))</f>
        <v/>
      </c>
      <c r="F268" s="13">
        <f>IF(OR(B268&lt;=2011,D268=""),"",D268)</f>
        <v/>
      </c>
      <c r="G268" s="17">
        <f>IF(B268&lt;=2011,IF(C268="","",Puente_CPI!$G$2+Puente_CPI!$G$3*C268),IF(D268="","",D268))</f>
        <v/>
      </c>
      <c r="H268" s="8">
        <f>A268&amp;"|"&amp;B268</f>
        <v/>
      </c>
    </row>
    <row r="269">
      <c r="A269" s="8" t="inlineStr">
        <is>
          <t>Panamá</t>
        </is>
      </c>
      <c r="B269" s="8" t="n">
        <v>2005</v>
      </c>
      <c r="C269" s="14" t="n">
        <v>3.5</v>
      </c>
      <c r="D269" s="15" t="n"/>
      <c r="E269" s="16">
        <f>IF(B269&lt;=2011,IF(C269="","",C269),IF(D269="","",D269/10))</f>
        <v/>
      </c>
      <c r="F269" s="13">
        <f>IF(OR(B269&lt;=2011,D269=""),"",D269)</f>
        <v/>
      </c>
      <c r="G269" s="17">
        <f>IF(B269&lt;=2011,IF(C269="","",Puente_CPI!$G$2+Puente_CPI!$G$3*C269),IF(D269="","",D269))</f>
        <v/>
      </c>
      <c r="H269" s="8">
        <f>A269&amp;"|"&amp;B269</f>
        <v/>
      </c>
    </row>
    <row r="270">
      <c r="A270" s="8" t="inlineStr">
        <is>
          <t>Panamá</t>
        </is>
      </c>
      <c r="B270" s="8" t="n">
        <v>2006</v>
      </c>
      <c r="C270" s="14" t="n">
        <v>3.1</v>
      </c>
      <c r="D270" s="15" t="n"/>
      <c r="E270" s="16">
        <f>IF(B270&lt;=2011,IF(C270="","",C270),IF(D270="","",D270/10))</f>
        <v/>
      </c>
      <c r="F270" s="13">
        <f>IF(OR(B270&lt;=2011,D270=""),"",D270)</f>
        <v/>
      </c>
      <c r="G270" s="17">
        <f>IF(B270&lt;=2011,IF(C270="","",Puente_CPI!$G$2+Puente_CPI!$G$3*C270),IF(D270="","",D270))</f>
        <v/>
      </c>
      <c r="H270" s="8">
        <f>A270&amp;"|"&amp;B270</f>
        <v/>
      </c>
    </row>
    <row r="271">
      <c r="A271" s="8" t="inlineStr">
        <is>
          <t>Panamá</t>
        </is>
      </c>
      <c r="B271" s="8" t="n">
        <v>2007</v>
      </c>
      <c r="C271" s="14" t="n">
        <v>3.2</v>
      </c>
      <c r="D271" s="15" t="n"/>
      <c r="E271" s="16">
        <f>IF(B271&lt;=2011,IF(C271="","",C271),IF(D271="","",D271/10))</f>
        <v/>
      </c>
      <c r="F271" s="13">
        <f>IF(OR(B271&lt;=2011,D271=""),"",D271)</f>
        <v/>
      </c>
      <c r="G271" s="17">
        <f>IF(B271&lt;=2011,IF(C271="","",Puente_CPI!$G$2+Puente_CPI!$G$3*C271),IF(D271="","",D271))</f>
        <v/>
      </c>
      <c r="H271" s="8">
        <f>A271&amp;"|"&amp;B271</f>
        <v/>
      </c>
    </row>
    <row r="272">
      <c r="A272" s="8" t="inlineStr">
        <is>
          <t>Panamá</t>
        </is>
      </c>
      <c r="B272" s="8" t="n">
        <v>2008</v>
      </c>
      <c r="C272" s="14" t="n">
        <v>3.4</v>
      </c>
      <c r="D272" s="15" t="n"/>
      <c r="E272" s="16">
        <f>IF(B272&lt;=2011,IF(C272="","",C272),IF(D272="","",D272/10))</f>
        <v/>
      </c>
      <c r="F272" s="13">
        <f>IF(OR(B272&lt;=2011,D272=""),"",D272)</f>
        <v/>
      </c>
      <c r="G272" s="17">
        <f>IF(B272&lt;=2011,IF(C272="","",Puente_CPI!$G$2+Puente_CPI!$G$3*C272),IF(D272="","",D272))</f>
        <v/>
      </c>
      <c r="H272" s="8">
        <f>A272&amp;"|"&amp;B272</f>
        <v/>
      </c>
    </row>
    <row r="273">
      <c r="A273" s="8" t="inlineStr">
        <is>
          <t>Panamá</t>
        </is>
      </c>
      <c r="B273" s="8" t="n">
        <v>2009</v>
      </c>
      <c r="C273" s="14" t="n">
        <v>3.4</v>
      </c>
      <c r="D273" s="15" t="n"/>
      <c r="E273" s="16">
        <f>IF(B273&lt;=2011,IF(C273="","",C273),IF(D273="","",D273/10))</f>
        <v/>
      </c>
      <c r="F273" s="13">
        <f>IF(OR(B273&lt;=2011,D273=""),"",D273)</f>
        <v/>
      </c>
      <c r="G273" s="17">
        <f>IF(B273&lt;=2011,IF(C273="","",Puente_CPI!$G$2+Puente_CPI!$G$3*C273),IF(D273="","",D273))</f>
        <v/>
      </c>
      <c r="H273" s="8">
        <f>A273&amp;"|"&amp;B273</f>
        <v/>
      </c>
    </row>
    <row r="274">
      <c r="A274" s="8" t="inlineStr">
        <is>
          <t>Panamá</t>
        </is>
      </c>
      <c r="B274" s="8" t="n">
        <v>2010</v>
      </c>
      <c r="C274" s="14" t="n">
        <v>3.6</v>
      </c>
      <c r="D274" s="15" t="n"/>
      <c r="E274" s="16">
        <f>IF(B274&lt;=2011,IF(C274="","",C274),IF(D274="","",D274/10))</f>
        <v/>
      </c>
      <c r="F274" s="13">
        <f>IF(OR(B274&lt;=2011,D274=""),"",D274)</f>
        <v/>
      </c>
      <c r="G274" s="17">
        <f>IF(B274&lt;=2011,IF(C274="","",Puente_CPI!$G$2+Puente_CPI!$G$3*C274),IF(D274="","",D274))</f>
        <v/>
      </c>
      <c r="H274" s="8">
        <f>A274&amp;"|"&amp;B274</f>
        <v/>
      </c>
    </row>
    <row r="275">
      <c r="A275" s="8" t="inlineStr">
        <is>
          <t>Panamá</t>
        </is>
      </c>
      <c r="B275" s="8" t="n">
        <v>2011</v>
      </c>
      <c r="C275" s="14" t="n">
        <v>3.266</v>
      </c>
      <c r="D275" s="15" t="n"/>
      <c r="E275" s="16">
        <f>IF(B275&lt;=2011,IF(C275="","",C275),IF(D275="","",D275/10))</f>
        <v/>
      </c>
      <c r="F275" s="13">
        <f>IF(OR(B275&lt;=2011,D275=""),"",D275)</f>
        <v/>
      </c>
      <c r="G275" s="17">
        <f>IF(B275&lt;=2011,IF(C275="","",Puente_CPI!$G$2+Puente_CPI!$G$3*C275),IF(D275="","",D275))</f>
        <v/>
      </c>
      <c r="H275" s="8">
        <f>A275&amp;"|"&amp;B275</f>
        <v/>
      </c>
    </row>
    <row r="276">
      <c r="A276" s="8" t="inlineStr">
        <is>
          <t>Panamá</t>
        </is>
      </c>
      <c r="B276" s="8" t="n">
        <v>2016</v>
      </c>
      <c r="C276" s="14" t="n"/>
      <c r="D276" s="15" t="n">
        <v>38</v>
      </c>
      <c r="E276" s="16">
        <f>IF(B276&lt;=2011,IF(C276="","",C276),IF(D276="","",D276/10))</f>
        <v/>
      </c>
      <c r="F276" s="13">
        <f>IF(OR(B276&lt;=2011,D276=""),"",D276)</f>
        <v/>
      </c>
      <c r="G276" s="17">
        <f>IF(B276&lt;=2011,IF(C276="","",Puente_CPI!$G$2+Puente_CPI!$G$3*C276),IF(D276="","",D276))</f>
        <v/>
      </c>
      <c r="H276" s="8">
        <f>A276&amp;"|"&amp;B276</f>
        <v/>
      </c>
    </row>
    <row r="277">
      <c r="A277" s="8" t="inlineStr">
        <is>
          <t>Panamá</t>
        </is>
      </c>
      <c r="B277" s="8" t="n">
        <v>2017</v>
      </c>
      <c r="C277" s="14" t="n"/>
      <c r="D277" s="15" t="n">
        <v>37</v>
      </c>
      <c r="E277" s="16">
        <f>IF(B277&lt;=2011,IF(C277="","",C277),IF(D277="","",D277/10))</f>
        <v/>
      </c>
      <c r="F277" s="13">
        <f>IF(OR(B277&lt;=2011,D277=""),"",D277)</f>
        <v/>
      </c>
      <c r="G277" s="17">
        <f>IF(B277&lt;=2011,IF(C277="","",Puente_CPI!$G$2+Puente_CPI!$G$3*C277),IF(D277="","",D277))</f>
        <v/>
      </c>
      <c r="H277" s="8">
        <f>A277&amp;"|"&amp;B277</f>
        <v/>
      </c>
    </row>
    <row r="278">
      <c r="A278" s="8" t="inlineStr">
        <is>
          <t>Panamá</t>
        </is>
      </c>
      <c r="B278" s="8" t="n">
        <v>2018</v>
      </c>
      <c r="C278" s="14" t="n"/>
      <c r="D278" s="15" t="n">
        <v>37</v>
      </c>
      <c r="E278" s="16">
        <f>IF(B278&lt;=2011,IF(C278="","",C278),IF(D278="","",D278/10))</f>
        <v/>
      </c>
      <c r="F278" s="13">
        <f>IF(OR(B278&lt;=2011,D278=""),"",D278)</f>
        <v/>
      </c>
      <c r="G278" s="17">
        <f>IF(B278&lt;=2011,IF(C278="","",Puente_CPI!$G$2+Puente_CPI!$G$3*C278),IF(D278="","",D278))</f>
        <v/>
      </c>
      <c r="H278" s="8">
        <f>A278&amp;"|"&amp;B278</f>
        <v/>
      </c>
    </row>
    <row r="279">
      <c r="A279" s="8" t="inlineStr">
        <is>
          <t>Panamá</t>
        </is>
      </c>
      <c r="B279" s="8" t="n">
        <v>2020</v>
      </c>
      <c r="C279" s="14" t="n"/>
      <c r="D279" s="15" t="n">
        <v>35</v>
      </c>
      <c r="E279" s="16">
        <f>IF(B279&lt;=2011,IF(C279="","",C279),IF(D279="","",D279/10))</f>
        <v/>
      </c>
      <c r="F279" s="13">
        <f>IF(OR(B279&lt;=2011,D279=""),"",D279)</f>
        <v/>
      </c>
      <c r="G279" s="17">
        <f>IF(B279&lt;=2011,IF(C279="","",Puente_CPI!$G$2+Puente_CPI!$G$3*C279),IF(D279="","",D279))</f>
        <v/>
      </c>
      <c r="H279" s="8">
        <f>A279&amp;"|"&amp;B279</f>
        <v/>
      </c>
    </row>
    <row r="280">
      <c r="A280" s="8" t="inlineStr">
        <is>
          <t>Panamá</t>
        </is>
      </c>
      <c r="B280" s="8" t="n">
        <v>2024</v>
      </c>
      <c r="C280" s="14" t="n"/>
      <c r="D280" s="15" t="n">
        <v>33</v>
      </c>
      <c r="E280" s="16">
        <f>IF(B280&lt;=2011,IF(C280="","",C280),IF(D280="","",D280/10))</f>
        <v/>
      </c>
      <c r="F280" s="13">
        <f>IF(OR(B280&lt;=2011,D280=""),"",D280)</f>
        <v/>
      </c>
      <c r="G280" s="17">
        <f>IF(B280&lt;=2011,IF(C280="","",Puente_CPI!$G$2+Puente_CPI!$G$3*C280),IF(D280="","",D280))</f>
        <v/>
      </c>
      <c r="H280" s="8">
        <f>A280&amp;"|"&amp;B280</f>
        <v/>
      </c>
    </row>
    <row r="281">
      <c r="A281" s="8" t="inlineStr">
        <is>
          <t>Paraguay</t>
        </is>
      </c>
      <c r="B281" s="8" t="n">
        <v>1995</v>
      </c>
      <c r="C281" s="14" t="n"/>
      <c r="D281" s="15" t="n"/>
      <c r="E281" s="16">
        <f>IF(B281&lt;=2011,IF(C281="","",C281),IF(D281="","",D281/10))</f>
        <v/>
      </c>
      <c r="F281" s="13">
        <f>IF(OR(B281&lt;=2011,D281=""),"",D281)</f>
        <v/>
      </c>
      <c r="G281" s="17">
        <f>IF(B281&lt;=2011,IF(C281="","",Puente_CPI!$G$2+Puente_CPI!$G$3*C281),IF(D281="","",D281))</f>
        <v/>
      </c>
      <c r="H281" s="8">
        <f>A281&amp;"|"&amp;B281</f>
        <v/>
      </c>
    </row>
    <row r="282">
      <c r="A282" s="8" t="inlineStr">
        <is>
          <t>Paraguay</t>
        </is>
      </c>
      <c r="B282" s="8" t="n">
        <v>1996</v>
      </c>
      <c r="C282" s="14" t="n"/>
      <c r="D282" s="15" t="n"/>
      <c r="E282" s="16">
        <f>IF(B282&lt;=2011,IF(C282="","",C282),IF(D282="","",D282/10))</f>
        <v/>
      </c>
      <c r="F282" s="13">
        <f>IF(OR(B282&lt;=2011,D282=""),"",D282)</f>
        <v/>
      </c>
      <c r="G282" s="17">
        <f>IF(B282&lt;=2011,IF(C282="","",Puente_CPI!$G$2+Puente_CPI!$G$3*C282),IF(D282="","",D282))</f>
        <v/>
      </c>
      <c r="H282" s="8">
        <f>A282&amp;"|"&amp;B282</f>
        <v/>
      </c>
    </row>
    <row r="283">
      <c r="A283" s="8" t="inlineStr">
        <is>
          <t>Paraguay</t>
        </is>
      </c>
      <c r="B283" s="8" t="n">
        <v>1997</v>
      </c>
      <c r="C283" s="14" t="n"/>
      <c r="D283" s="15" t="n"/>
      <c r="E283" s="16">
        <f>IF(B283&lt;=2011,IF(C283="","",C283),IF(D283="","",D283/10))</f>
        <v/>
      </c>
      <c r="F283" s="13">
        <f>IF(OR(B283&lt;=2011,D283=""),"",D283)</f>
        <v/>
      </c>
      <c r="G283" s="17">
        <f>IF(B283&lt;=2011,IF(C283="","",Puente_CPI!$G$2+Puente_CPI!$G$3*C283),IF(D283="","",D283))</f>
        <v/>
      </c>
      <c r="H283" s="8">
        <f>A283&amp;"|"&amp;B283</f>
        <v/>
      </c>
    </row>
    <row r="284">
      <c r="A284" s="8" t="inlineStr">
        <is>
          <t>Paraguay</t>
        </is>
      </c>
      <c r="B284" s="8" t="n">
        <v>1998</v>
      </c>
      <c r="C284" s="14" t="n">
        <v>1.5</v>
      </c>
      <c r="D284" s="15" t="n"/>
      <c r="E284" s="16">
        <f>IF(B284&lt;=2011,IF(C284="","",C284),IF(D284="","",D284/10))</f>
        <v/>
      </c>
      <c r="F284" s="13">
        <f>IF(OR(B284&lt;=2011,D284=""),"",D284)</f>
        <v/>
      </c>
      <c r="G284" s="17">
        <f>IF(B284&lt;=2011,IF(C284="","",Puente_CPI!$G$2+Puente_CPI!$G$3*C284),IF(D284="","",D284))</f>
        <v/>
      </c>
      <c r="H284" s="8">
        <f>A284&amp;"|"&amp;B284</f>
        <v/>
      </c>
    </row>
    <row r="285">
      <c r="A285" s="8" t="inlineStr">
        <is>
          <t>Paraguay</t>
        </is>
      </c>
      <c r="B285" s="8" t="n">
        <v>2000</v>
      </c>
      <c r="C285" s="14" t="n"/>
      <c r="D285" s="15" t="n"/>
      <c r="E285" s="16">
        <f>IF(B285&lt;=2011,IF(C285="","",C285),IF(D285="","",D285/10))</f>
        <v/>
      </c>
      <c r="F285" s="13">
        <f>IF(OR(B285&lt;=2011,D285=""),"",D285)</f>
        <v/>
      </c>
      <c r="G285" s="17">
        <f>IF(B285&lt;=2011,IF(C285="","",Puente_CPI!$G$2+Puente_CPI!$G$3*C285),IF(D285="","",D285))</f>
        <v/>
      </c>
      <c r="H285" s="8">
        <f>A285&amp;"|"&amp;B285</f>
        <v/>
      </c>
    </row>
    <row r="286">
      <c r="A286" s="8" t="inlineStr">
        <is>
          <t>Paraguay</t>
        </is>
      </c>
      <c r="B286" s="8" t="n">
        <v>2001</v>
      </c>
      <c r="C286" s="14" t="n"/>
      <c r="D286" s="15" t="n"/>
      <c r="E286" s="16">
        <f>IF(B286&lt;=2011,IF(C286="","",C286),IF(D286="","",D286/10))</f>
        <v/>
      </c>
      <c r="F286" s="13">
        <f>IF(OR(B286&lt;=2011,D286=""),"",D286)</f>
        <v/>
      </c>
      <c r="G286" s="17">
        <f>IF(B286&lt;=2011,IF(C286="","",Puente_CPI!$G$2+Puente_CPI!$G$3*C286),IF(D286="","",D286))</f>
        <v/>
      </c>
      <c r="H286" s="8">
        <f>A286&amp;"|"&amp;B286</f>
        <v/>
      </c>
    </row>
    <row r="287">
      <c r="A287" s="8" t="inlineStr">
        <is>
          <t>Paraguay</t>
        </is>
      </c>
      <c r="B287" s="8" t="n">
        <v>2002</v>
      </c>
      <c r="C287" s="14" t="n">
        <v>1.7</v>
      </c>
      <c r="D287" s="15" t="n"/>
      <c r="E287" s="16">
        <f>IF(B287&lt;=2011,IF(C287="","",C287),IF(D287="","",D287/10))</f>
        <v/>
      </c>
      <c r="F287" s="13">
        <f>IF(OR(B287&lt;=2011,D287=""),"",D287)</f>
        <v/>
      </c>
      <c r="G287" s="17">
        <f>IF(B287&lt;=2011,IF(C287="","",Puente_CPI!$G$2+Puente_CPI!$G$3*C287),IF(D287="","",D287))</f>
        <v/>
      </c>
      <c r="H287" s="8">
        <f>A287&amp;"|"&amp;B287</f>
        <v/>
      </c>
    </row>
    <row r="288">
      <c r="A288" s="8" t="inlineStr">
        <is>
          <t>Paraguay</t>
        </is>
      </c>
      <c r="B288" s="8" t="n">
        <v>2003</v>
      </c>
      <c r="C288" s="14" t="n">
        <v>1.6</v>
      </c>
      <c r="D288" s="15" t="n"/>
      <c r="E288" s="16">
        <f>IF(B288&lt;=2011,IF(C288="","",C288),IF(D288="","",D288/10))</f>
        <v/>
      </c>
      <c r="F288" s="13">
        <f>IF(OR(B288&lt;=2011,D288=""),"",D288)</f>
        <v/>
      </c>
      <c r="G288" s="17">
        <f>IF(B288&lt;=2011,IF(C288="","",Puente_CPI!$G$2+Puente_CPI!$G$3*C288),IF(D288="","",D288))</f>
        <v/>
      </c>
      <c r="H288" s="8">
        <f>A288&amp;"|"&amp;B288</f>
        <v/>
      </c>
    </row>
    <row r="289">
      <c r="A289" s="8" t="inlineStr">
        <is>
          <t>Paraguay</t>
        </is>
      </c>
      <c r="B289" s="8" t="n">
        <v>2004</v>
      </c>
      <c r="C289" s="14" t="n">
        <v>1.9</v>
      </c>
      <c r="D289" s="15" t="n"/>
      <c r="E289" s="16">
        <f>IF(B289&lt;=2011,IF(C289="","",C289),IF(D289="","",D289/10))</f>
        <v/>
      </c>
      <c r="F289" s="13">
        <f>IF(OR(B289&lt;=2011,D289=""),"",D289)</f>
        <v/>
      </c>
      <c r="G289" s="17">
        <f>IF(B289&lt;=2011,IF(C289="","",Puente_CPI!$G$2+Puente_CPI!$G$3*C289),IF(D289="","",D289))</f>
        <v/>
      </c>
      <c r="H289" s="8">
        <f>A289&amp;"|"&amp;B289</f>
        <v/>
      </c>
    </row>
    <row r="290">
      <c r="A290" s="8" t="inlineStr">
        <is>
          <t>Paraguay</t>
        </is>
      </c>
      <c r="B290" s="8" t="n">
        <v>2005</v>
      </c>
      <c r="C290" s="14" t="n">
        <v>2.1</v>
      </c>
      <c r="D290" s="15" t="n"/>
      <c r="E290" s="16">
        <f>IF(B290&lt;=2011,IF(C290="","",C290),IF(D290="","",D290/10))</f>
        <v/>
      </c>
      <c r="F290" s="13">
        <f>IF(OR(B290&lt;=2011,D290=""),"",D290)</f>
        <v/>
      </c>
      <c r="G290" s="17">
        <f>IF(B290&lt;=2011,IF(C290="","",Puente_CPI!$G$2+Puente_CPI!$G$3*C290),IF(D290="","",D290))</f>
        <v/>
      </c>
      <c r="H290" s="8">
        <f>A290&amp;"|"&amp;B290</f>
        <v/>
      </c>
    </row>
    <row r="291">
      <c r="A291" s="8" t="inlineStr">
        <is>
          <t>Paraguay</t>
        </is>
      </c>
      <c r="B291" s="8" t="n">
        <v>2006</v>
      </c>
      <c r="C291" s="14" t="n">
        <v>2.6</v>
      </c>
      <c r="D291" s="15" t="n"/>
      <c r="E291" s="16">
        <f>IF(B291&lt;=2011,IF(C291="","",C291),IF(D291="","",D291/10))</f>
        <v/>
      </c>
      <c r="F291" s="13">
        <f>IF(OR(B291&lt;=2011,D291=""),"",D291)</f>
        <v/>
      </c>
      <c r="G291" s="17">
        <f>IF(B291&lt;=2011,IF(C291="","",Puente_CPI!$G$2+Puente_CPI!$G$3*C291),IF(D291="","",D291))</f>
        <v/>
      </c>
      <c r="H291" s="8">
        <f>A291&amp;"|"&amp;B291</f>
        <v/>
      </c>
    </row>
    <row r="292">
      <c r="A292" s="8" t="inlineStr">
        <is>
          <t>Paraguay</t>
        </is>
      </c>
      <c r="B292" s="8" t="n">
        <v>2007</v>
      </c>
      <c r="C292" s="14" t="n">
        <v>2.4</v>
      </c>
      <c r="D292" s="15" t="n"/>
      <c r="E292" s="16">
        <f>IF(B292&lt;=2011,IF(C292="","",C292),IF(D292="","",D292/10))</f>
        <v/>
      </c>
      <c r="F292" s="13">
        <f>IF(OR(B292&lt;=2011,D292=""),"",D292)</f>
        <v/>
      </c>
      <c r="G292" s="17">
        <f>IF(B292&lt;=2011,IF(C292="","",Puente_CPI!$G$2+Puente_CPI!$G$3*C292),IF(D292="","",D292))</f>
        <v/>
      </c>
      <c r="H292" s="8">
        <f>A292&amp;"|"&amp;B292</f>
        <v/>
      </c>
    </row>
    <row r="293">
      <c r="A293" s="8" t="inlineStr">
        <is>
          <t>Paraguay</t>
        </is>
      </c>
      <c r="B293" s="8" t="n">
        <v>2008</v>
      </c>
      <c r="C293" s="14" t="n">
        <v>2.4</v>
      </c>
      <c r="D293" s="15" t="n"/>
      <c r="E293" s="16">
        <f>IF(B293&lt;=2011,IF(C293="","",C293),IF(D293="","",D293/10))</f>
        <v/>
      </c>
      <c r="F293" s="13">
        <f>IF(OR(B293&lt;=2011,D293=""),"",D293)</f>
        <v/>
      </c>
      <c r="G293" s="17">
        <f>IF(B293&lt;=2011,IF(C293="","",Puente_CPI!$G$2+Puente_CPI!$G$3*C293),IF(D293="","",D293))</f>
        <v/>
      </c>
      <c r="H293" s="8">
        <f>A293&amp;"|"&amp;B293</f>
        <v/>
      </c>
    </row>
    <row r="294">
      <c r="A294" s="8" t="inlineStr">
        <is>
          <t>Paraguay</t>
        </is>
      </c>
      <c r="B294" s="8" t="n">
        <v>2009</v>
      </c>
      <c r="C294" s="14" t="n">
        <v>2.1</v>
      </c>
      <c r="D294" s="15" t="n"/>
      <c r="E294" s="16">
        <f>IF(B294&lt;=2011,IF(C294="","",C294),IF(D294="","",D294/10))</f>
        <v/>
      </c>
      <c r="F294" s="13">
        <f>IF(OR(B294&lt;=2011,D294=""),"",D294)</f>
        <v/>
      </c>
      <c r="G294" s="17">
        <f>IF(B294&lt;=2011,IF(C294="","",Puente_CPI!$G$2+Puente_CPI!$G$3*C294),IF(D294="","",D294))</f>
        <v/>
      </c>
      <c r="H294" s="8">
        <f>A294&amp;"|"&amp;B294</f>
        <v/>
      </c>
    </row>
    <row r="295">
      <c r="A295" s="8" t="inlineStr">
        <is>
          <t>Paraguay</t>
        </is>
      </c>
      <c r="B295" s="8" t="n">
        <v>2010</v>
      </c>
      <c r="C295" s="14" t="n">
        <v>2.2</v>
      </c>
      <c r="D295" s="15" t="n"/>
      <c r="E295" s="16">
        <f>IF(B295&lt;=2011,IF(C295="","",C295),IF(D295="","",D295/10))</f>
        <v/>
      </c>
      <c r="F295" s="13">
        <f>IF(OR(B295&lt;=2011,D295=""),"",D295)</f>
        <v/>
      </c>
      <c r="G295" s="17">
        <f>IF(B295&lt;=2011,IF(C295="","",Puente_CPI!$G$2+Puente_CPI!$G$3*C295),IF(D295="","",D295))</f>
        <v/>
      </c>
      <c r="H295" s="8">
        <f>A295&amp;"|"&amp;B295</f>
        <v/>
      </c>
    </row>
    <row r="296">
      <c r="A296" s="8" t="inlineStr">
        <is>
          <t>Paraguay</t>
        </is>
      </c>
      <c r="B296" s="8" t="n">
        <v>2011</v>
      </c>
      <c r="C296" s="14" t="n">
        <v>2.218</v>
      </c>
      <c r="D296" s="15" t="n"/>
      <c r="E296" s="16">
        <f>IF(B296&lt;=2011,IF(C296="","",C296),IF(D296="","",D296/10))</f>
        <v/>
      </c>
      <c r="F296" s="13">
        <f>IF(OR(B296&lt;=2011,D296=""),"",D296)</f>
        <v/>
      </c>
      <c r="G296" s="17">
        <f>IF(B296&lt;=2011,IF(C296="","",Puente_CPI!$G$2+Puente_CPI!$G$3*C296),IF(D296="","",D296))</f>
        <v/>
      </c>
      <c r="H296" s="8">
        <f>A296&amp;"|"&amp;B296</f>
        <v/>
      </c>
    </row>
    <row r="297">
      <c r="A297" s="8" t="inlineStr">
        <is>
          <t>Paraguay</t>
        </is>
      </c>
      <c r="B297" s="8" t="n">
        <v>2016</v>
      </c>
      <c r="C297" s="14" t="n"/>
      <c r="D297" s="15" t="n">
        <v>30</v>
      </c>
      <c r="E297" s="16">
        <f>IF(B297&lt;=2011,IF(C297="","",C297),IF(D297="","",D297/10))</f>
        <v/>
      </c>
      <c r="F297" s="13">
        <f>IF(OR(B297&lt;=2011,D297=""),"",D297)</f>
        <v/>
      </c>
      <c r="G297" s="17">
        <f>IF(B297&lt;=2011,IF(C297="","",Puente_CPI!$G$2+Puente_CPI!$G$3*C297),IF(D297="","",D297))</f>
        <v/>
      </c>
      <c r="H297" s="8">
        <f>A297&amp;"|"&amp;B297</f>
        <v/>
      </c>
    </row>
    <row r="298">
      <c r="A298" s="8" t="inlineStr">
        <is>
          <t>Paraguay</t>
        </is>
      </c>
      <c r="B298" s="8" t="n">
        <v>2017</v>
      </c>
      <c r="C298" s="14" t="n"/>
      <c r="D298" s="15" t="n">
        <v>29</v>
      </c>
      <c r="E298" s="16">
        <f>IF(B298&lt;=2011,IF(C298="","",C298),IF(D298="","",D298/10))</f>
        <v/>
      </c>
      <c r="F298" s="13">
        <f>IF(OR(B298&lt;=2011,D298=""),"",D298)</f>
        <v/>
      </c>
      <c r="G298" s="17">
        <f>IF(B298&lt;=2011,IF(C298="","",Puente_CPI!$G$2+Puente_CPI!$G$3*C298),IF(D298="","",D298))</f>
        <v/>
      </c>
      <c r="H298" s="8">
        <f>A298&amp;"|"&amp;B298</f>
        <v/>
      </c>
    </row>
    <row r="299">
      <c r="A299" s="8" t="inlineStr">
        <is>
          <t>Paraguay</t>
        </is>
      </c>
      <c r="B299" s="8" t="n">
        <v>2018</v>
      </c>
      <c r="C299" s="14" t="n"/>
      <c r="D299" s="15" t="n">
        <v>29</v>
      </c>
      <c r="E299" s="16">
        <f>IF(B299&lt;=2011,IF(C299="","",C299),IF(D299="","",D299/10))</f>
        <v/>
      </c>
      <c r="F299" s="13">
        <f>IF(OR(B299&lt;=2011,D299=""),"",D299)</f>
        <v/>
      </c>
      <c r="G299" s="17">
        <f>IF(B299&lt;=2011,IF(C299="","",Puente_CPI!$G$2+Puente_CPI!$G$3*C299),IF(D299="","",D299))</f>
        <v/>
      </c>
      <c r="H299" s="8">
        <f>A299&amp;"|"&amp;B299</f>
        <v/>
      </c>
    </row>
    <row r="300">
      <c r="A300" s="8" t="inlineStr">
        <is>
          <t>Paraguay</t>
        </is>
      </c>
      <c r="B300" s="8" t="n">
        <v>2020</v>
      </c>
      <c r="C300" s="14" t="n"/>
      <c r="D300" s="15" t="n">
        <v>28</v>
      </c>
      <c r="E300" s="16">
        <f>IF(B300&lt;=2011,IF(C300="","",C300),IF(D300="","",D300/10))</f>
        <v/>
      </c>
      <c r="F300" s="13">
        <f>IF(OR(B300&lt;=2011,D300=""),"",D300)</f>
        <v/>
      </c>
      <c r="G300" s="17">
        <f>IF(B300&lt;=2011,IF(C300="","",Puente_CPI!$G$2+Puente_CPI!$G$3*C300),IF(D300="","",D300))</f>
        <v/>
      </c>
      <c r="H300" s="8">
        <f>A300&amp;"|"&amp;B300</f>
        <v/>
      </c>
    </row>
    <row r="301">
      <c r="A301" s="8" t="inlineStr">
        <is>
          <t>Paraguay</t>
        </is>
      </c>
      <c r="B301" s="8" t="n">
        <v>2024</v>
      </c>
      <c r="C301" s="14" t="n"/>
      <c r="D301" s="15" t="n">
        <v>24</v>
      </c>
      <c r="E301" s="16">
        <f>IF(B301&lt;=2011,IF(C301="","",C301),IF(D301="","",D301/10))</f>
        <v/>
      </c>
      <c r="F301" s="13">
        <f>IF(OR(B301&lt;=2011,D301=""),"",D301)</f>
        <v/>
      </c>
      <c r="G301" s="17">
        <f>IF(B301&lt;=2011,IF(C301="","",Puente_CPI!$G$2+Puente_CPI!$G$3*C301),IF(D301="","",D301))</f>
        <v/>
      </c>
      <c r="H301" s="8">
        <f>A301&amp;"|"&amp;B301</f>
        <v/>
      </c>
    </row>
    <row r="302">
      <c r="A302" s="8" t="inlineStr">
        <is>
          <t>Perú</t>
        </is>
      </c>
      <c r="B302" s="8" t="n">
        <v>1995</v>
      </c>
      <c r="C302" s="14" t="n"/>
      <c r="D302" s="15" t="n"/>
      <c r="E302" s="16">
        <f>IF(B302&lt;=2011,IF(C302="","",C302),IF(D302="","",D302/10))</f>
        <v/>
      </c>
      <c r="F302" s="13">
        <f>IF(OR(B302&lt;=2011,D302=""),"",D302)</f>
        <v/>
      </c>
      <c r="G302" s="17">
        <f>IF(B302&lt;=2011,IF(C302="","",Puente_CPI!$G$2+Puente_CPI!$G$3*C302),IF(D302="","",D302))</f>
        <v/>
      </c>
      <c r="H302" s="8">
        <f>A302&amp;"|"&amp;B302</f>
        <v/>
      </c>
    </row>
    <row r="303">
      <c r="A303" s="8" t="inlineStr">
        <is>
          <t>Perú</t>
        </is>
      </c>
      <c r="B303" s="8" t="n">
        <v>1996</v>
      </c>
      <c r="C303" s="14" t="n"/>
      <c r="D303" s="15" t="n"/>
      <c r="E303" s="16">
        <f>IF(B303&lt;=2011,IF(C303="","",C303),IF(D303="","",D303/10))</f>
        <v/>
      </c>
      <c r="F303" s="13">
        <f>IF(OR(B303&lt;=2011,D303=""),"",D303)</f>
        <v/>
      </c>
      <c r="G303" s="17">
        <f>IF(B303&lt;=2011,IF(C303="","",Puente_CPI!$G$2+Puente_CPI!$G$3*C303),IF(D303="","",D303))</f>
        <v/>
      </c>
      <c r="H303" s="8">
        <f>A303&amp;"|"&amp;B303</f>
        <v/>
      </c>
    </row>
    <row r="304">
      <c r="A304" s="8" t="inlineStr">
        <is>
          <t>Perú</t>
        </is>
      </c>
      <c r="B304" s="8" t="n">
        <v>1997</v>
      </c>
      <c r="C304" s="14" t="n"/>
      <c r="D304" s="15" t="n"/>
      <c r="E304" s="16">
        <f>IF(B304&lt;=2011,IF(C304="","",C304),IF(D304="","",D304/10))</f>
        <v/>
      </c>
      <c r="F304" s="13">
        <f>IF(OR(B304&lt;=2011,D304=""),"",D304)</f>
        <v/>
      </c>
      <c r="G304" s="17">
        <f>IF(B304&lt;=2011,IF(C304="","",Puente_CPI!$G$2+Puente_CPI!$G$3*C304),IF(D304="","",D304))</f>
        <v/>
      </c>
      <c r="H304" s="8">
        <f>A304&amp;"|"&amp;B304</f>
        <v/>
      </c>
    </row>
    <row r="305">
      <c r="A305" s="8" t="inlineStr">
        <is>
          <t>Perú</t>
        </is>
      </c>
      <c r="B305" s="8" t="n">
        <v>1998</v>
      </c>
      <c r="C305" s="14" t="n">
        <v>4.5</v>
      </c>
      <c r="D305" s="15" t="n"/>
      <c r="E305" s="16">
        <f>IF(B305&lt;=2011,IF(C305="","",C305),IF(D305="","",D305/10))</f>
        <v/>
      </c>
      <c r="F305" s="13">
        <f>IF(OR(B305&lt;=2011,D305=""),"",D305)</f>
        <v/>
      </c>
      <c r="G305" s="17">
        <f>IF(B305&lt;=2011,IF(C305="","",Puente_CPI!$G$2+Puente_CPI!$G$3*C305),IF(D305="","",D305))</f>
        <v/>
      </c>
      <c r="H305" s="8">
        <f>A305&amp;"|"&amp;B305</f>
        <v/>
      </c>
    </row>
    <row r="306">
      <c r="A306" s="8" t="inlineStr">
        <is>
          <t>Perú</t>
        </is>
      </c>
      <c r="B306" s="8" t="n">
        <v>2000</v>
      </c>
      <c r="C306" s="14" t="n">
        <v>4.4</v>
      </c>
      <c r="D306" s="15" t="n"/>
      <c r="E306" s="16">
        <f>IF(B306&lt;=2011,IF(C306="","",C306),IF(D306="","",D306/10))</f>
        <v/>
      </c>
      <c r="F306" s="13">
        <f>IF(OR(B306&lt;=2011,D306=""),"",D306)</f>
        <v/>
      </c>
      <c r="G306" s="17">
        <f>IF(B306&lt;=2011,IF(C306="","",Puente_CPI!$G$2+Puente_CPI!$G$3*C306),IF(D306="","",D306))</f>
        <v/>
      </c>
      <c r="H306" s="8">
        <f>A306&amp;"|"&amp;B306</f>
        <v/>
      </c>
    </row>
    <row r="307">
      <c r="A307" s="8" t="inlineStr">
        <is>
          <t>Perú</t>
        </is>
      </c>
      <c r="B307" s="8" t="n">
        <v>2001</v>
      </c>
      <c r="C307" s="14" t="n">
        <v>4.1</v>
      </c>
      <c r="D307" s="15" t="n"/>
      <c r="E307" s="16">
        <f>IF(B307&lt;=2011,IF(C307="","",C307),IF(D307="","",D307/10))</f>
        <v/>
      </c>
      <c r="F307" s="13">
        <f>IF(OR(B307&lt;=2011,D307=""),"",D307)</f>
        <v/>
      </c>
      <c r="G307" s="17">
        <f>IF(B307&lt;=2011,IF(C307="","",Puente_CPI!$G$2+Puente_CPI!$G$3*C307),IF(D307="","",D307))</f>
        <v/>
      </c>
      <c r="H307" s="8">
        <f>A307&amp;"|"&amp;B307</f>
        <v/>
      </c>
    </row>
    <row r="308">
      <c r="A308" s="8" t="inlineStr">
        <is>
          <t>Perú</t>
        </is>
      </c>
      <c r="B308" s="8" t="n">
        <v>2002</v>
      </c>
      <c r="C308" s="14" t="n">
        <v>4</v>
      </c>
      <c r="D308" s="15" t="n"/>
      <c r="E308" s="16">
        <f>IF(B308&lt;=2011,IF(C308="","",C308),IF(D308="","",D308/10))</f>
        <v/>
      </c>
      <c r="F308" s="13">
        <f>IF(OR(B308&lt;=2011,D308=""),"",D308)</f>
        <v/>
      </c>
      <c r="G308" s="17">
        <f>IF(B308&lt;=2011,IF(C308="","",Puente_CPI!$G$2+Puente_CPI!$G$3*C308),IF(D308="","",D308))</f>
        <v/>
      </c>
      <c r="H308" s="8">
        <f>A308&amp;"|"&amp;B308</f>
        <v/>
      </c>
    </row>
    <row r="309">
      <c r="A309" s="8" t="inlineStr">
        <is>
          <t>Perú</t>
        </is>
      </c>
      <c r="B309" s="8" t="n">
        <v>2003</v>
      </c>
      <c r="C309" s="14" t="n">
        <v>3.7</v>
      </c>
      <c r="D309" s="15" t="n"/>
      <c r="E309" s="16">
        <f>IF(B309&lt;=2011,IF(C309="","",C309),IF(D309="","",D309/10))</f>
        <v/>
      </c>
      <c r="F309" s="13">
        <f>IF(OR(B309&lt;=2011,D309=""),"",D309)</f>
        <v/>
      </c>
      <c r="G309" s="17">
        <f>IF(B309&lt;=2011,IF(C309="","",Puente_CPI!$G$2+Puente_CPI!$G$3*C309),IF(D309="","",D309))</f>
        <v/>
      </c>
      <c r="H309" s="8">
        <f>A309&amp;"|"&amp;B309</f>
        <v/>
      </c>
    </row>
    <row r="310">
      <c r="A310" s="8" t="inlineStr">
        <is>
          <t>Perú</t>
        </is>
      </c>
      <c r="B310" s="8" t="n">
        <v>2004</v>
      </c>
      <c r="C310" s="14" t="n">
        <v>3.5</v>
      </c>
      <c r="D310" s="15" t="n"/>
      <c r="E310" s="16">
        <f>IF(B310&lt;=2011,IF(C310="","",C310),IF(D310="","",D310/10))</f>
        <v/>
      </c>
      <c r="F310" s="13">
        <f>IF(OR(B310&lt;=2011,D310=""),"",D310)</f>
        <v/>
      </c>
      <c r="G310" s="17">
        <f>IF(B310&lt;=2011,IF(C310="","",Puente_CPI!$G$2+Puente_CPI!$G$3*C310),IF(D310="","",D310))</f>
        <v/>
      </c>
      <c r="H310" s="8">
        <f>A310&amp;"|"&amp;B310</f>
        <v/>
      </c>
    </row>
    <row r="311">
      <c r="A311" s="8" t="inlineStr">
        <is>
          <t>Perú</t>
        </is>
      </c>
      <c r="B311" s="8" t="n">
        <v>2005</v>
      </c>
      <c r="C311" s="14" t="n">
        <v>3.5</v>
      </c>
      <c r="D311" s="15" t="n"/>
      <c r="E311" s="16">
        <f>IF(B311&lt;=2011,IF(C311="","",C311),IF(D311="","",D311/10))</f>
        <v/>
      </c>
      <c r="F311" s="13">
        <f>IF(OR(B311&lt;=2011,D311=""),"",D311)</f>
        <v/>
      </c>
      <c r="G311" s="17">
        <f>IF(B311&lt;=2011,IF(C311="","",Puente_CPI!$G$2+Puente_CPI!$G$3*C311),IF(D311="","",D311))</f>
        <v/>
      </c>
      <c r="H311" s="8">
        <f>A311&amp;"|"&amp;B311</f>
        <v/>
      </c>
    </row>
    <row r="312">
      <c r="A312" s="8" t="inlineStr">
        <is>
          <t>Perú</t>
        </is>
      </c>
      <c r="B312" s="8" t="n">
        <v>2006</v>
      </c>
      <c r="C312" s="14" t="n">
        <v>3.3</v>
      </c>
      <c r="D312" s="15" t="n"/>
      <c r="E312" s="16">
        <f>IF(B312&lt;=2011,IF(C312="","",C312),IF(D312="","",D312/10))</f>
        <v/>
      </c>
      <c r="F312" s="13">
        <f>IF(OR(B312&lt;=2011,D312=""),"",D312)</f>
        <v/>
      </c>
      <c r="G312" s="17">
        <f>IF(B312&lt;=2011,IF(C312="","",Puente_CPI!$G$2+Puente_CPI!$G$3*C312),IF(D312="","",D312))</f>
        <v/>
      </c>
      <c r="H312" s="8">
        <f>A312&amp;"|"&amp;B312</f>
        <v/>
      </c>
    </row>
    <row r="313">
      <c r="A313" s="8" t="inlineStr">
        <is>
          <t>Perú</t>
        </is>
      </c>
      <c r="B313" s="8" t="n">
        <v>2007</v>
      </c>
      <c r="C313" s="14" t="n">
        <v>3.5</v>
      </c>
      <c r="D313" s="15" t="n"/>
      <c r="E313" s="16">
        <f>IF(B313&lt;=2011,IF(C313="","",C313),IF(D313="","",D313/10))</f>
        <v/>
      </c>
      <c r="F313" s="13">
        <f>IF(OR(B313&lt;=2011,D313=""),"",D313)</f>
        <v/>
      </c>
      <c r="G313" s="17">
        <f>IF(B313&lt;=2011,IF(C313="","",Puente_CPI!$G$2+Puente_CPI!$G$3*C313),IF(D313="","",D313))</f>
        <v/>
      </c>
      <c r="H313" s="8">
        <f>A313&amp;"|"&amp;B313</f>
        <v/>
      </c>
    </row>
    <row r="314">
      <c r="A314" s="8" t="inlineStr">
        <is>
          <t>Perú</t>
        </is>
      </c>
      <c r="B314" s="8" t="n">
        <v>2008</v>
      </c>
      <c r="C314" s="14" t="n">
        <v>3.6</v>
      </c>
      <c r="D314" s="15" t="n"/>
      <c r="E314" s="16">
        <f>IF(B314&lt;=2011,IF(C314="","",C314),IF(D314="","",D314/10))</f>
        <v/>
      </c>
      <c r="F314" s="13">
        <f>IF(OR(B314&lt;=2011,D314=""),"",D314)</f>
        <v/>
      </c>
      <c r="G314" s="17">
        <f>IF(B314&lt;=2011,IF(C314="","",Puente_CPI!$G$2+Puente_CPI!$G$3*C314),IF(D314="","",D314))</f>
        <v/>
      </c>
      <c r="H314" s="8">
        <f>A314&amp;"|"&amp;B314</f>
        <v/>
      </c>
    </row>
    <row r="315">
      <c r="A315" s="8" t="inlineStr">
        <is>
          <t>Perú</t>
        </is>
      </c>
      <c r="B315" s="8" t="n">
        <v>2009</v>
      </c>
      <c r="C315" s="14" t="n">
        <v>3.7</v>
      </c>
      <c r="D315" s="15" t="n"/>
      <c r="E315" s="16">
        <f>IF(B315&lt;=2011,IF(C315="","",C315),IF(D315="","",D315/10))</f>
        <v/>
      </c>
      <c r="F315" s="13">
        <f>IF(OR(B315&lt;=2011,D315=""),"",D315)</f>
        <v/>
      </c>
      <c r="G315" s="17">
        <f>IF(B315&lt;=2011,IF(C315="","",Puente_CPI!$G$2+Puente_CPI!$G$3*C315),IF(D315="","",D315))</f>
        <v/>
      </c>
      <c r="H315" s="8">
        <f>A315&amp;"|"&amp;B315</f>
        <v/>
      </c>
    </row>
    <row r="316">
      <c r="A316" s="8" t="inlineStr">
        <is>
          <t>Perú</t>
        </is>
      </c>
      <c r="B316" s="8" t="n">
        <v>2010</v>
      </c>
      <c r="C316" s="14" t="n">
        <v>3.5</v>
      </c>
      <c r="D316" s="15" t="n"/>
      <c r="E316" s="16">
        <f>IF(B316&lt;=2011,IF(C316="","",C316),IF(D316="","",D316/10))</f>
        <v/>
      </c>
      <c r="F316" s="13">
        <f>IF(OR(B316&lt;=2011,D316=""),"",D316)</f>
        <v/>
      </c>
      <c r="G316" s="17">
        <f>IF(B316&lt;=2011,IF(C316="","",Puente_CPI!$G$2+Puente_CPI!$G$3*C316),IF(D316="","",D316))</f>
        <v/>
      </c>
      <c r="H316" s="8">
        <f>A316&amp;"|"&amp;B316</f>
        <v/>
      </c>
    </row>
    <row r="317">
      <c r="A317" s="8" t="inlineStr">
        <is>
          <t>Perú</t>
        </is>
      </c>
      <c r="B317" s="8" t="n">
        <v>2011</v>
      </c>
      <c r="C317" s="14" t="n">
        <v>3.386</v>
      </c>
      <c r="D317" s="15" t="n"/>
      <c r="E317" s="16">
        <f>IF(B317&lt;=2011,IF(C317="","",C317),IF(D317="","",D317/10))</f>
        <v/>
      </c>
      <c r="F317" s="13">
        <f>IF(OR(B317&lt;=2011,D317=""),"",D317)</f>
        <v/>
      </c>
      <c r="G317" s="17">
        <f>IF(B317&lt;=2011,IF(C317="","",Puente_CPI!$G$2+Puente_CPI!$G$3*C317),IF(D317="","",D317))</f>
        <v/>
      </c>
      <c r="H317" s="8">
        <f>A317&amp;"|"&amp;B317</f>
        <v/>
      </c>
    </row>
    <row r="318">
      <c r="A318" s="8" t="inlineStr">
        <is>
          <t>Perú</t>
        </is>
      </c>
      <c r="B318" s="8" t="n">
        <v>2015</v>
      </c>
      <c r="C318" s="14" t="n"/>
      <c r="D318" s="15" t="n">
        <v>36</v>
      </c>
      <c r="E318" s="16">
        <f>IF(B318&lt;=2011,IF(C318="","",C318),IF(D318="","",D318/10))</f>
        <v/>
      </c>
      <c r="F318" s="13">
        <f>IF(OR(B318&lt;=2011,D318=""),"",D318)</f>
        <v/>
      </c>
      <c r="G318" s="17">
        <f>IF(B318&lt;=2011,IF(C318="","",Puente_CPI!$G$2+Puente_CPI!$G$3*C318),IF(D318="","",D318))</f>
        <v/>
      </c>
      <c r="H318" s="8">
        <f>A318&amp;"|"&amp;B318</f>
        <v/>
      </c>
    </row>
    <row r="319">
      <c r="A319" s="8" t="inlineStr">
        <is>
          <t>Perú</t>
        </is>
      </c>
      <c r="B319" s="8" t="n">
        <v>2016</v>
      </c>
      <c r="C319" s="14" t="n"/>
      <c r="D319" s="15" t="n">
        <v>35</v>
      </c>
      <c r="E319" s="16">
        <f>IF(B319&lt;=2011,IF(C319="","",C319),IF(D319="","",D319/10))</f>
        <v/>
      </c>
      <c r="F319" s="13">
        <f>IF(OR(B319&lt;=2011,D319=""),"",D319)</f>
        <v/>
      </c>
      <c r="G319" s="17">
        <f>IF(B319&lt;=2011,IF(C319="","",Puente_CPI!$G$2+Puente_CPI!$G$3*C319),IF(D319="","",D319))</f>
        <v/>
      </c>
      <c r="H319" s="8">
        <f>A319&amp;"|"&amp;B319</f>
        <v/>
      </c>
    </row>
    <row r="320">
      <c r="A320" s="8" t="inlineStr">
        <is>
          <t>Perú</t>
        </is>
      </c>
      <c r="B320" s="8" t="n">
        <v>2017</v>
      </c>
      <c r="C320" s="14" t="n"/>
      <c r="D320" s="15" t="n">
        <v>37</v>
      </c>
      <c r="E320" s="16">
        <f>IF(B320&lt;=2011,IF(C320="","",C320),IF(D320="","",D320/10))</f>
        <v/>
      </c>
      <c r="F320" s="13">
        <f>IF(OR(B320&lt;=2011,D320=""),"",D320)</f>
        <v/>
      </c>
      <c r="G320" s="17">
        <f>IF(B320&lt;=2011,IF(C320="","",Puente_CPI!$G$2+Puente_CPI!$G$3*C320),IF(D320="","",D320))</f>
        <v/>
      </c>
      <c r="H320" s="8">
        <f>A320&amp;"|"&amp;B320</f>
        <v/>
      </c>
    </row>
    <row r="321">
      <c r="A321" s="8" t="inlineStr">
        <is>
          <t>Perú</t>
        </is>
      </c>
      <c r="B321" s="8" t="n">
        <v>2018</v>
      </c>
      <c r="C321" s="14" t="n"/>
      <c r="D321" s="15" t="n">
        <v>35</v>
      </c>
      <c r="E321" s="16">
        <f>IF(B321&lt;=2011,IF(C321="","",C321),IF(D321="","",D321/10))</f>
        <v/>
      </c>
      <c r="F321" s="13">
        <f>IF(OR(B321&lt;=2011,D321=""),"",D321)</f>
        <v/>
      </c>
      <c r="G321" s="17">
        <f>IF(B321&lt;=2011,IF(C321="","",Puente_CPI!$G$2+Puente_CPI!$G$3*C321),IF(D321="","",D321))</f>
        <v/>
      </c>
      <c r="H321" s="8">
        <f>A321&amp;"|"&amp;B321</f>
        <v/>
      </c>
    </row>
    <row r="322">
      <c r="A322" s="8" t="inlineStr">
        <is>
          <t>Perú</t>
        </is>
      </c>
      <c r="B322" s="8" t="n">
        <v>2020</v>
      </c>
      <c r="C322" s="14" t="n"/>
      <c r="D322" s="15" t="n">
        <v>38</v>
      </c>
      <c r="E322" s="16">
        <f>IF(B322&lt;=2011,IF(C322="","",C322),IF(D322="","",D322/10))</f>
        <v/>
      </c>
      <c r="F322" s="13">
        <f>IF(OR(B322&lt;=2011,D322=""),"",D322)</f>
        <v/>
      </c>
      <c r="G322" s="17">
        <f>IF(B322&lt;=2011,IF(C322="","",Puente_CPI!$G$2+Puente_CPI!$G$3*C322),IF(D322="","",D322))</f>
        <v/>
      </c>
      <c r="H322" s="8">
        <f>A322&amp;"|"&amp;B322</f>
        <v/>
      </c>
    </row>
    <row r="323">
      <c r="A323" s="8" t="inlineStr">
        <is>
          <t>Perú</t>
        </is>
      </c>
      <c r="B323" s="8" t="n">
        <v>2024</v>
      </c>
      <c r="C323" s="14" t="n"/>
      <c r="D323" s="15" t="n">
        <v>31</v>
      </c>
      <c r="E323" s="16">
        <f>IF(B323&lt;=2011,IF(C323="","",C323),IF(D323="","",D323/10))</f>
        <v/>
      </c>
      <c r="F323" s="13">
        <f>IF(OR(B323&lt;=2011,D323=""),"",D323)</f>
        <v/>
      </c>
      <c r="G323" s="17">
        <f>IF(B323&lt;=2011,IF(C323="","",Puente_CPI!$G$2+Puente_CPI!$G$3*C323),IF(D323="","",D323))</f>
        <v/>
      </c>
      <c r="H323" s="8">
        <f>A323&amp;"|"&amp;B323</f>
        <v/>
      </c>
    </row>
    <row r="324">
      <c r="A324" s="8" t="inlineStr">
        <is>
          <t>España</t>
        </is>
      </c>
      <c r="B324" s="8" t="n">
        <v>1996</v>
      </c>
      <c r="C324" s="14" t="n">
        <v>4.31</v>
      </c>
      <c r="D324" s="15" t="n"/>
      <c r="E324" s="16">
        <f>IF(B324&lt;=2011,IF(C324="","",C324),IF(D324="","",D324/10))</f>
        <v/>
      </c>
      <c r="F324" s="13">
        <f>IF(OR(B324&lt;=2011,D324=""),"",D324)</f>
        <v/>
      </c>
      <c r="G324" s="17">
        <f>IF(B324&lt;=2011,IF(C324="","",Puente_CPI!$G$2+Puente_CPI!$G$3*C324),IF(D324="","",D324))</f>
        <v/>
      </c>
      <c r="H324" s="8">
        <f>A324&amp;"|"&amp;B324</f>
        <v/>
      </c>
    </row>
    <row r="325">
      <c r="A325" s="8" t="inlineStr">
        <is>
          <t>España</t>
        </is>
      </c>
      <c r="B325" s="8" t="n">
        <v>1997</v>
      </c>
      <c r="C325" s="14" t="n">
        <v>5.9</v>
      </c>
      <c r="D325" s="15" t="n"/>
      <c r="E325" s="16">
        <f>IF(B325&lt;=2011,IF(C325="","",C325),IF(D325="","",D325/10))</f>
        <v/>
      </c>
      <c r="F325" s="13">
        <f>IF(OR(B325&lt;=2011,D325=""),"",D325)</f>
        <v/>
      </c>
      <c r="G325" s="17">
        <f>IF(B325&lt;=2011,IF(C325="","",Puente_CPI!$G$2+Puente_CPI!$G$3*C325),IF(D325="","",D325))</f>
        <v/>
      </c>
      <c r="H325" s="8">
        <f>A325&amp;"|"&amp;B325</f>
        <v/>
      </c>
    </row>
    <row r="326">
      <c r="A326" s="8" t="inlineStr">
        <is>
          <t>España</t>
        </is>
      </c>
      <c r="B326" s="8" t="n">
        <v>1998</v>
      </c>
      <c r="C326" s="14" t="n">
        <v>6.1</v>
      </c>
      <c r="D326" s="15" t="n"/>
      <c r="E326" s="16">
        <f>IF(B326&lt;=2011,IF(C326="","",C326),IF(D326="","",D326/10))</f>
        <v/>
      </c>
      <c r="F326" s="13">
        <f>IF(OR(B326&lt;=2011,D326=""),"",D326)</f>
        <v/>
      </c>
      <c r="G326" s="17">
        <f>IF(B326&lt;=2011,IF(C326="","",Puente_CPI!$G$2+Puente_CPI!$G$3*C326),IF(D326="","",D326))</f>
        <v/>
      </c>
      <c r="H326" s="8">
        <f>A326&amp;"|"&amp;B326</f>
        <v/>
      </c>
    </row>
    <row r="327">
      <c r="A327" s="8" t="inlineStr">
        <is>
          <t>España</t>
        </is>
      </c>
      <c r="B327" s="8" t="n">
        <v>2001</v>
      </c>
      <c r="C327" s="14" t="n">
        <v>7</v>
      </c>
      <c r="D327" s="15" t="n"/>
      <c r="E327" s="16">
        <f>IF(B327&lt;=2011,IF(C327="","",C327),IF(D327="","",D327/10))</f>
        <v/>
      </c>
      <c r="F327" s="13">
        <f>IF(OR(B327&lt;=2011,D327=""),"",D327)</f>
        <v/>
      </c>
      <c r="G327" s="17">
        <f>IF(B327&lt;=2011,IF(C327="","",Puente_CPI!$G$2+Puente_CPI!$G$3*C327),IF(D327="","",D327))</f>
        <v/>
      </c>
      <c r="H327" s="8">
        <f>A327&amp;"|"&amp;B327</f>
        <v/>
      </c>
    </row>
    <row r="328">
      <c r="A328" s="8" t="inlineStr">
        <is>
          <t>España</t>
        </is>
      </c>
      <c r="B328" s="8" t="n">
        <v>2002</v>
      </c>
      <c r="C328" s="14" t="n">
        <v>7.1</v>
      </c>
      <c r="D328" s="15" t="n"/>
      <c r="E328" s="16">
        <f>IF(B328&lt;=2011,IF(C328="","",C328),IF(D328="","",D328/10))</f>
        <v/>
      </c>
      <c r="F328" s="13">
        <f>IF(OR(B328&lt;=2011,D328=""),"",D328)</f>
        <v/>
      </c>
      <c r="G328" s="17">
        <f>IF(B328&lt;=2011,IF(C328="","",Puente_CPI!$G$2+Puente_CPI!$G$3*C328),IF(D328="","",D328))</f>
        <v/>
      </c>
      <c r="H328" s="8">
        <f>A328&amp;"|"&amp;B328</f>
        <v/>
      </c>
    </row>
    <row r="329">
      <c r="A329" s="8" t="inlineStr">
        <is>
          <t>España</t>
        </is>
      </c>
      <c r="B329" s="8" t="n">
        <v>2003</v>
      </c>
      <c r="C329" s="14" t="n">
        <v>6.9</v>
      </c>
      <c r="D329" s="15" t="n"/>
      <c r="E329" s="16">
        <f>IF(B329&lt;=2011,IF(C329="","",C329),IF(D329="","",D329/10))</f>
        <v/>
      </c>
      <c r="F329" s="13">
        <f>IF(OR(B329&lt;=2011,D329=""),"",D329)</f>
        <v/>
      </c>
      <c r="G329" s="17">
        <f>IF(B329&lt;=2011,IF(C329="","",Puente_CPI!$G$2+Puente_CPI!$G$3*C329),IF(D329="","",D329))</f>
        <v/>
      </c>
      <c r="H329" s="8">
        <f>A329&amp;"|"&amp;B329</f>
        <v/>
      </c>
    </row>
    <row r="330">
      <c r="A330" s="8" t="inlineStr">
        <is>
          <t>España</t>
        </is>
      </c>
      <c r="B330" s="8" t="n">
        <v>2004</v>
      </c>
      <c r="C330" s="14" t="n">
        <v>7.1</v>
      </c>
      <c r="D330" s="15" t="n"/>
      <c r="E330" s="16">
        <f>IF(B330&lt;=2011,IF(C330="","",C330),IF(D330="","",D330/10))</f>
        <v/>
      </c>
      <c r="F330" s="13">
        <f>IF(OR(B330&lt;=2011,D330=""),"",D330)</f>
        <v/>
      </c>
      <c r="G330" s="17">
        <f>IF(B330&lt;=2011,IF(C330="","",Puente_CPI!$G$2+Puente_CPI!$G$3*C330),IF(D330="","",D330))</f>
        <v/>
      </c>
      <c r="H330" s="8">
        <f>A330&amp;"|"&amp;B330</f>
        <v/>
      </c>
    </row>
    <row r="331">
      <c r="A331" s="8" t="inlineStr">
        <is>
          <t>España</t>
        </is>
      </c>
      <c r="B331" s="8" t="n">
        <v>2006</v>
      </c>
      <c r="C331" s="14" t="n">
        <v>6.8</v>
      </c>
      <c r="D331" s="15" t="n"/>
      <c r="E331" s="16">
        <f>IF(B331&lt;=2011,IF(C331="","",C331),IF(D331="","",D331/10))</f>
        <v/>
      </c>
      <c r="F331" s="13">
        <f>IF(OR(B331&lt;=2011,D331=""),"",D331)</f>
        <v/>
      </c>
      <c r="G331" s="17">
        <f>IF(B331&lt;=2011,IF(C331="","",Puente_CPI!$G$2+Puente_CPI!$G$3*C331),IF(D331="","",D331))</f>
        <v/>
      </c>
      <c r="H331" s="8">
        <f>A331&amp;"|"&amp;B331</f>
        <v/>
      </c>
    </row>
    <row r="332">
      <c r="A332" s="8" t="inlineStr">
        <is>
          <t>España</t>
        </is>
      </c>
      <c r="B332" s="8" t="n">
        <v>2007</v>
      </c>
      <c r="C332" s="14" t="n">
        <v>6.7</v>
      </c>
      <c r="D332" s="15" t="n"/>
      <c r="E332" s="16">
        <f>IF(B332&lt;=2011,IF(C332="","",C332),IF(D332="","",D332/10))</f>
        <v/>
      </c>
      <c r="F332" s="13">
        <f>IF(OR(B332&lt;=2011,D332=""),"",D332)</f>
        <v/>
      </c>
      <c r="G332" s="17">
        <f>IF(B332&lt;=2011,IF(C332="","",Puente_CPI!$G$2+Puente_CPI!$G$3*C332),IF(D332="","",D332))</f>
        <v/>
      </c>
      <c r="H332" s="8">
        <f>A332&amp;"|"&amp;B332</f>
        <v/>
      </c>
    </row>
    <row r="333">
      <c r="A333" s="8" t="inlineStr">
        <is>
          <t>España</t>
        </is>
      </c>
      <c r="B333" s="8" t="n">
        <v>2008</v>
      </c>
      <c r="C333" s="14" t="n">
        <v>6.5</v>
      </c>
      <c r="D333" s="15" t="n"/>
      <c r="E333" s="16">
        <f>IF(B333&lt;=2011,IF(C333="","",C333),IF(D333="","",D333/10))</f>
        <v/>
      </c>
      <c r="F333" s="13">
        <f>IF(OR(B333&lt;=2011,D333=""),"",D333)</f>
        <v/>
      </c>
      <c r="G333" s="17">
        <f>IF(B333&lt;=2011,IF(C333="","",Puente_CPI!$G$2+Puente_CPI!$G$3*C333),IF(D333="","",D333))</f>
        <v/>
      </c>
      <c r="H333" s="8">
        <f>A333&amp;"|"&amp;B333</f>
        <v/>
      </c>
    </row>
    <row r="334">
      <c r="A334" s="8" t="inlineStr">
        <is>
          <t>España</t>
        </is>
      </c>
      <c r="B334" s="8" t="n">
        <v>2009</v>
      </c>
      <c r="C334" s="14" t="n">
        <v>6.1</v>
      </c>
      <c r="D334" s="15" t="n"/>
      <c r="E334" s="16">
        <f>IF(B334&lt;=2011,IF(C334="","",C334),IF(D334="","",D334/10))</f>
        <v/>
      </c>
      <c r="F334" s="13">
        <f>IF(OR(B334&lt;=2011,D334=""),"",D334)</f>
        <v/>
      </c>
      <c r="G334" s="17">
        <f>IF(B334&lt;=2011,IF(C334="","",Puente_CPI!$G$2+Puente_CPI!$G$3*C334),IF(D334="","",D334))</f>
        <v/>
      </c>
      <c r="H334" s="8">
        <f>A334&amp;"|"&amp;B334</f>
        <v/>
      </c>
    </row>
    <row r="335">
      <c r="A335" s="8" t="inlineStr">
        <is>
          <t>España</t>
        </is>
      </c>
      <c r="B335" s="8" t="n">
        <v>2010</v>
      </c>
      <c r="C335" s="14" t="n">
        <v>6.1</v>
      </c>
      <c r="D335" s="15" t="n"/>
      <c r="E335" s="16">
        <f>IF(B335&lt;=2011,IF(C335="","",C335),IF(D335="","",D335/10))</f>
        <v/>
      </c>
      <c r="F335" s="13">
        <f>IF(OR(B335&lt;=2011,D335=""),"",D335)</f>
        <v/>
      </c>
      <c r="G335" s="17">
        <f>IF(B335&lt;=2011,IF(C335="","",Puente_CPI!$G$2+Puente_CPI!$G$3*C335),IF(D335="","",D335))</f>
        <v/>
      </c>
      <c r="H335" s="8">
        <f>A335&amp;"|"&amp;B335</f>
        <v/>
      </c>
    </row>
    <row r="336">
      <c r="A336" s="8" t="inlineStr">
        <is>
          <t>Uruguay</t>
        </is>
      </c>
      <c r="B336" s="8" t="n">
        <v>1995</v>
      </c>
      <c r="C336" s="14" t="n"/>
      <c r="D336" s="15" t="n"/>
      <c r="E336" s="16">
        <f>IF(B336&lt;=2011,IF(C336="","",C336),IF(D336="","",D336/10))</f>
        <v/>
      </c>
      <c r="F336" s="13">
        <f>IF(OR(B336&lt;=2011,D336=""),"",D336)</f>
        <v/>
      </c>
      <c r="G336" s="17">
        <f>IF(B336&lt;=2011,IF(C336="","",Puente_CPI!$G$2+Puente_CPI!$G$3*C336),IF(D336="","",D336))</f>
        <v/>
      </c>
      <c r="H336" s="8">
        <f>A336&amp;"|"&amp;B336</f>
        <v/>
      </c>
    </row>
    <row r="337">
      <c r="A337" s="8" t="inlineStr">
        <is>
          <t>Uruguay</t>
        </is>
      </c>
      <c r="B337" s="8" t="n">
        <v>1996</v>
      </c>
      <c r="C337" s="14" t="n"/>
      <c r="D337" s="15" t="n"/>
      <c r="E337" s="16">
        <f>IF(B337&lt;=2011,IF(C337="","",C337),IF(D337="","",D337/10))</f>
        <v/>
      </c>
      <c r="F337" s="13">
        <f>IF(OR(B337&lt;=2011,D337=""),"",D337)</f>
        <v/>
      </c>
      <c r="G337" s="17">
        <f>IF(B337&lt;=2011,IF(C337="","",Puente_CPI!$G$2+Puente_CPI!$G$3*C337),IF(D337="","",D337))</f>
        <v/>
      </c>
      <c r="H337" s="8">
        <f>A337&amp;"|"&amp;B337</f>
        <v/>
      </c>
    </row>
    <row r="338">
      <c r="A338" s="8" t="inlineStr">
        <is>
          <t>Uruguay</t>
        </is>
      </c>
      <c r="B338" s="8" t="n">
        <v>1997</v>
      </c>
      <c r="C338" s="14" t="n">
        <v>4.14</v>
      </c>
      <c r="D338" s="15" t="n"/>
      <c r="E338" s="16">
        <f>IF(B338&lt;=2011,IF(C338="","",C338),IF(D338="","",D338/10))</f>
        <v/>
      </c>
      <c r="F338" s="13">
        <f>IF(OR(B338&lt;=2011,D338=""),"",D338)</f>
        <v/>
      </c>
      <c r="G338" s="17">
        <f>IF(B338&lt;=2011,IF(C338="","",Puente_CPI!$G$2+Puente_CPI!$G$3*C338),IF(D338="","",D338))</f>
        <v/>
      </c>
      <c r="H338" s="8">
        <f>A338&amp;"|"&amp;B338</f>
        <v/>
      </c>
    </row>
    <row r="339">
      <c r="A339" s="8" t="inlineStr">
        <is>
          <t>Uruguay</t>
        </is>
      </c>
      <c r="B339" s="8" t="n">
        <v>1998</v>
      </c>
      <c r="C339" s="14" t="n">
        <v>4.3</v>
      </c>
      <c r="D339" s="15" t="n"/>
      <c r="E339" s="16">
        <f>IF(B339&lt;=2011,IF(C339="","",C339),IF(D339="","",D339/10))</f>
        <v/>
      </c>
      <c r="F339" s="13">
        <f>IF(OR(B339&lt;=2011,D339=""),"",D339)</f>
        <v/>
      </c>
      <c r="G339" s="17">
        <f>IF(B339&lt;=2011,IF(C339="","",Puente_CPI!$G$2+Puente_CPI!$G$3*C339),IF(D339="","",D339))</f>
        <v/>
      </c>
      <c r="H339" s="8">
        <f>A339&amp;"|"&amp;B339</f>
        <v/>
      </c>
    </row>
    <row r="340">
      <c r="A340" s="8" t="inlineStr">
        <is>
          <t>Uruguay</t>
        </is>
      </c>
      <c r="B340" s="8" t="n">
        <v>2000</v>
      </c>
      <c r="C340" s="14" t="n"/>
      <c r="D340" s="15" t="n"/>
      <c r="E340" s="16">
        <f>IF(B340&lt;=2011,IF(C340="","",C340),IF(D340="","",D340/10))</f>
        <v/>
      </c>
      <c r="F340" s="13">
        <f>IF(OR(B340&lt;=2011,D340=""),"",D340)</f>
        <v/>
      </c>
      <c r="G340" s="17">
        <f>IF(B340&lt;=2011,IF(C340="","",Puente_CPI!$G$2+Puente_CPI!$G$3*C340),IF(D340="","",D340))</f>
        <v/>
      </c>
      <c r="H340" s="8">
        <f>A340&amp;"|"&amp;B340</f>
        <v/>
      </c>
    </row>
    <row r="341">
      <c r="A341" s="8" t="inlineStr">
        <is>
          <t>Uruguay</t>
        </is>
      </c>
      <c r="B341" s="8" t="n">
        <v>2001</v>
      </c>
      <c r="C341" s="14" t="n">
        <v>5.1</v>
      </c>
      <c r="D341" s="15" t="n"/>
      <c r="E341" s="16">
        <f>IF(B341&lt;=2011,IF(C341="","",C341),IF(D341="","",D341/10))</f>
        <v/>
      </c>
      <c r="F341" s="13">
        <f>IF(OR(B341&lt;=2011,D341=""),"",D341)</f>
        <v/>
      </c>
      <c r="G341" s="17">
        <f>IF(B341&lt;=2011,IF(C341="","",Puente_CPI!$G$2+Puente_CPI!$G$3*C341),IF(D341="","",D341))</f>
        <v/>
      </c>
      <c r="H341" s="8">
        <f>A341&amp;"|"&amp;B341</f>
        <v/>
      </c>
    </row>
    <row r="342">
      <c r="A342" s="8" t="inlineStr">
        <is>
          <t>Uruguay</t>
        </is>
      </c>
      <c r="B342" s="8" t="n">
        <v>2002</v>
      </c>
      <c r="C342" s="14" t="n">
        <v>5.1</v>
      </c>
      <c r="D342" s="15" t="n"/>
      <c r="E342" s="16">
        <f>IF(B342&lt;=2011,IF(C342="","",C342),IF(D342="","",D342/10))</f>
        <v/>
      </c>
      <c r="F342" s="13">
        <f>IF(OR(B342&lt;=2011,D342=""),"",D342)</f>
        <v/>
      </c>
      <c r="G342" s="17">
        <f>IF(B342&lt;=2011,IF(C342="","",Puente_CPI!$G$2+Puente_CPI!$G$3*C342),IF(D342="","",D342))</f>
        <v/>
      </c>
      <c r="H342" s="8">
        <f>A342&amp;"|"&amp;B342</f>
        <v/>
      </c>
    </row>
    <row r="343">
      <c r="A343" s="8" t="inlineStr">
        <is>
          <t>Uruguay</t>
        </is>
      </c>
      <c r="B343" s="8" t="n">
        <v>2003</v>
      </c>
      <c r="C343" s="14" t="n">
        <v>5.5</v>
      </c>
      <c r="D343" s="15" t="n"/>
      <c r="E343" s="16">
        <f>IF(B343&lt;=2011,IF(C343="","",C343),IF(D343="","",D343/10))</f>
        <v/>
      </c>
      <c r="F343" s="13">
        <f>IF(OR(B343&lt;=2011,D343=""),"",D343)</f>
        <v/>
      </c>
      <c r="G343" s="17">
        <f>IF(B343&lt;=2011,IF(C343="","",Puente_CPI!$G$2+Puente_CPI!$G$3*C343),IF(D343="","",D343))</f>
        <v/>
      </c>
      <c r="H343" s="8">
        <f>A343&amp;"|"&amp;B343</f>
        <v/>
      </c>
    </row>
    <row r="344">
      <c r="A344" s="8" t="inlineStr">
        <is>
          <t>Uruguay</t>
        </is>
      </c>
      <c r="B344" s="8" t="n">
        <v>2004</v>
      </c>
      <c r="C344" s="14" t="n">
        <v>6.2</v>
      </c>
      <c r="D344" s="15" t="n"/>
      <c r="E344" s="16">
        <f>IF(B344&lt;=2011,IF(C344="","",C344),IF(D344="","",D344/10))</f>
        <v/>
      </c>
      <c r="F344" s="13">
        <f>IF(OR(B344&lt;=2011,D344=""),"",D344)</f>
        <v/>
      </c>
      <c r="G344" s="17">
        <f>IF(B344&lt;=2011,IF(C344="","",Puente_CPI!$G$2+Puente_CPI!$G$3*C344),IF(D344="","",D344))</f>
        <v/>
      </c>
      <c r="H344" s="8">
        <f>A344&amp;"|"&amp;B344</f>
        <v/>
      </c>
    </row>
    <row r="345">
      <c r="A345" s="8" t="inlineStr">
        <is>
          <t>Uruguay</t>
        </is>
      </c>
      <c r="B345" s="8" t="n">
        <v>2005</v>
      </c>
      <c r="C345" s="14" t="n">
        <v>5.9</v>
      </c>
      <c r="D345" s="15" t="n"/>
      <c r="E345" s="16">
        <f>IF(B345&lt;=2011,IF(C345="","",C345),IF(D345="","",D345/10))</f>
        <v/>
      </c>
      <c r="F345" s="13">
        <f>IF(OR(B345&lt;=2011,D345=""),"",D345)</f>
        <v/>
      </c>
      <c r="G345" s="17">
        <f>IF(B345&lt;=2011,IF(C345="","",Puente_CPI!$G$2+Puente_CPI!$G$3*C345),IF(D345="","",D345))</f>
        <v/>
      </c>
      <c r="H345" s="8">
        <f>A345&amp;"|"&amp;B345</f>
        <v/>
      </c>
    </row>
    <row r="346">
      <c r="A346" s="8" t="inlineStr">
        <is>
          <t>Uruguay</t>
        </is>
      </c>
      <c r="B346" s="8" t="n">
        <v>2006</v>
      </c>
      <c r="C346" s="14" t="n">
        <v>6.4</v>
      </c>
      <c r="D346" s="15" t="n"/>
      <c r="E346" s="16">
        <f>IF(B346&lt;=2011,IF(C346="","",C346),IF(D346="","",D346/10))</f>
        <v/>
      </c>
      <c r="F346" s="13">
        <f>IF(OR(B346&lt;=2011,D346=""),"",D346)</f>
        <v/>
      </c>
      <c r="G346" s="17">
        <f>IF(B346&lt;=2011,IF(C346="","",Puente_CPI!$G$2+Puente_CPI!$G$3*C346),IF(D346="","",D346))</f>
        <v/>
      </c>
      <c r="H346" s="8">
        <f>A346&amp;"|"&amp;B346</f>
        <v/>
      </c>
    </row>
    <row r="347">
      <c r="A347" s="8" t="inlineStr">
        <is>
          <t>Uruguay</t>
        </is>
      </c>
      <c r="B347" s="8" t="n">
        <v>2007</v>
      </c>
      <c r="C347" s="14" t="n">
        <v>6.7</v>
      </c>
      <c r="D347" s="15" t="n"/>
      <c r="E347" s="16">
        <f>IF(B347&lt;=2011,IF(C347="","",C347),IF(D347="","",D347/10))</f>
        <v/>
      </c>
      <c r="F347" s="13">
        <f>IF(OR(B347&lt;=2011,D347=""),"",D347)</f>
        <v/>
      </c>
      <c r="G347" s="17">
        <f>IF(B347&lt;=2011,IF(C347="","",Puente_CPI!$G$2+Puente_CPI!$G$3*C347),IF(D347="","",D347))</f>
        <v/>
      </c>
      <c r="H347" s="8">
        <f>A347&amp;"|"&amp;B347</f>
        <v/>
      </c>
    </row>
    <row r="348">
      <c r="A348" s="8" t="inlineStr">
        <is>
          <t>Uruguay</t>
        </is>
      </c>
      <c r="B348" s="8" t="n">
        <v>2008</v>
      </c>
      <c r="C348" s="14" t="n">
        <v>6.9</v>
      </c>
      <c r="D348" s="15" t="n"/>
      <c r="E348" s="16">
        <f>IF(B348&lt;=2011,IF(C348="","",C348),IF(D348="","",D348/10))</f>
        <v/>
      </c>
      <c r="F348" s="13">
        <f>IF(OR(B348&lt;=2011,D348=""),"",D348)</f>
        <v/>
      </c>
      <c r="G348" s="17">
        <f>IF(B348&lt;=2011,IF(C348="","",Puente_CPI!$G$2+Puente_CPI!$G$3*C348),IF(D348="","",D348))</f>
        <v/>
      </c>
      <c r="H348" s="8">
        <f>A348&amp;"|"&amp;B348</f>
        <v/>
      </c>
    </row>
    <row r="349">
      <c r="A349" s="8" t="inlineStr">
        <is>
          <t>Uruguay</t>
        </is>
      </c>
      <c r="B349" s="8" t="n">
        <v>2009</v>
      </c>
      <c r="C349" s="14" t="n">
        <v>6.7</v>
      </c>
      <c r="D349" s="15" t="n"/>
      <c r="E349" s="16">
        <f>IF(B349&lt;=2011,IF(C349="","",C349),IF(D349="","",D349/10))</f>
        <v/>
      </c>
      <c r="F349" s="13">
        <f>IF(OR(B349&lt;=2011,D349=""),"",D349)</f>
        <v/>
      </c>
      <c r="G349" s="17">
        <f>IF(B349&lt;=2011,IF(C349="","",Puente_CPI!$G$2+Puente_CPI!$G$3*C349),IF(D349="","",D349))</f>
        <v/>
      </c>
      <c r="H349" s="8">
        <f>A349&amp;"|"&amp;B349</f>
        <v/>
      </c>
    </row>
    <row r="350">
      <c r="A350" s="8" t="inlineStr">
        <is>
          <t>Uruguay</t>
        </is>
      </c>
      <c r="B350" s="8" t="n">
        <v>2010</v>
      </c>
      <c r="C350" s="14" t="n">
        <v>6.9</v>
      </c>
      <c r="D350" s="15" t="n"/>
      <c r="E350" s="16">
        <f>IF(B350&lt;=2011,IF(C350="","",C350),IF(D350="","",D350/10))</f>
        <v/>
      </c>
      <c r="F350" s="13">
        <f>IF(OR(B350&lt;=2011,D350=""),"",D350)</f>
        <v/>
      </c>
      <c r="G350" s="17">
        <f>IF(B350&lt;=2011,IF(C350="","",Puente_CPI!$G$2+Puente_CPI!$G$3*C350),IF(D350="","",D350))</f>
        <v/>
      </c>
      <c r="H350" s="8">
        <f>A350&amp;"|"&amp;B350</f>
        <v/>
      </c>
    </row>
    <row r="351">
      <c r="A351" s="8" t="inlineStr">
        <is>
          <t>Uruguay</t>
        </is>
      </c>
      <c r="B351" s="8" t="n">
        <v>2011</v>
      </c>
      <c r="C351" s="14" t="n">
        <v>7.044</v>
      </c>
      <c r="D351" s="15" t="n"/>
      <c r="E351" s="16">
        <f>IF(B351&lt;=2011,IF(C351="","",C351),IF(D351="","",D351/10))</f>
        <v/>
      </c>
      <c r="F351" s="13">
        <f>IF(OR(B351&lt;=2011,D351=""),"",D351)</f>
        <v/>
      </c>
      <c r="G351" s="17">
        <f>IF(B351&lt;=2011,IF(C351="","",Puente_CPI!$G$2+Puente_CPI!$G$3*C351),IF(D351="","",D351))</f>
        <v/>
      </c>
      <c r="H351" s="8">
        <f>A351&amp;"|"&amp;B351</f>
        <v/>
      </c>
    </row>
    <row r="352">
      <c r="A352" s="8" t="inlineStr">
        <is>
          <t>Uruguay</t>
        </is>
      </c>
      <c r="B352" s="8" t="n">
        <v>2016</v>
      </c>
      <c r="C352" s="14" t="n"/>
      <c r="D352" s="15" t="n">
        <v>71</v>
      </c>
      <c r="E352" s="16">
        <f>IF(B352&lt;=2011,IF(C352="","",C352),IF(D352="","",D352/10))</f>
        <v/>
      </c>
      <c r="F352" s="13">
        <f>IF(OR(B352&lt;=2011,D352=""),"",D352)</f>
        <v/>
      </c>
      <c r="G352" s="17">
        <f>IF(B352&lt;=2011,IF(C352="","",Puente_CPI!$G$2+Puente_CPI!$G$3*C352),IF(D352="","",D352))</f>
        <v/>
      </c>
      <c r="H352" s="8">
        <f>A352&amp;"|"&amp;B352</f>
        <v/>
      </c>
    </row>
    <row r="353">
      <c r="A353" s="8" t="inlineStr">
        <is>
          <t>Uruguay</t>
        </is>
      </c>
      <c r="B353" s="8" t="n">
        <v>2017</v>
      </c>
      <c r="C353" s="14" t="n"/>
      <c r="D353" s="15" t="n">
        <v>70</v>
      </c>
      <c r="E353" s="16">
        <f>IF(B353&lt;=2011,IF(C353="","",C353),IF(D353="","",D353/10))</f>
        <v/>
      </c>
      <c r="F353" s="13">
        <f>IF(OR(B353&lt;=2011,D353=""),"",D353)</f>
        <v/>
      </c>
      <c r="G353" s="17">
        <f>IF(B353&lt;=2011,IF(C353="","",Puente_CPI!$G$2+Puente_CPI!$G$3*C353),IF(D353="","",D353))</f>
        <v/>
      </c>
      <c r="H353" s="8">
        <f>A353&amp;"|"&amp;B353</f>
        <v/>
      </c>
    </row>
    <row r="354">
      <c r="A354" s="8" t="inlineStr">
        <is>
          <t>Uruguay</t>
        </is>
      </c>
      <c r="B354" s="8" t="n">
        <v>2018</v>
      </c>
      <c r="C354" s="14" t="n"/>
      <c r="D354" s="15" t="n">
        <v>70</v>
      </c>
      <c r="E354" s="16">
        <f>IF(B354&lt;=2011,IF(C354="","",C354),IF(D354="","",D354/10))</f>
        <v/>
      </c>
      <c r="F354" s="13">
        <f>IF(OR(B354&lt;=2011,D354=""),"",D354)</f>
        <v/>
      </c>
      <c r="G354" s="17">
        <f>IF(B354&lt;=2011,IF(C354="","",Puente_CPI!$G$2+Puente_CPI!$G$3*C354),IF(D354="","",D354))</f>
        <v/>
      </c>
      <c r="H354" s="8">
        <f>A354&amp;"|"&amp;B354</f>
        <v/>
      </c>
    </row>
    <row r="355">
      <c r="A355" s="8" t="inlineStr">
        <is>
          <t>Uruguay</t>
        </is>
      </c>
      <c r="B355" s="8" t="n">
        <v>2020</v>
      </c>
      <c r="C355" s="14" t="n"/>
      <c r="D355" s="15" t="n">
        <v>71</v>
      </c>
      <c r="E355" s="16">
        <f>IF(B355&lt;=2011,IF(C355="","",C355),IF(D355="","",D355/10))</f>
        <v/>
      </c>
      <c r="F355" s="13">
        <f>IF(OR(B355&lt;=2011,D355=""),"",D355)</f>
        <v/>
      </c>
      <c r="G355" s="17">
        <f>IF(B355&lt;=2011,IF(C355="","",Puente_CPI!$G$2+Puente_CPI!$G$3*C355),IF(D355="","",D355))</f>
        <v/>
      </c>
      <c r="H355" s="8">
        <f>A355&amp;"|"&amp;B355</f>
        <v/>
      </c>
    </row>
    <row r="356">
      <c r="A356" s="8" t="inlineStr">
        <is>
          <t>Uruguay</t>
        </is>
      </c>
      <c r="B356" s="8" t="n">
        <v>2024</v>
      </c>
      <c r="C356" s="14" t="n"/>
      <c r="D356" s="15" t="n">
        <v>76</v>
      </c>
      <c r="E356" s="16">
        <f>IF(B356&lt;=2011,IF(C356="","",C356),IF(D356="","",D356/10))</f>
        <v/>
      </c>
      <c r="F356" s="13">
        <f>IF(OR(B356&lt;=2011,D356=""),"",D356)</f>
        <v/>
      </c>
      <c r="G356" s="17">
        <f>IF(B356&lt;=2011,IF(C356="","",Puente_CPI!$G$2+Puente_CPI!$G$3*C356),IF(D356="","",D356))</f>
        <v/>
      </c>
      <c r="H356" s="8">
        <f>A356&amp;"|"&amp;B356</f>
        <v/>
      </c>
    </row>
    <row r="357">
      <c r="A357" s="8" t="inlineStr">
        <is>
          <t>Venezuela</t>
        </is>
      </c>
      <c r="B357" s="8" t="n">
        <v>1995</v>
      </c>
      <c r="C357" s="14" t="n">
        <v>2.66</v>
      </c>
      <c r="D357" s="15" t="n"/>
      <c r="E357" s="16">
        <f>IF(B357&lt;=2011,IF(C357="","",C357),IF(D357="","",D357/10))</f>
        <v/>
      </c>
      <c r="F357" s="13">
        <f>IF(OR(B357&lt;=2011,D357=""),"",D357)</f>
        <v/>
      </c>
      <c r="G357" s="17">
        <f>IF(B357&lt;=2011,IF(C357="","",Puente_CPI!$G$2+Puente_CPI!$G$3*C357),IF(D357="","",D357))</f>
        <v/>
      </c>
      <c r="H357" s="8">
        <f>A357&amp;"|"&amp;B357</f>
        <v/>
      </c>
    </row>
    <row r="358">
      <c r="A358" s="8" t="inlineStr">
        <is>
          <t>Venezuela</t>
        </is>
      </c>
      <c r="B358" s="8" t="n">
        <v>1996</v>
      </c>
      <c r="C358" s="14" t="n">
        <v>2.5</v>
      </c>
      <c r="D358" s="15" t="n"/>
      <c r="E358" s="16">
        <f>IF(B358&lt;=2011,IF(C358="","",C358),IF(D358="","",D358/10))</f>
        <v/>
      </c>
      <c r="F358" s="13">
        <f>IF(OR(B358&lt;=2011,D358=""),"",D358)</f>
        <v/>
      </c>
      <c r="G358" s="17">
        <f>IF(B358&lt;=2011,IF(C358="","",Puente_CPI!$G$2+Puente_CPI!$G$3*C358),IF(D358="","",D358))</f>
        <v/>
      </c>
      <c r="H358" s="8">
        <f>A358&amp;"|"&amp;B358</f>
        <v/>
      </c>
    </row>
    <row r="359">
      <c r="A359" s="8" t="inlineStr">
        <is>
          <t>Venezuela</t>
        </is>
      </c>
      <c r="B359" s="8" t="n">
        <v>1997</v>
      </c>
      <c r="C359" s="14" t="n">
        <v>2.77</v>
      </c>
      <c r="D359" s="15" t="n"/>
      <c r="E359" s="16">
        <f>IF(B359&lt;=2011,IF(C359="","",C359),IF(D359="","",D359/10))</f>
        <v/>
      </c>
      <c r="F359" s="13">
        <f>IF(OR(B359&lt;=2011,D359=""),"",D359)</f>
        <v/>
      </c>
      <c r="G359" s="17">
        <f>IF(B359&lt;=2011,IF(C359="","",Puente_CPI!$G$2+Puente_CPI!$G$3*C359),IF(D359="","",D359))</f>
        <v/>
      </c>
      <c r="H359" s="8">
        <f>A359&amp;"|"&amp;B359</f>
        <v/>
      </c>
    </row>
    <row r="360">
      <c r="A360" s="8" t="inlineStr">
        <is>
          <t>Venezuela</t>
        </is>
      </c>
      <c r="B360" s="8" t="n">
        <v>1998</v>
      </c>
      <c r="C360" s="14" t="n">
        <v>2.3</v>
      </c>
      <c r="D360" s="15" t="n"/>
      <c r="E360" s="16">
        <f>IF(B360&lt;=2011,IF(C360="","",C360),IF(D360="","",D360/10))</f>
        <v/>
      </c>
      <c r="F360" s="13">
        <f>IF(OR(B360&lt;=2011,D360=""),"",D360)</f>
        <v/>
      </c>
      <c r="G360" s="17">
        <f>IF(B360&lt;=2011,IF(C360="","",Puente_CPI!$G$2+Puente_CPI!$G$3*C360),IF(D360="","",D360))</f>
        <v/>
      </c>
      <c r="H360" s="8">
        <f>A360&amp;"|"&amp;B360</f>
        <v/>
      </c>
    </row>
    <row r="361">
      <c r="A361" s="8" t="inlineStr">
        <is>
          <t>Venezuela</t>
        </is>
      </c>
      <c r="B361" s="8" t="n">
        <v>2000</v>
      </c>
      <c r="C361" s="14" t="n">
        <v>2.7</v>
      </c>
      <c r="D361" s="15" t="n"/>
      <c r="E361" s="16">
        <f>IF(B361&lt;=2011,IF(C361="","",C361),IF(D361="","",D361/10))</f>
        <v/>
      </c>
      <c r="F361" s="13">
        <f>IF(OR(B361&lt;=2011,D361=""),"",D361)</f>
        <v/>
      </c>
      <c r="G361" s="17">
        <f>IF(B361&lt;=2011,IF(C361="","",Puente_CPI!$G$2+Puente_CPI!$G$3*C361),IF(D361="","",D361))</f>
        <v/>
      </c>
      <c r="H361" s="8">
        <f>A361&amp;"|"&amp;B361</f>
        <v/>
      </c>
    </row>
    <row r="362">
      <c r="A362" s="8" t="inlineStr">
        <is>
          <t>Venezuela</t>
        </is>
      </c>
      <c r="B362" s="8" t="n">
        <v>2001</v>
      </c>
      <c r="C362" s="14" t="n">
        <v>2.8</v>
      </c>
      <c r="D362" s="15" t="n"/>
      <c r="E362" s="16">
        <f>IF(B362&lt;=2011,IF(C362="","",C362),IF(D362="","",D362/10))</f>
        <v/>
      </c>
      <c r="F362" s="13">
        <f>IF(OR(B362&lt;=2011,D362=""),"",D362)</f>
        <v/>
      </c>
      <c r="G362" s="17">
        <f>IF(B362&lt;=2011,IF(C362="","",Puente_CPI!$G$2+Puente_CPI!$G$3*C362),IF(D362="","",D362))</f>
        <v/>
      </c>
      <c r="H362" s="8">
        <f>A362&amp;"|"&amp;B362</f>
        <v/>
      </c>
    </row>
    <row r="363">
      <c r="A363" s="8" t="inlineStr">
        <is>
          <t>Venezuela</t>
        </is>
      </c>
      <c r="B363" s="8" t="n">
        <v>2002</v>
      </c>
      <c r="C363" s="14" t="n">
        <v>2.5</v>
      </c>
      <c r="D363" s="15" t="n"/>
      <c r="E363" s="16">
        <f>IF(B363&lt;=2011,IF(C363="","",C363),IF(D363="","",D363/10))</f>
        <v/>
      </c>
      <c r="F363" s="13">
        <f>IF(OR(B363&lt;=2011,D363=""),"",D363)</f>
        <v/>
      </c>
      <c r="G363" s="17">
        <f>IF(B363&lt;=2011,IF(C363="","",Puente_CPI!$G$2+Puente_CPI!$G$3*C363),IF(D363="","",D363))</f>
        <v/>
      </c>
      <c r="H363" s="8">
        <f>A363&amp;"|"&amp;B363</f>
        <v/>
      </c>
    </row>
    <row r="364">
      <c r="A364" s="8" t="inlineStr">
        <is>
          <t>Venezuela</t>
        </is>
      </c>
      <c r="B364" s="8" t="n">
        <v>2003</v>
      </c>
      <c r="C364" s="14" t="n">
        <v>2.4</v>
      </c>
      <c r="D364" s="15" t="n"/>
      <c r="E364" s="16">
        <f>IF(B364&lt;=2011,IF(C364="","",C364),IF(D364="","",D364/10))</f>
        <v/>
      </c>
      <c r="F364" s="13">
        <f>IF(OR(B364&lt;=2011,D364=""),"",D364)</f>
        <v/>
      </c>
      <c r="G364" s="17">
        <f>IF(B364&lt;=2011,IF(C364="","",Puente_CPI!$G$2+Puente_CPI!$G$3*C364),IF(D364="","",D364))</f>
        <v/>
      </c>
      <c r="H364" s="8">
        <f>A364&amp;"|"&amp;B364</f>
        <v/>
      </c>
    </row>
    <row r="365">
      <c r="A365" s="8" t="inlineStr">
        <is>
          <t>Venezuela</t>
        </is>
      </c>
      <c r="B365" s="8" t="n">
        <v>2004</v>
      </c>
      <c r="C365" s="14" t="n">
        <v>2.3</v>
      </c>
      <c r="D365" s="15" t="n"/>
      <c r="E365" s="16">
        <f>IF(B365&lt;=2011,IF(C365="","",C365),IF(D365="","",D365/10))</f>
        <v/>
      </c>
      <c r="F365" s="13">
        <f>IF(OR(B365&lt;=2011,D365=""),"",D365)</f>
        <v/>
      </c>
      <c r="G365" s="17">
        <f>IF(B365&lt;=2011,IF(C365="","",Puente_CPI!$G$2+Puente_CPI!$G$3*C365),IF(D365="","",D365))</f>
        <v/>
      </c>
      <c r="H365" s="8">
        <f>A365&amp;"|"&amp;B365</f>
        <v/>
      </c>
    </row>
    <row r="366">
      <c r="A366" s="8" t="inlineStr">
        <is>
          <t>Venezuela</t>
        </is>
      </c>
      <c r="B366" s="8" t="n">
        <v>2005</v>
      </c>
      <c r="C366" s="14" t="n">
        <v>2.3</v>
      </c>
      <c r="D366" s="15" t="n"/>
      <c r="E366" s="16">
        <f>IF(B366&lt;=2011,IF(C366="","",C366),IF(D366="","",D366/10))</f>
        <v/>
      </c>
      <c r="F366" s="13">
        <f>IF(OR(B366&lt;=2011,D366=""),"",D366)</f>
        <v/>
      </c>
      <c r="G366" s="17">
        <f>IF(B366&lt;=2011,IF(C366="","",Puente_CPI!$G$2+Puente_CPI!$G$3*C366),IF(D366="","",D366))</f>
        <v/>
      </c>
      <c r="H366" s="8">
        <f>A366&amp;"|"&amp;B366</f>
        <v/>
      </c>
    </row>
    <row r="367">
      <c r="A367" s="8" t="inlineStr">
        <is>
          <t>Venezuela</t>
        </is>
      </c>
      <c r="B367" s="8" t="n">
        <v>2006</v>
      </c>
      <c r="C367" s="14" t="n">
        <v>2.3</v>
      </c>
      <c r="D367" s="15" t="n"/>
      <c r="E367" s="16">
        <f>IF(B367&lt;=2011,IF(C367="","",C367),IF(D367="","",D367/10))</f>
        <v/>
      </c>
      <c r="F367" s="13">
        <f>IF(OR(B367&lt;=2011,D367=""),"",D367)</f>
        <v/>
      </c>
      <c r="G367" s="17">
        <f>IF(B367&lt;=2011,IF(C367="","",Puente_CPI!$G$2+Puente_CPI!$G$3*C367),IF(D367="","",D367))</f>
        <v/>
      </c>
      <c r="H367" s="8">
        <f>A367&amp;"|"&amp;B367</f>
        <v/>
      </c>
    </row>
    <row r="368">
      <c r="A368" s="8" t="inlineStr">
        <is>
          <t>Venezuela</t>
        </is>
      </c>
      <c r="B368" s="8" t="n">
        <v>2007</v>
      </c>
      <c r="C368" s="14" t="n">
        <v>2</v>
      </c>
      <c r="D368" s="15" t="n"/>
      <c r="E368" s="16">
        <f>IF(B368&lt;=2011,IF(C368="","",C368),IF(D368="","",D368/10))</f>
        <v/>
      </c>
      <c r="F368" s="13">
        <f>IF(OR(B368&lt;=2011,D368=""),"",D368)</f>
        <v/>
      </c>
      <c r="G368" s="17">
        <f>IF(B368&lt;=2011,IF(C368="","",Puente_CPI!$G$2+Puente_CPI!$G$3*C368),IF(D368="","",D368))</f>
        <v/>
      </c>
      <c r="H368" s="8">
        <f>A368&amp;"|"&amp;B368</f>
        <v/>
      </c>
    </row>
    <row r="369">
      <c r="A369" s="8" t="inlineStr">
        <is>
          <t>Venezuela</t>
        </is>
      </c>
      <c r="B369" s="8" t="n">
        <v>2008</v>
      </c>
      <c r="C369" s="14" t="n">
        <v>1.9</v>
      </c>
      <c r="D369" s="15" t="n"/>
      <c r="E369" s="16">
        <f>IF(B369&lt;=2011,IF(C369="","",C369),IF(D369="","",D369/10))</f>
        <v/>
      </c>
      <c r="F369" s="13">
        <f>IF(OR(B369&lt;=2011,D369=""),"",D369)</f>
        <v/>
      </c>
      <c r="G369" s="17">
        <f>IF(B369&lt;=2011,IF(C369="","",Puente_CPI!$G$2+Puente_CPI!$G$3*C369),IF(D369="","",D369))</f>
        <v/>
      </c>
      <c r="H369" s="8">
        <f>A369&amp;"|"&amp;B369</f>
        <v/>
      </c>
    </row>
    <row r="370">
      <c r="A370" s="8" t="inlineStr">
        <is>
          <t>Venezuela</t>
        </is>
      </c>
      <c r="B370" s="8" t="n">
        <v>2009</v>
      </c>
      <c r="C370" s="14" t="n">
        <v>1.9</v>
      </c>
      <c r="D370" s="15" t="n"/>
      <c r="E370" s="16">
        <f>IF(B370&lt;=2011,IF(C370="","",C370),IF(D370="","",D370/10))</f>
        <v/>
      </c>
      <c r="F370" s="13">
        <f>IF(OR(B370&lt;=2011,D370=""),"",D370)</f>
        <v/>
      </c>
      <c r="G370" s="17">
        <f>IF(B370&lt;=2011,IF(C370="","",Puente_CPI!$G$2+Puente_CPI!$G$3*C370),IF(D370="","",D370))</f>
        <v/>
      </c>
      <c r="H370" s="8">
        <f>A370&amp;"|"&amp;B370</f>
        <v/>
      </c>
    </row>
    <row r="371">
      <c r="A371" s="8" t="inlineStr">
        <is>
          <t>Venezuela</t>
        </is>
      </c>
      <c r="B371" s="8" t="n">
        <v>2010</v>
      </c>
      <c r="C371" s="14" t="n">
        <v>2</v>
      </c>
      <c r="D371" s="15" t="n"/>
      <c r="E371" s="16">
        <f>IF(B371&lt;=2011,IF(C371="","",C371),IF(D371="","",D371/10))</f>
        <v/>
      </c>
      <c r="F371" s="13">
        <f>IF(OR(B371&lt;=2011,D371=""),"",D371)</f>
        <v/>
      </c>
      <c r="G371" s="17">
        <f>IF(B371&lt;=2011,IF(C371="","",Puente_CPI!$G$2+Puente_CPI!$G$3*C371),IF(D371="","",D371))</f>
        <v/>
      </c>
      <c r="H371" s="8">
        <f>A371&amp;"|"&amp;B371</f>
        <v/>
      </c>
    </row>
    <row r="372">
      <c r="A372" s="8" t="inlineStr">
        <is>
          <t>Venezuela</t>
        </is>
      </c>
      <c r="B372" s="8" t="n">
        <v>2011</v>
      </c>
      <c r="C372" s="14" t="n">
        <v>1.889</v>
      </c>
      <c r="D372" s="15" t="n"/>
      <c r="E372" s="16">
        <f>IF(B372&lt;=2011,IF(C372="","",C372),IF(D372="","",D372/10))</f>
        <v/>
      </c>
      <c r="F372" s="13">
        <f>IF(OR(B372&lt;=2011,D372=""),"",D372)</f>
        <v/>
      </c>
      <c r="G372" s="17">
        <f>IF(B372&lt;=2011,IF(C372="","",Puente_CPI!$G$2+Puente_CPI!$G$3*C372),IF(D372="","",D372))</f>
        <v/>
      </c>
      <c r="H372" s="8">
        <f>A372&amp;"|"&amp;B372</f>
        <v/>
      </c>
    </row>
    <row r="373">
      <c r="A373" s="8" t="inlineStr">
        <is>
          <t>Venezuela</t>
        </is>
      </c>
      <c r="B373" s="8" t="n">
        <v>2016</v>
      </c>
      <c r="C373" s="14" t="n"/>
      <c r="D373" s="15" t="n">
        <v>17</v>
      </c>
      <c r="E373" s="16">
        <f>IF(B373&lt;=2011,IF(C373="","",C373),IF(D373="","",D373/10))</f>
        <v/>
      </c>
      <c r="F373" s="13">
        <f>IF(OR(B373&lt;=2011,D373=""),"",D373)</f>
        <v/>
      </c>
      <c r="G373" s="17">
        <f>IF(B373&lt;=2011,IF(C373="","",Puente_CPI!$G$2+Puente_CPI!$G$3*C373),IF(D373="","",D373))</f>
        <v/>
      </c>
      <c r="H373" s="8">
        <f>A373&amp;"|"&amp;B373</f>
        <v/>
      </c>
    </row>
    <row r="374">
      <c r="A374" s="8" t="inlineStr">
        <is>
          <t>Venezuela</t>
        </is>
      </c>
      <c r="B374" s="8" t="n">
        <v>2017</v>
      </c>
      <c r="C374" s="14" t="n"/>
      <c r="D374" s="15" t="n">
        <v>18</v>
      </c>
      <c r="E374" s="16">
        <f>IF(B374&lt;=2011,IF(C374="","",C374),IF(D374="","",D374/10))</f>
        <v/>
      </c>
      <c r="F374" s="13">
        <f>IF(OR(B374&lt;=2011,D374=""),"",D374)</f>
        <v/>
      </c>
      <c r="G374" s="17">
        <f>IF(B374&lt;=2011,IF(C374="","",Puente_CPI!$G$2+Puente_CPI!$G$3*C374),IF(D374="","",D374))</f>
        <v/>
      </c>
      <c r="H374" s="8">
        <f>A374&amp;"|"&amp;B374</f>
        <v/>
      </c>
    </row>
    <row r="375">
      <c r="A375" s="8" t="inlineStr">
        <is>
          <t>Venezuela</t>
        </is>
      </c>
      <c r="B375" s="8" t="n">
        <v>2018</v>
      </c>
      <c r="C375" s="14" t="n"/>
      <c r="D375" s="15" t="n">
        <v>18</v>
      </c>
      <c r="E375" s="16">
        <f>IF(B375&lt;=2011,IF(C375="","",C375),IF(D375="","",D375/10))</f>
        <v/>
      </c>
      <c r="F375" s="13">
        <f>IF(OR(B375&lt;=2011,D375=""),"",D375)</f>
        <v/>
      </c>
      <c r="G375" s="17">
        <f>IF(B375&lt;=2011,IF(C375="","",Puente_CPI!$G$2+Puente_CPI!$G$3*C375),IF(D375="","",D375))</f>
        <v/>
      </c>
      <c r="H375" s="8">
        <f>A375&amp;"|"&amp;B375</f>
        <v/>
      </c>
    </row>
    <row r="376">
      <c r="A376" s="8" t="inlineStr">
        <is>
          <t>Venezuela</t>
        </is>
      </c>
      <c r="B376" s="8" t="n">
        <v>2020</v>
      </c>
      <c r="C376" s="14" t="n"/>
      <c r="D376" s="15" t="n">
        <v>15</v>
      </c>
      <c r="E376" s="16">
        <f>IF(B376&lt;=2011,IF(C376="","",C376),IF(D376="","",D376/10))</f>
        <v/>
      </c>
      <c r="F376" s="13">
        <f>IF(OR(B376&lt;=2011,D376=""),"",D376)</f>
        <v/>
      </c>
      <c r="G376" s="17">
        <f>IF(B376&lt;=2011,IF(C376="","",Puente_CPI!$G$2+Puente_CPI!$G$3*C376),IF(D376="","",D376))</f>
        <v/>
      </c>
      <c r="H376" s="8">
        <f>A376&amp;"|"&amp;B376</f>
        <v/>
      </c>
    </row>
    <row r="377">
      <c r="A377" s="8" t="inlineStr">
        <is>
          <t>Venezuela</t>
        </is>
      </c>
      <c r="B377" s="8" t="n">
        <v>2024</v>
      </c>
      <c r="C377" s="14" t="n"/>
      <c r="D377" s="15" t="n">
        <v>10</v>
      </c>
      <c r="E377" s="16">
        <f>IF(B377&lt;=2011,IF(C377="","",C377),IF(D377="","",D377/10))</f>
        <v/>
      </c>
      <c r="F377" s="13">
        <f>IF(OR(B377&lt;=2011,D377=""),"",D377)</f>
        <v/>
      </c>
      <c r="G377" s="17">
        <f>IF(B377&lt;=2011,IF(C377="","",Puente_CPI!$G$2+Puente_CPI!$G$3*C377),IF(D377="","",D377))</f>
        <v/>
      </c>
      <c r="H377" s="8">
        <f>A377&amp;"|"&amp;B377</f>
        <v/>
      </c>
    </row>
  </sheetData>
  <autoFilter ref="A1:H37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2" customHeight="1">
      <c r="A1" s="4" t="inlineStr">
        <is>
          <t>País</t>
        </is>
      </c>
      <c r="B1" s="4" t="inlineStr">
        <is>
          <t>Año</t>
        </is>
      </c>
      <c r="C1" s="4" t="inlineStr">
        <is>
          <t>Y: Apoyo democracia (A)</t>
        </is>
      </c>
      <c r="D1" s="4" t="inlineStr">
        <is>
          <t>X: Grupos poderosos (A)</t>
        </is>
      </c>
      <c r="E1" s="4" t="inlineStr">
        <is>
          <t>X: Gini</t>
        </is>
      </c>
      <c r="F1" s="4" t="inlineStr">
        <is>
          <t>X: CPI escala 0-10 (empalmado)</t>
        </is>
      </c>
      <c r="G1" s="4" t="inlineStr">
        <is>
          <t>X: CPI 0-100 (desde 2012)</t>
        </is>
      </c>
      <c r="H1" s="4" t="inlineStr">
        <is>
          <t>X: CPI 0-100 empalmado por regresión</t>
        </is>
      </c>
      <c r="I1" s="4" t="inlineStr">
        <is>
          <t>Completo con CPI 0-10 (1 = usar)</t>
        </is>
      </c>
      <c r="J1" s="4" t="inlineStr">
        <is>
          <t>Completo con CPI 0-100 (1 = usar)</t>
        </is>
      </c>
      <c r="K1" s="4" t="inlineStr">
        <is>
          <t>Completo con CPI regresión (1 = usar)</t>
        </is>
      </c>
    </row>
    <row r="2">
      <c r="A2" s="8" t="inlineStr">
        <is>
          <t>Argentina</t>
        </is>
      </c>
      <c r="B2" s="8" t="n">
        <v>1995</v>
      </c>
      <c r="C2" s="18">
        <f>IF(Categorias!C3="","",Categorias!C3)</f>
        <v/>
      </c>
      <c r="D2" s="18">
        <f>IF(Categorias!H3="","",Categorias!H3)</f>
        <v/>
      </c>
      <c r="E2" s="17">
        <f>IFERROR(IF(INDEX(Gini!$C$2:$C$377,MATCH($A2&amp;"|"&amp;$B2,Gini!$E$2:$E$377,0))="","",INDEX(Gini!$C$2:$C$377,MATCH($A2&amp;"|"&amp;$B2,Gini!$E$2:$E$377,0))),"")</f>
        <v/>
      </c>
      <c r="F2" s="19">
        <f>IFERROR(IF(INDEX(Corrupcion!$E$2:$E$377,MATCH($A2&amp;"|"&amp;$B2,Corrupcion!$H$2:$H$377,0))="","",INDEX(Corrupcion!$E$2:$E$377,MATCH($A2&amp;"|"&amp;$B2,Corrupcion!$H$2:$H$377,0))),"")</f>
        <v/>
      </c>
      <c r="G2" s="20">
        <f>IFERROR(IF(INDEX(Corrupcion!$F$2:$F$377,MATCH($A2&amp;"|"&amp;$B2,Corrupcion!$H$2:$H$377,0))="","",INDEX(Corrupcion!$F$2:$F$377,MATCH($A2&amp;"|"&amp;$B2,Corrupcion!$H$2:$H$377,0))),"")</f>
        <v/>
      </c>
      <c r="H2" s="17">
        <f>IFERROR(IF(INDEX(Corrupcion!$G$2:$G$377,MATCH($A2&amp;"|"&amp;$B2,Corrupcion!$H$2:$H$377,0))="","",INDEX(Corrupcion!$G$2:$G$377,MATCH($A2&amp;"|"&amp;$B2,Corrupcion!$H$2:$H$377,0))),"")</f>
        <v/>
      </c>
      <c r="I2" s="8">
        <f>IF(COUNTBLANK(C2:E2)+COUNTBLANK(F2)=0,1,0)</f>
        <v/>
      </c>
      <c r="J2" s="8">
        <f>IF(COUNTBLANK(C2:E2)+COUNTBLANK(G2)=0,1,0)</f>
        <v/>
      </c>
      <c r="K2" s="8">
        <f>IF(COUNTBLANK(C2:E2)+COUNTBLANK(H2)=0,1,0)</f>
        <v/>
      </c>
    </row>
    <row r="3">
      <c r="A3" s="8" t="inlineStr">
        <is>
          <t>Argentina</t>
        </is>
      </c>
      <c r="B3" s="8" t="n">
        <v>1996</v>
      </c>
      <c r="C3" s="18">
        <f>IF(Categorias!C4="","",Categorias!C4)</f>
        <v/>
      </c>
      <c r="D3" s="18">
        <f>IF(Categorias!H4="","",Categorias!H4)</f>
        <v/>
      </c>
      <c r="E3" s="17">
        <f>IFERROR(IF(INDEX(Gini!$C$2:$C$377,MATCH($A3&amp;"|"&amp;$B3,Gini!$E$2:$E$377,0))="","",INDEX(Gini!$C$2:$C$377,MATCH($A3&amp;"|"&amp;$B3,Gini!$E$2:$E$377,0))),"")</f>
        <v/>
      </c>
      <c r="F3" s="19">
        <f>IFERROR(IF(INDEX(Corrupcion!$E$2:$E$377,MATCH($A3&amp;"|"&amp;$B3,Corrupcion!$H$2:$H$377,0))="","",INDEX(Corrupcion!$E$2:$E$377,MATCH($A3&amp;"|"&amp;$B3,Corrupcion!$H$2:$H$377,0))),"")</f>
        <v/>
      </c>
      <c r="G3" s="20">
        <f>IFERROR(IF(INDEX(Corrupcion!$F$2:$F$377,MATCH($A3&amp;"|"&amp;$B3,Corrupcion!$H$2:$H$377,0))="","",INDEX(Corrupcion!$F$2:$F$377,MATCH($A3&amp;"|"&amp;$B3,Corrupcion!$H$2:$H$377,0))),"")</f>
        <v/>
      </c>
      <c r="H3" s="17">
        <f>IFERROR(IF(INDEX(Corrupcion!$G$2:$G$377,MATCH($A3&amp;"|"&amp;$B3,Corrupcion!$H$2:$H$377,0))="","",INDEX(Corrupcion!$G$2:$G$377,MATCH($A3&amp;"|"&amp;$B3,Corrupcion!$H$2:$H$377,0))),"")</f>
        <v/>
      </c>
      <c r="I3" s="8">
        <f>IF(COUNTBLANK(C3:E3)+COUNTBLANK(F3)=0,1,0)</f>
        <v/>
      </c>
      <c r="J3" s="8">
        <f>IF(COUNTBLANK(C3:E3)+COUNTBLANK(G3)=0,1,0)</f>
        <v/>
      </c>
      <c r="K3" s="8">
        <f>IF(COUNTBLANK(C3:E3)+COUNTBLANK(H3)=0,1,0)</f>
        <v/>
      </c>
    </row>
    <row r="4">
      <c r="A4" s="8" t="inlineStr">
        <is>
          <t>Argentina</t>
        </is>
      </c>
      <c r="B4" s="8" t="n">
        <v>1997</v>
      </c>
      <c r="C4" s="18">
        <f>IF(Categorias!C5="","",Categorias!C5)</f>
        <v/>
      </c>
      <c r="D4" s="18">
        <f>IF(Categorias!H5="","",Categorias!H5)</f>
        <v/>
      </c>
      <c r="E4" s="17">
        <f>IFERROR(IF(INDEX(Gini!$C$2:$C$377,MATCH($A4&amp;"|"&amp;$B4,Gini!$E$2:$E$377,0))="","",INDEX(Gini!$C$2:$C$377,MATCH($A4&amp;"|"&amp;$B4,Gini!$E$2:$E$377,0))),"")</f>
        <v/>
      </c>
      <c r="F4" s="19">
        <f>IFERROR(IF(INDEX(Corrupcion!$E$2:$E$377,MATCH($A4&amp;"|"&amp;$B4,Corrupcion!$H$2:$H$377,0))="","",INDEX(Corrupcion!$E$2:$E$377,MATCH($A4&amp;"|"&amp;$B4,Corrupcion!$H$2:$H$377,0))),"")</f>
        <v/>
      </c>
      <c r="G4" s="20">
        <f>IFERROR(IF(INDEX(Corrupcion!$F$2:$F$377,MATCH($A4&amp;"|"&amp;$B4,Corrupcion!$H$2:$H$377,0))="","",INDEX(Corrupcion!$F$2:$F$377,MATCH($A4&amp;"|"&amp;$B4,Corrupcion!$H$2:$H$377,0))),"")</f>
        <v/>
      </c>
      <c r="H4" s="17">
        <f>IFERROR(IF(INDEX(Corrupcion!$G$2:$G$377,MATCH($A4&amp;"|"&amp;$B4,Corrupcion!$H$2:$H$377,0))="","",INDEX(Corrupcion!$G$2:$G$377,MATCH($A4&amp;"|"&amp;$B4,Corrupcion!$H$2:$H$377,0))),"")</f>
        <v/>
      </c>
      <c r="I4" s="8">
        <f>IF(COUNTBLANK(C4:E4)+COUNTBLANK(F4)=0,1,0)</f>
        <v/>
      </c>
      <c r="J4" s="8">
        <f>IF(COUNTBLANK(C4:E4)+COUNTBLANK(G4)=0,1,0)</f>
        <v/>
      </c>
      <c r="K4" s="8">
        <f>IF(COUNTBLANK(C4:E4)+COUNTBLANK(H4)=0,1,0)</f>
        <v/>
      </c>
    </row>
    <row r="5">
      <c r="A5" s="8" t="inlineStr">
        <is>
          <t>Argentina</t>
        </is>
      </c>
      <c r="B5" s="8" t="n">
        <v>1998</v>
      </c>
      <c r="C5" s="18">
        <f>IF(Categorias!C6="","",Categorias!C6)</f>
        <v/>
      </c>
      <c r="D5" s="18">
        <f>IF(Categorias!H6="","",Categorias!H6)</f>
        <v/>
      </c>
      <c r="E5" s="17">
        <f>IFERROR(IF(INDEX(Gini!$C$2:$C$377,MATCH($A5&amp;"|"&amp;$B5,Gini!$E$2:$E$377,0))="","",INDEX(Gini!$C$2:$C$377,MATCH($A5&amp;"|"&amp;$B5,Gini!$E$2:$E$377,0))),"")</f>
        <v/>
      </c>
      <c r="F5" s="19">
        <f>IFERROR(IF(INDEX(Corrupcion!$E$2:$E$377,MATCH($A5&amp;"|"&amp;$B5,Corrupcion!$H$2:$H$377,0))="","",INDEX(Corrupcion!$E$2:$E$377,MATCH($A5&amp;"|"&amp;$B5,Corrupcion!$H$2:$H$377,0))),"")</f>
        <v/>
      </c>
      <c r="G5" s="20">
        <f>IFERROR(IF(INDEX(Corrupcion!$F$2:$F$377,MATCH($A5&amp;"|"&amp;$B5,Corrupcion!$H$2:$H$377,0))="","",INDEX(Corrupcion!$F$2:$F$377,MATCH($A5&amp;"|"&amp;$B5,Corrupcion!$H$2:$H$377,0))),"")</f>
        <v/>
      </c>
      <c r="H5" s="17">
        <f>IFERROR(IF(INDEX(Corrupcion!$G$2:$G$377,MATCH($A5&amp;"|"&amp;$B5,Corrupcion!$H$2:$H$377,0))="","",INDEX(Corrupcion!$G$2:$G$377,MATCH($A5&amp;"|"&amp;$B5,Corrupcion!$H$2:$H$377,0))),"")</f>
        <v/>
      </c>
      <c r="I5" s="8">
        <f>IF(COUNTBLANK(C5:E5)+COUNTBLANK(F5)=0,1,0)</f>
        <v/>
      </c>
      <c r="J5" s="8">
        <f>IF(COUNTBLANK(C5:E5)+COUNTBLANK(G5)=0,1,0)</f>
        <v/>
      </c>
      <c r="K5" s="8">
        <f>IF(COUNTBLANK(C5:E5)+COUNTBLANK(H5)=0,1,0)</f>
        <v/>
      </c>
    </row>
    <row r="6">
      <c r="A6" s="8" t="inlineStr">
        <is>
          <t>Argentina</t>
        </is>
      </c>
      <c r="B6" s="8" t="n">
        <v>2000</v>
      </c>
      <c r="C6" s="18">
        <f>IF(Categorias!C7="","",Categorias!C7)</f>
        <v/>
      </c>
      <c r="D6" s="18">
        <f>IF(Categorias!H7="","",Categorias!H7)</f>
        <v/>
      </c>
      <c r="E6" s="17">
        <f>IFERROR(IF(INDEX(Gini!$C$2:$C$377,MATCH($A6&amp;"|"&amp;$B6,Gini!$E$2:$E$377,0))="","",INDEX(Gini!$C$2:$C$377,MATCH($A6&amp;"|"&amp;$B6,Gini!$E$2:$E$377,0))),"")</f>
        <v/>
      </c>
      <c r="F6" s="19">
        <f>IFERROR(IF(INDEX(Corrupcion!$E$2:$E$377,MATCH($A6&amp;"|"&amp;$B6,Corrupcion!$H$2:$H$377,0))="","",INDEX(Corrupcion!$E$2:$E$377,MATCH($A6&amp;"|"&amp;$B6,Corrupcion!$H$2:$H$377,0))),"")</f>
        <v/>
      </c>
      <c r="G6" s="20">
        <f>IFERROR(IF(INDEX(Corrupcion!$F$2:$F$377,MATCH($A6&amp;"|"&amp;$B6,Corrupcion!$H$2:$H$377,0))="","",INDEX(Corrupcion!$F$2:$F$377,MATCH($A6&amp;"|"&amp;$B6,Corrupcion!$H$2:$H$377,0))),"")</f>
        <v/>
      </c>
      <c r="H6" s="17">
        <f>IFERROR(IF(INDEX(Corrupcion!$G$2:$G$377,MATCH($A6&amp;"|"&amp;$B6,Corrupcion!$H$2:$H$377,0))="","",INDEX(Corrupcion!$G$2:$G$377,MATCH($A6&amp;"|"&amp;$B6,Corrupcion!$H$2:$H$377,0))),"")</f>
        <v/>
      </c>
      <c r="I6" s="8">
        <f>IF(COUNTBLANK(C6:E6)+COUNTBLANK(F6)=0,1,0)</f>
        <v/>
      </c>
      <c r="J6" s="8">
        <f>IF(COUNTBLANK(C6:E6)+COUNTBLANK(G6)=0,1,0)</f>
        <v/>
      </c>
      <c r="K6" s="8">
        <f>IF(COUNTBLANK(C6:E6)+COUNTBLANK(H6)=0,1,0)</f>
        <v/>
      </c>
    </row>
    <row r="7">
      <c r="A7" s="8" t="inlineStr">
        <is>
          <t>Argentina</t>
        </is>
      </c>
      <c r="B7" s="8" t="n">
        <v>2001</v>
      </c>
      <c r="C7" s="18">
        <f>IF(Categorias!C8="","",Categorias!C8)</f>
        <v/>
      </c>
      <c r="D7" s="18">
        <f>IF(Categorias!H8="","",Categorias!H8)</f>
        <v/>
      </c>
      <c r="E7" s="17">
        <f>IFERROR(IF(INDEX(Gini!$C$2:$C$377,MATCH($A7&amp;"|"&amp;$B7,Gini!$E$2:$E$377,0))="","",INDEX(Gini!$C$2:$C$377,MATCH($A7&amp;"|"&amp;$B7,Gini!$E$2:$E$377,0))),"")</f>
        <v/>
      </c>
      <c r="F7" s="19">
        <f>IFERROR(IF(INDEX(Corrupcion!$E$2:$E$377,MATCH($A7&amp;"|"&amp;$B7,Corrupcion!$H$2:$H$377,0))="","",INDEX(Corrupcion!$E$2:$E$377,MATCH($A7&amp;"|"&amp;$B7,Corrupcion!$H$2:$H$377,0))),"")</f>
        <v/>
      </c>
      <c r="G7" s="20">
        <f>IFERROR(IF(INDEX(Corrupcion!$F$2:$F$377,MATCH($A7&amp;"|"&amp;$B7,Corrupcion!$H$2:$H$377,0))="","",INDEX(Corrupcion!$F$2:$F$377,MATCH($A7&amp;"|"&amp;$B7,Corrupcion!$H$2:$H$377,0))),"")</f>
        <v/>
      </c>
      <c r="H7" s="17">
        <f>IFERROR(IF(INDEX(Corrupcion!$G$2:$G$377,MATCH($A7&amp;"|"&amp;$B7,Corrupcion!$H$2:$H$377,0))="","",INDEX(Corrupcion!$G$2:$G$377,MATCH($A7&amp;"|"&amp;$B7,Corrupcion!$H$2:$H$377,0))),"")</f>
        <v/>
      </c>
      <c r="I7" s="8">
        <f>IF(COUNTBLANK(C7:E7)+COUNTBLANK(F7)=0,1,0)</f>
        <v/>
      </c>
      <c r="J7" s="8">
        <f>IF(COUNTBLANK(C7:E7)+COUNTBLANK(G7)=0,1,0)</f>
        <v/>
      </c>
      <c r="K7" s="8">
        <f>IF(COUNTBLANK(C7:E7)+COUNTBLANK(H7)=0,1,0)</f>
        <v/>
      </c>
    </row>
    <row r="8">
      <c r="A8" s="8" t="inlineStr">
        <is>
          <t>Argentina</t>
        </is>
      </c>
      <c r="B8" s="8" t="n">
        <v>2002</v>
      </c>
      <c r="C8" s="18">
        <f>IF(Categorias!C9="","",Categorias!C9)</f>
        <v/>
      </c>
      <c r="D8" s="18">
        <f>IF(Categorias!H9="","",Categorias!H9)</f>
        <v/>
      </c>
      <c r="E8" s="17">
        <f>IFERROR(IF(INDEX(Gini!$C$2:$C$377,MATCH($A8&amp;"|"&amp;$B8,Gini!$E$2:$E$377,0))="","",INDEX(Gini!$C$2:$C$377,MATCH($A8&amp;"|"&amp;$B8,Gini!$E$2:$E$377,0))),"")</f>
        <v/>
      </c>
      <c r="F8" s="19">
        <f>IFERROR(IF(INDEX(Corrupcion!$E$2:$E$377,MATCH($A8&amp;"|"&amp;$B8,Corrupcion!$H$2:$H$377,0))="","",INDEX(Corrupcion!$E$2:$E$377,MATCH($A8&amp;"|"&amp;$B8,Corrupcion!$H$2:$H$377,0))),"")</f>
        <v/>
      </c>
      <c r="G8" s="20">
        <f>IFERROR(IF(INDEX(Corrupcion!$F$2:$F$377,MATCH($A8&amp;"|"&amp;$B8,Corrupcion!$H$2:$H$377,0))="","",INDEX(Corrupcion!$F$2:$F$377,MATCH($A8&amp;"|"&amp;$B8,Corrupcion!$H$2:$H$377,0))),"")</f>
        <v/>
      </c>
      <c r="H8" s="17">
        <f>IFERROR(IF(INDEX(Corrupcion!$G$2:$G$377,MATCH($A8&amp;"|"&amp;$B8,Corrupcion!$H$2:$H$377,0))="","",INDEX(Corrupcion!$G$2:$G$377,MATCH($A8&amp;"|"&amp;$B8,Corrupcion!$H$2:$H$377,0))),"")</f>
        <v/>
      </c>
      <c r="I8" s="8">
        <f>IF(COUNTBLANK(C8:E8)+COUNTBLANK(F8)=0,1,0)</f>
        <v/>
      </c>
      <c r="J8" s="8">
        <f>IF(COUNTBLANK(C8:E8)+COUNTBLANK(G8)=0,1,0)</f>
        <v/>
      </c>
      <c r="K8" s="8">
        <f>IF(COUNTBLANK(C8:E8)+COUNTBLANK(H8)=0,1,0)</f>
        <v/>
      </c>
    </row>
    <row r="9">
      <c r="A9" s="8" t="inlineStr">
        <is>
          <t>Argentina</t>
        </is>
      </c>
      <c r="B9" s="8" t="n">
        <v>2003</v>
      </c>
      <c r="C9" s="18">
        <f>IF(Categorias!C10="","",Categorias!C10)</f>
        <v/>
      </c>
      <c r="D9" s="18">
        <f>IF(Categorias!H10="","",Categorias!H10)</f>
        <v/>
      </c>
      <c r="E9" s="17">
        <f>IFERROR(IF(INDEX(Gini!$C$2:$C$377,MATCH($A9&amp;"|"&amp;$B9,Gini!$E$2:$E$377,0))="","",INDEX(Gini!$C$2:$C$377,MATCH($A9&amp;"|"&amp;$B9,Gini!$E$2:$E$377,0))),"")</f>
        <v/>
      </c>
      <c r="F9" s="19">
        <f>IFERROR(IF(INDEX(Corrupcion!$E$2:$E$377,MATCH($A9&amp;"|"&amp;$B9,Corrupcion!$H$2:$H$377,0))="","",INDEX(Corrupcion!$E$2:$E$377,MATCH($A9&amp;"|"&amp;$B9,Corrupcion!$H$2:$H$377,0))),"")</f>
        <v/>
      </c>
      <c r="G9" s="20">
        <f>IFERROR(IF(INDEX(Corrupcion!$F$2:$F$377,MATCH($A9&amp;"|"&amp;$B9,Corrupcion!$H$2:$H$377,0))="","",INDEX(Corrupcion!$F$2:$F$377,MATCH($A9&amp;"|"&amp;$B9,Corrupcion!$H$2:$H$377,0))),"")</f>
        <v/>
      </c>
      <c r="H9" s="17">
        <f>IFERROR(IF(INDEX(Corrupcion!$G$2:$G$377,MATCH($A9&amp;"|"&amp;$B9,Corrupcion!$H$2:$H$377,0))="","",INDEX(Corrupcion!$G$2:$G$377,MATCH($A9&amp;"|"&amp;$B9,Corrupcion!$H$2:$H$377,0))),"")</f>
        <v/>
      </c>
      <c r="I9" s="8">
        <f>IF(COUNTBLANK(C9:E9)+COUNTBLANK(F9)=0,1,0)</f>
        <v/>
      </c>
      <c r="J9" s="8">
        <f>IF(COUNTBLANK(C9:E9)+COUNTBLANK(G9)=0,1,0)</f>
        <v/>
      </c>
      <c r="K9" s="8">
        <f>IF(COUNTBLANK(C9:E9)+COUNTBLANK(H9)=0,1,0)</f>
        <v/>
      </c>
    </row>
    <row r="10">
      <c r="A10" s="8" t="inlineStr">
        <is>
          <t>Argentina</t>
        </is>
      </c>
      <c r="B10" s="8" t="n">
        <v>2004</v>
      </c>
      <c r="C10" s="18">
        <f>IF(Categorias!C11="","",Categorias!C11)</f>
        <v/>
      </c>
      <c r="D10" s="18">
        <f>IF(Categorias!H11="","",Categorias!H11)</f>
        <v/>
      </c>
      <c r="E10" s="17">
        <f>IFERROR(IF(INDEX(Gini!$C$2:$C$377,MATCH($A10&amp;"|"&amp;$B10,Gini!$E$2:$E$377,0))="","",INDEX(Gini!$C$2:$C$377,MATCH($A10&amp;"|"&amp;$B10,Gini!$E$2:$E$377,0))),"")</f>
        <v/>
      </c>
      <c r="F10" s="19">
        <f>IFERROR(IF(INDEX(Corrupcion!$E$2:$E$377,MATCH($A10&amp;"|"&amp;$B10,Corrupcion!$H$2:$H$377,0))="","",INDEX(Corrupcion!$E$2:$E$377,MATCH($A10&amp;"|"&amp;$B10,Corrupcion!$H$2:$H$377,0))),"")</f>
        <v/>
      </c>
      <c r="G10" s="20">
        <f>IFERROR(IF(INDEX(Corrupcion!$F$2:$F$377,MATCH($A10&amp;"|"&amp;$B10,Corrupcion!$H$2:$H$377,0))="","",INDEX(Corrupcion!$F$2:$F$377,MATCH($A10&amp;"|"&amp;$B10,Corrupcion!$H$2:$H$377,0))),"")</f>
        <v/>
      </c>
      <c r="H10" s="17">
        <f>IFERROR(IF(INDEX(Corrupcion!$G$2:$G$377,MATCH($A10&amp;"|"&amp;$B10,Corrupcion!$H$2:$H$377,0))="","",INDEX(Corrupcion!$G$2:$G$377,MATCH($A10&amp;"|"&amp;$B10,Corrupcion!$H$2:$H$377,0))),"")</f>
        <v/>
      </c>
      <c r="I10" s="8">
        <f>IF(COUNTBLANK(C10:E10)+COUNTBLANK(F10)=0,1,0)</f>
        <v/>
      </c>
      <c r="J10" s="8">
        <f>IF(COUNTBLANK(C10:E10)+COUNTBLANK(G10)=0,1,0)</f>
        <v/>
      </c>
      <c r="K10" s="8">
        <f>IF(COUNTBLANK(C10:E10)+COUNTBLANK(H10)=0,1,0)</f>
        <v/>
      </c>
    </row>
    <row r="11">
      <c r="A11" s="8" t="inlineStr">
        <is>
          <t>Argentina</t>
        </is>
      </c>
      <c r="B11" s="8" t="n">
        <v>2005</v>
      </c>
      <c r="C11" s="18">
        <f>IF(Categorias!C12="","",Categorias!C12)</f>
        <v/>
      </c>
      <c r="D11" s="18">
        <f>IF(Categorias!H12="","",Categorias!H12)</f>
        <v/>
      </c>
      <c r="E11" s="17">
        <f>IFERROR(IF(INDEX(Gini!$C$2:$C$377,MATCH($A11&amp;"|"&amp;$B11,Gini!$E$2:$E$377,0))="","",INDEX(Gini!$C$2:$C$377,MATCH($A11&amp;"|"&amp;$B11,Gini!$E$2:$E$377,0))),"")</f>
        <v/>
      </c>
      <c r="F11" s="19">
        <f>IFERROR(IF(INDEX(Corrupcion!$E$2:$E$377,MATCH($A11&amp;"|"&amp;$B11,Corrupcion!$H$2:$H$377,0))="","",INDEX(Corrupcion!$E$2:$E$377,MATCH($A11&amp;"|"&amp;$B11,Corrupcion!$H$2:$H$377,0))),"")</f>
        <v/>
      </c>
      <c r="G11" s="20">
        <f>IFERROR(IF(INDEX(Corrupcion!$F$2:$F$377,MATCH($A11&amp;"|"&amp;$B11,Corrupcion!$H$2:$H$377,0))="","",INDEX(Corrupcion!$F$2:$F$377,MATCH($A11&amp;"|"&amp;$B11,Corrupcion!$H$2:$H$377,0))),"")</f>
        <v/>
      </c>
      <c r="H11" s="17">
        <f>IFERROR(IF(INDEX(Corrupcion!$G$2:$G$377,MATCH($A11&amp;"|"&amp;$B11,Corrupcion!$H$2:$H$377,0))="","",INDEX(Corrupcion!$G$2:$G$377,MATCH($A11&amp;"|"&amp;$B11,Corrupcion!$H$2:$H$377,0))),"")</f>
        <v/>
      </c>
      <c r="I11" s="8">
        <f>IF(COUNTBLANK(C11:E11)+COUNTBLANK(F11)=0,1,0)</f>
        <v/>
      </c>
      <c r="J11" s="8">
        <f>IF(COUNTBLANK(C11:E11)+COUNTBLANK(G11)=0,1,0)</f>
        <v/>
      </c>
      <c r="K11" s="8">
        <f>IF(COUNTBLANK(C11:E11)+COUNTBLANK(H11)=0,1,0)</f>
        <v/>
      </c>
    </row>
    <row r="12">
      <c r="A12" s="8" t="inlineStr">
        <is>
          <t>Argentina</t>
        </is>
      </c>
      <c r="B12" s="8" t="n">
        <v>2006</v>
      </c>
      <c r="C12" s="18">
        <f>IF(Categorias!C13="","",Categorias!C13)</f>
        <v/>
      </c>
      <c r="D12" s="18">
        <f>IF(Categorias!H13="","",Categorias!H13)</f>
        <v/>
      </c>
      <c r="E12" s="17">
        <f>IFERROR(IF(INDEX(Gini!$C$2:$C$377,MATCH($A12&amp;"|"&amp;$B12,Gini!$E$2:$E$377,0))="","",INDEX(Gini!$C$2:$C$377,MATCH($A12&amp;"|"&amp;$B12,Gini!$E$2:$E$377,0))),"")</f>
        <v/>
      </c>
      <c r="F12" s="19">
        <f>IFERROR(IF(INDEX(Corrupcion!$E$2:$E$377,MATCH($A12&amp;"|"&amp;$B12,Corrupcion!$H$2:$H$377,0))="","",INDEX(Corrupcion!$E$2:$E$377,MATCH($A12&amp;"|"&amp;$B12,Corrupcion!$H$2:$H$377,0))),"")</f>
        <v/>
      </c>
      <c r="G12" s="20">
        <f>IFERROR(IF(INDEX(Corrupcion!$F$2:$F$377,MATCH($A12&amp;"|"&amp;$B12,Corrupcion!$H$2:$H$377,0))="","",INDEX(Corrupcion!$F$2:$F$377,MATCH($A12&amp;"|"&amp;$B12,Corrupcion!$H$2:$H$377,0))),"")</f>
        <v/>
      </c>
      <c r="H12" s="17">
        <f>IFERROR(IF(INDEX(Corrupcion!$G$2:$G$377,MATCH($A12&amp;"|"&amp;$B12,Corrupcion!$H$2:$H$377,0))="","",INDEX(Corrupcion!$G$2:$G$377,MATCH($A12&amp;"|"&amp;$B12,Corrupcion!$H$2:$H$377,0))),"")</f>
        <v/>
      </c>
      <c r="I12" s="8">
        <f>IF(COUNTBLANK(C12:E12)+COUNTBLANK(F12)=0,1,0)</f>
        <v/>
      </c>
      <c r="J12" s="8">
        <f>IF(COUNTBLANK(C12:E12)+COUNTBLANK(G12)=0,1,0)</f>
        <v/>
      </c>
      <c r="K12" s="8">
        <f>IF(COUNTBLANK(C12:E12)+COUNTBLANK(H12)=0,1,0)</f>
        <v/>
      </c>
    </row>
    <row r="13">
      <c r="A13" s="8" t="inlineStr">
        <is>
          <t>Argentina</t>
        </is>
      </c>
      <c r="B13" s="8" t="n">
        <v>2007</v>
      </c>
      <c r="C13" s="18">
        <f>IF(Categorias!C14="","",Categorias!C14)</f>
        <v/>
      </c>
      <c r="D13" s="18">
        <f>IF(Categorias!H14="","",Categorias!H14)</f>
        <v/>
      </c>
      <c r="E13" s="17">
        <f>IFERROR(IF(INDEX(Gini!$C$2:$C$377,MATCH($A13&amp;"|"&amp;$B13,Gini!$E$2:$E$377,0))="","",INDEX(Gini!$C$2:$C$377,MATCH($A13&amp;"|"&amp;$B13,Gini!$E$2:$E$377,0))),"")</f>
        <v/>
      </c>
      <c r="F13" s="19">
        <f>IFERROR(IF(INDEX(Corrupcion!$E$2:$E$377,MATCH($A13&amp;"|"&amp;$B13,Corrupcion!$H$2:$H$377,0))="","",INDEX(Corrupcion!$E$2:$E$377,MATCH($A13&amp;"|"&amp;$B13,Corrupcion!$H$2:$H$377,0))),"")</f>
        <v/>
      </c>
      <c r="G13" s="20">
        <f>IFERROR(IF(INDEX(Corrupcion!$F$2:$F$377,MATCH($A13&amp;"|"&amp;$B13,Corrupcion!$H$2:$H$377,0))="","",INDEX(Corrupcion!$F$2:$F$377,MATCH($A13&amp;"|"&amp;$B13,Corrupcion!$H$2:$H$377,0))),"")</f>
        <v/>
      </c>
      <c r="H13" s="17">
        <f>IFERROR(IF(INDEX(Corrupcion!$G$2:$G$377,MATCH($A13&amp;"|"&amp;$B13,Corrupcion!$H$2:$H$377,0))="","",INDEX(Corrupcion!$G$2:$G$377,MATCH($A13&amp;"|"&amp;$B13,Corrupcion!$H$2:$H$377,0))),"")</f>
        <v/>
      </c>
      <c r="I13" s="8">
        <f>IF(COUNTBLANK(C13:E13)+COUNTBLANK(F13)=0,1,0)</f>
        <v/>
      </c>
      <c r="J13" s="8">
        <f>IF(COUNTBLANK(C13:E13)+COUNTBLANK(G13)=0,1,0)</f>
        <v/>
      </c>
      <c r="K13" s="8">
        <f>IF(COUNTBLANK(C13:E13)+COUNTBLANK(H13)=0,1,0)</f>
        <v/>
      </c>
    </row>
    <row r="14">
      <c r="A14" s="8" t="inlineStr">
        <is>
          <t>Argentina</t>
        </is>
      </c>
      <c r="B14" s="8" t="n">
        <v>2008</v>
      </c>
      <c r="C14" s="18">
        <f>IF(Categorias!C15="","",Categorias!C15)</f>
        <v/>
      </c>
      <c r="D14" s="18">
        <f>IF(Categorias!H15="","",Categorias!H15)</f>
        <v/>
      </c>
      <c r="E14" s="17">
        <f>IFERROR(IF(INDEX(Gini!$C$2:$C$377,MATCH($A14&amp;"|"&amp;$B14,Gini!$E$2:$E$377,0))="","",INDEX(Gini!$C$2:$C$377,MATCH($A14&amp;"|"&amp;$B14,Gini!$E$2:$E$377,0))),"")</f>
        <v/>
      </c>
      <c r="F14" s="19">
        <f>IFERROR(IF(INDEX(Corrupcion!$E$2:$E$377,MATCH($A14&amp;"|"&amp;$B14,Corrupcion!$H$2:$H$377,0))="","",INDEX(Corrupcion!$E$2:$E$377,MATCH($A14&amp;"|"&amp;$B14,Corrupcion!$H$2:$H$377,0))),"")</f>
        <v/>
      </c>
      <c r="G14" s="20">
        <f>IFERROR(IF(INDEX(Corrupcion!$F$2:$F$377,MATCH($A14&amp;"|"&amp;$B14,Corrupcion!$H$2:$H$377,0))="","",INDEX(Corrupcion!$F$2:$F$377,MATCH($A14&amp;"|"&amp;$B14,Corrupcion!$H$2:$H$377,0))),"")</f>
        <v/>
      </c>
      <c r="H14" s="17">
        <f>IFERROR(IF(INDEX(Corrupcion!$G$2:$G$377,MATCH($A14&amp;"|"&amp;$B14,Corrupcion!$H$2:$H$377,0))="","",INDEX(Corrupcion!$G$2:$G$377,MATCH($A14&amp;"|"&amp;$B14,Corrupcion!$H$2:$H$377,0))),"")</f>
        <v/>
      </c>
      <c r="I14" s="8">
        <f>IF(COUNTBLANK(C14:E14)+COUNTBLANK(F14)=0,1,0)</f>
        <v/>
      </c>
      <c r="J14" s="8">
        <f>IF(COUNTBLANK(C14:E14)+COUNTBLANK(G14)=0,1,0)</f>
        <v/>
      </c>
      <c r="K14" s="8">
        <f>IF(COUNTBLANK(C14:E14)+COUNTBLANK(H14)=0,1,0)</f>
        <v/>
      </c>
    </row>
    <row r="15">
      <c r="A15" s="8" t="inlineStr">
        <is>
          <t>Argentina</t>
        </is>
      </c>
      <c r="B15" s="8" t="n">
        <v>2009</v>
      </c>
      <c r="C15" s="18">
        <f>IF(Categorias!C16="","",Categorias!C16)</f>
        <v/>
      </c>
      <c r="D15" s="18">
        <f>IF(Categorias!H16="","",Categorias!H16)</f>
        <v/>
      </c>
      <c r="E15" s="17">
        <f>IFERROR(IF(INDEX(Gini!$C$2:$C$377,MATCH($A15&amp;"|"&amp;$B15,Gini!$E$2:$E$377,0))="","",INDEX(Gini!$C$2:$C$377,MATCH($A15&amp;"|"&amp;$B15,Gini!$E$2:$E$377,0))),"")</f>
        <v/>
      </c>
      <c r="F15" s="19">
        <f>IFERROR(IF(INDEX(Corrupcion!$E$2:$E$377,MATCH($A15&amp;"|"&amp;$B15,Corrupcion!$H$2:$H$377,0))="","",INDEX(Corrupcion!$E$2:$E$377,MATCH($A15&amp;"|"&amp;$B15,Corrupcion!$H$2:$H$377,0))),"")</f>
        <v/>
      </c>
      <c r="G15" s="20">
        <f>IFERROR(IF(INDEX(Corrupcion!$F$2:$F$377,MATCH($A15&amp;"|"&amp;$B15,Corrupcion!$H$2:$H$377,0))="","",INDEX(Corrupcion!$F$2:$F$377,MATCH($A15&amp;"|"&amp;$B15,Corrupcion!$H$2:$H$377,0))),"")</f>
        <v/>
      </c>
      <c r="H15" s="17">
        <f>IFERROR(IF(INDEX(Corrupcion!$G$2:$G$377,MATCH($A15&amp;"|"&amp;$B15,Corrupcion!$H$2:$H$377,0))="","",INDEX(Corrupcion!$G$2:$G$377,MATCH($A15&amp;"|"&amp;$B15,Corrupcion!$H$2:$H$377,0))),"")</f>
        <v/>
      </c>
      <c r="I15" s="8">
        <f>IF(COUNTBLANK(C15:E15)+COUNTBLANK(F15)=0,1,0)</f>
        <v/>
      </c>
      <c r="J15" s="8">
        <f>IF(COUNTBLANK(C15:E15)+COUNTBLANK(G15)=0,1,0)</f>
        <v/>
      </c>
      <c r="K15" s="8">
        <f>IF(COUNTBLANK(C15:E15)+COUNTBLANK(H15)=0,1,0)</f>
        <v/>
      </c>
    </row>
    <row r="16">
      <c r="A16" s="8" t="inlineStr">
        <is>
          <t>Argentina</t>
        </is>
      </c>
      <c r="B16" s="8" t="n">
        <v>2010</v>
      </c>
      <c r="C16" s="18">
        <f>IF(Categorias!C17="","",Categorias!C17)</f>
        <v/>
      </c>
      <c r="D16" s="18">
        <f>IF(Categorias!H17="","",Categorias!H17)</f>
        <v/>
      </c>
      <c r="E16" s="17">
        <f>IFERROR(IF(INDEX(Gini!$C$2:$C$377,MATCH($A16&amp;"|"&amp;$B16,Gini!$E$2:$E$377,0))="","",INDEX(Gini!$C$2:$C$377,MATCH($A16&amp;"|"&amp;$B16,Gini!$E$2:$E$377,0))),"")</f>
        <v/>
      </c>
      <c r="F16" s="19">
        <f>IFERROR(IF(INDEX(Corrupcion!$E$2:$E$377,MATCH($A16&amp;"|"&amp;$B16,Corrupcion!$H$2:$H$377,0))="","",INDEX(Corrupcion!$E$2:$E$377,MATCH($A16&amp;"|"&amp;$B16,Corrupcion!$H$2:$H$377,0))),"")</f>
        <v/>
      </c>
      <c r="G16" s="20">
        <f>IFERROR(IF(INDEX(Corrupcion!$F$2:$F$377,MATCH($A16&amp;"|"&amp;$B16,Corrupcion!$H$2:$H$377,0))="","",INDEX(Corrupcion!$F$2:$F$377,MATCH($A16&amp;"|"&amp;$B16,Corrupcion!$H$2:$H$377,0))),"")</f>
        <v/>
      </c>
      <c r="H16" s="17">
        <f>IFERROR(IF(INDEX(Corrupcion!$G$2:$G$377,MATCH($A16&amp;"|"&amp;$B16,Corrupcion!$H$2:$H$377,0))="","",INDEX(Corrupcion!$G$2:$G$377,MATCH($A16&amp;"|"&amp;$B16,Corrupcion!$H$2:$H$377,0))),"")</f>
        <v/>
      </c>
      <c r="I16" s="8">
        <f>IF(COUNTBLANK(C16:E16)+COUNTBLANK(F16)=0,1,0)</f>
        <v/>
      </c>
      <c r="J16" s="8">
        <f>IF(COUNTBLANK(C16:E16)+COUNTBLANK(G16)=0,1,0)</f>
        <v/>
      </c>
      <c r="K16" s="8">
        <f>IF(COUNTBLANK(C16:E16)+COUNTBLANK(H16)=0,1,0)</f>
        <v/>
      </c>
    </row>
    <row r="17">
      <c r="A17" s="8" t="inlineStr">
        <is>
          <t>Argentina</t>
        </is>
      </c>
      <c r="B17" s="8" t="n">
        <v>2011</v>
      </c>
      <c r="C17" s="18">
        <f>IF(Categorias!C18="","",Categorias!C18)</f>
        <v/>
      </c>
      <c r="D17" s="18">
        <f>IF(Categorias!H18="","",Categorias!H18)</f>
        <v/>
      </c>
      <c r="E17" s="17">
        <f>IFERROR(IF(INDEX(Gini!$C$2:$C$377,MATCH($A17&amp;"|"&amp;$B17,Gini!$E$2:$E$377,0))="","",INDEX(Gini!$C$2:$C$377,MATCH($A17&amp;"|"&amp;$B17,Gini!$E$2:$E$377,0))),"")</f>
        <v/>
      </c>
      <c r="F17" s="19">
        <f>IFERROR(IF(INDEX(Corrupcion!$E$2:$E$377,MATCH($A17&amp;"|"&amp;$B17,Corrupcion!$H$2:$H$377,0))="","",INDEX(Corrupcion!$E$2:$E$377,MATCH($A17&amp;"|"&amp;$B17,Corrupcion!$H$2:$H$377,0))),"")</f>
        <v/>
      </c>
      <c r="G17" s="20">
        <f>IFERROR(IF(INDEX(Corrupcion!$F$2:$F$377,MATCH($A17&amp;"|"&amp;$B17,Corrupcion!$H$2:$H$377,0))="","",INDEX(Corrupcion!$F$2:$F$377,MATCH($A17&amp;"|"&amp;$B17,Corrupcion!$H$2:$H$377,0))),"")</f>
        <v/>
      </c>
      <c r="H17" s="17">
        <f>IFERROR(IF(INDEX(Corrupcion!$G$2:$G$377,MATCH($A17&amp;"|"&amp;$B17,Corrupcion!$H$2:$H$377,0))="","",INDEX(Corrupcion!$G$2:$G$377,MATCH($A17&amp;"|"&amp;$B17,Corrupcion!$H$2:$H$377,0))),"")</f>
        <v/>
      </c>
      <c r="I17" s="8">
        <f>IF(COUNTBLANK(C17:E17)+COUNTBLANK(F17)=0,1,0)</f>
        <v/>
      </c>
      <c r="J17" s="8">
        <f>IF(COUNTBLANK(C17:E17)+COUNTBLANK(G17)=0,1,0)</f>
        <v/>
      </c>
      <c r="K17" s="8">
        <f>IF(COUNTBLANK(C17:E17)+COUNTBLANK(H17)=0,1,0)</f>
        <v/>
      </c>
    </row>
    <row r="18">
      <c r="A18" s="8" t="inlineStr">
        <is>
          <t>Argentina</t>
        </is>
      </c>
      <c r="B18" s="8" t="n">
        <v>2015</v>
      </c>
      <c r="C18" s="18">
        <f>IF(Categorias!C19="","",Categorias!C19)</f>
        <v/>
      </c>
      <c r="D18" s="18">
        <f>IF(Categorias!H19="","",Categorias!H19)</f>
        <v/>
      </c>
      <c r="E18" s="17">
        <f>IFERROR(IF(INDEX(Gini!$C$2:$C$377,MATCH($A18&amp;"|"&amp;$B18,Gini!$E$2:$E$377,0))="","",INDEX(Gini!$C$2:$C$377,MATCH($A18&amp;"|"&amp;$B18,Gini!$E$2:$E$377,0))),"")</f>
        <v/>
      </c>
      <c r="F18" s="19">
        <f>IFERROR(IF(INDEX(Corrupcion!$E$2:$E$377,MATCH($A18&amp;"|"&amp;$B18,Corrupcion!$H$2:$H$377,0))="","",INDEX(Corrupcion!$E$2:$E$377,MATCH($A18&amp;"|"&amp;$B18,Corrupcion!$H$2:$H$377,0))),"")</f>
        <v/>
      </c>
      <c r="G18" s="20">
        <f>IFERROR(IF(INDEX(Corrupcion!$F$2:$F$377,MATCH($A18&amp;"|"&amp;$B18,Corrupcion!$H$2:$H$377,0))="","",INDEX(Corrupcion!$F$2:$F$377,MATCH($A18&amp;"|"&amp;$B18,Corrupcion!$H$2:$H$377,0))),"")</f>
        <v/>
      </c>
      <c r="H18" s="17">
        <f>IFERROR(IF(INDEX(Corrupcion!$G$2:$G$377,MATCH($A18&amp;"|"&amp;$B18,Corrupcion!$H$2:$H$377,0))="","",INDEX(Corrupcion!$G$2:$G$377,MATCH($A18&amp;"|"&amp;$B18,Corrupcion!$H$2:$H$377,0))),"")</f>
        <v/>
      </c>
      <c r="I18" s="8">
        <f>IF(COUNTBLANK(C18:E18)+COUNTBLANK(F18)=0,1,0)</f>
        <v/>
      </c>
      <c r="J18" s="8">
        <f>IF(COUNTBLANK(C18:E18)+COUNTBLANK(G18)=0,1,0)</f>
        <v/>
      </c>
      <c r="K18" s="8">
        <f>IF(COUNTBLANK(C18:E18)+COUNTBLANK(H18)=0,1,0)</f>
        <v/>
      </c>
    </row>
    <row r="19">
      <c r="A19" s="8" t="inlineStr">
        <is>
          <t>Argentina</t>
        </is>
      </c>
      <c r="B19" s="8" t="n">
        <v>2016</v>
      </c>
      <c r="C19" s="18">
        <f>IF(Categorias!C20="","",Categorias!C20)</f>
        <v/>
      </c>
      <c r="D19" s="18">
        <f>IF(Categorias!H20="","",Categorias!H20)</f>
        <v/>
      </c>
      <c r="E19" s="17">
        <f>IFERROR(IF(INDEX(Gini!$C$2:$C$377,MATCH($A19&amp;"|"&amp;$B19,Gini!$E$2:$E$377,0))="","",INDEX(Gini!$C$2:$C$377,MATCH($A19&amp;"|"&amp;$B19,Gini!$E$2:$E$377,0))),"")</f>
        <v/>
      </c>
      <c r="F19" s="19">
        <f>IFERROR(IF(INDEX(Corrupcion!$E$2:$E$377,MATCH($A19&amp;"|"&amp;$B19,Corrupcion!$H$2:$H$377,0))="","",INDEX(Corrupcion!$E$2:$E$377,MATCH($A19&amp;"|"&amp;$B19,Corrupcion!$H$2:$H$377,0))),"")</f>
        <v/>
      </c>
      <c r="G19" s="20">
        <f>IFERROR(IF(INDEX(Corrupcion!$F$2:$F$377,MATCH($A19&amp;"|"&amp;$B19,Corrupcion!$H$2:$H$377,0))="","",INDEX(Corrupcion!$F$2:$F$377,MATCH($A19&amp;"|"&amp;$B19,Corrupcion!$H$2:$H$377,0))),"")</f>
        <v/>
      </c>
      <c r="H19" s="17">
        <f>IFERROR(IF(INDEX(Corrupcion!$G$2:$G$377,MATCH($A19&amp;"|"&amp;$B19,Corrupcion!$H$2:$H$377,0))="","",INDEX(Corrupcion!$G$2:$G$377,MATCH($A19&amp;"|"&amp;$B19,Corrupcion!$H$2:$H$377,0))),"")</f>
        <v/>
      </c>
      <c r="I19" s="8">
        <f>IF(COUNTBLANK(C19:E19)+COUNTBLANK(F19)=0,1,0)</f>
        <v/>
      </c>
      <c r="J19" s="8">
        <f>IF(COUNTBLANK(C19:E19)+COUNTBLANK(G19)=0,1,0)</f>
        <v/>
      </c>
      <c r="K19" s="8">
        <f>IF(COUNTBLANK(C19:E19)+COUNTBLANK(H19)=0,1,0)</f>
        <v/>
      </c>
    </row>
    <row r="20">
      <c r="A20" s="8" t="inlineStr">
        <is>
          <t>Argentina</t>
        </is>
      </c>
      <c r="B20" s="8" t="n">
        <v>2017</v>
      </c>
      <c r="C20" s="18">
        <f>IF(Categorias!C21="","",Categorias!C21)</f>
        <v/>
      </c>
      <c r="D20" s="18">
        <f>IF(Categorias!H21="","",Categorias!H21)</f>
        <v/>
      </c>
      <c r="E20" s="17">
        <f>IFERROR(IF(INDEX(Gini!$C$2:$C$377,MATCH($A20&amp;"|"&amp;$B20,Gini!$E$2:$E$377,0))="","",INDEX(Gini!$C$2:$C$377,MATCH($A20&amp;"|"&amp;$B20,Gini!$E$2:$E$377,0))),"")</f>
        <v/>
      </c>
      <c r="F20" s="19">
        <f>IFERROR(IF(INDEX(Corrupcion!$E$2:$E$377,MATCH($A20&amp;"|"&amp;$B20,Corrupcion!$H$2:$H$377,0))="","",INDEX(Corrupcion!$E$2:$E$377,MATCH($A20&amp;"|"&amp;$B20,Corrupcion!$H$2:$H$377,0))),"")</f>
        <v/>
      </c>
      <c r="G20" s="20">
        <f>IFERROR(IF(INDEX(Corrupcion!$F$2:$F$377,MATCH($A20&amp;"|"&amp;$B20,Corrupcion!$H$2:$H$377,0))="","",INDEX(Corrupcion!$F$2:$F$377,MATCH($A20&amp;"|"&amp;$B20,Corrupcion!$H$2:$H$377,0))),"")</f>
        <v/>
      </c>
      <c r="H20" s="17">
        <f>IFERROR(IF(INDEX(Corrupcion!$G$2:$G$377,MATCH($A20&amp;"|"&amp;$B20,Corrupcion!$H$2:$H$377,0))="","",INDEX(Corrupcion!$G$2:$G$377,MATCH($A20&amp;"|"&amp;$B20,Corrupcion!$H$2:$H$377,0))),"")</f>
        <v/>
      </c>
      <c r="I20" s="8">
        <f>IF(COUNTBLANK(C20:E20)+COUNTBLANK(F20)=0,1,0)</f>
        <v/>
      </c>
      <c r="J20" s="8">
        <f>IF(COUNTBLANK(C20:E20)+COUNTBLANK(G20)=0,1,0)</f>
        <v/>
      </c>
      <c r="K20" s="8">
        <f>IF(COUNTBLANK(C20:E20)+COUNTBLANK(H20)=0,1,0)</f>
        <v/>
      </c>
    </row>
    <row r="21">
      <c r="A21" s="8" t="inlineStr">
        <is>
          <t>Argentina</t>
        </is>
      </c>
      <c r="B21" s="8" t="n">
        <v>2018</v>
      </c>
      <c r="C21" s="18">
        <f>IF(Categorias!C22="","",Categorias!C22)</f>
        <v/>
      </c>
      <c r="D21" s="18">
        <f>IF(Categorias!H22="","",Categorias!H22)</f>
        <v/>
      </c>
      <c r="E21" s="17">
        <f>IFERROR(IF(INDEX(Gini!$C$2:$C$377,MATCH($A21&amp;"|"&amp;$B21,Gini!$E$2:$E$377,0))="","",INDEX(Gini!$C$2:$C$377,MATCH($A21&amp;"|"&amp;$B21,Gini!$E$2:$E$377,0))),"")</f>
        <v/>
      </c>
      <c r="F21" s="19">
        <f>IFERROR(IF(INDEX(Corrupcion!$E$2:$E$377,MATCH($A21&amp;"|"&amp;$B21,Corrupcion!$H$2:$H$377,0))="","",INDEX(Corrupcion!$E$2:$E$377,MATCH($A21&amp;"|"&amp;$B21,Corrupcion!$H$2:$H$377,0))),"")</f>
        <v/>
      </c>
      <c r="G21" s="20">
        <f>IFERROR(IF(INDEX(Corrupcion!$F$2:$F$377,MATCH($A21&amp;"|"&amp;$B21,Corrupcion!$H$2:$H$377,0))="","",INDEX(Corrupcion!$F$2:$F$377,MATCH($A21&amp;"|"&amp;$B21,Corrupcion!$H$2:$H$377,0))),"")</f>
        <v/>
      </c>
      <c r="H21" s="17">
        <f>IFERROR(IF(INDEX(Corrupcion!$G$2:$G$377,MATCH($A21&amp;"|"&amp;$B21,Corrupcion!$H$2:$H$377,0))="","",INDEX(Corrupcion!$G$2:$G$377,MATCH($A21&amp;"|"&amp;$B21,Corrupcion!$H$2:$H$377,0))),"")</f>
        <v/>
      </c>
      <c r="I21" s="8">
        <f>IF(COUNTBLANK(C21:E21)+COUNTBLANK(F21)=0,1,0)</f>
        <v/>
      </c>
      <c r="J21" s="8">
        <f>IF(COUNTBLANK(C21:E21)+COUNTBLANK(G21)=0,1,0)</f>
        <v/>
      </c>
      <c r="K21" s="8">
        <f>IF(COUNTBLANK(C21:E21)+COUNTBLANK(H21)=0,1,0)</f>
        <v/>
      </c>
    </row>
    <row r="22">
      <c r="A22" s="8" t="inlineStr">
        <is>
          <t>Argentina</t>
        </is>
      </c>
      <c r="B22" s="8" t="n">
        <v>2020</v>
      </c>
      <c r="C22" s="18">
        <f>IF(Categorias!C23="","",Categorias!C23)</f>
        <v/>
      </c>
      <c r="D22" s="18">
        <f>IF(Categorias!H23="","",Categorias!H23)</f>
        <v/>
      </c>
      <c r="E22" s="17">
        <f>IFERROR(IF(INDEX(Gini!$C$2:$C$377,MATCH($A22&amp;"|"&amp;$B22,Gini!$E$2:$E$377,0))="","",INDEX(Gini!$C$2:$C$377,MATCH($A22&amp;"|"&amp;$B22,Gini!$E$2:$E$377,0))),"")</f>
        <v/>
      </c>
      <c r="F22" s="19">
        <f>IFERROR(IF(INDEX(Corrupcion!$E$2:$E$377,MATCH($A22&amp;"|"&amp;$B22,Corrupcion!$H$2:$H$377,0))="","",INDEX(Corrupcion!$E$2:$E$377,MATCH($A22&amp;"|"&amp;$B22,Corrupcion!$H$2:$H$377,0))),"")</f>
        <v/>
      </c>
      <c r="G22" s="20">
        <f>IFERROR(IF(INDEX(Corrupcion!$F$2:$F$377,MATCH($A22&amp;"|"&amp;$B22,Corrupcion!$H$2:$H$377,0))="","",INDEX(Corrupcion!$F$2:$F$377,MATCH($A22&amp;"|"&amp;$B22,Corrupcion!$H$2:$H$377,0))),"")</f>
        <v/>
      </c>
      <c r="H22" s="17">
        <f>IFERROR(IF(INDEX(Corrupcion!$G$2:$G$377,MATCH($A22&amp;"|"&amp;$B22,Corrupcion!$H$2:$H$377,0))="","",INDEX(Corrupcion!$G$2:$G$377,MATCH($A22&amp;"|"&amp;$B22,Corrupcion!$H$2:$H$377,0))),"")</f>
        <v/>
      </c>
      <c r="I22" s="8">
        <f>IF(COUNTBLANK(C22:E22)+COUNTBLANK(F22)=0,1,0)</f>
        <v/>
      </c>
      <c r="J22" s="8">
        <f>IF(COUNTBLANK(C22:E22)+COUNTBLANK(G22)=0,1,0)</f>
        <v/>
      </c>
      <c r="K22" s="8">
        <f>IF(COUNTBLANK(C22:E22)+COUNTBLANK(H22)=0,1,0)</f>
        <v/>
      </c>
    </row>
    <row r="23">
      <c r="A23" s="8" t="inlineStr">
        <is>
          <t>Argentina</t>
        </is>
      </c>
      <c r="B23" s="8" t="n">
        <v>2024</v>
      </c>
      <c r="C23" s="18">
        <f>IF(Categorias!C24="","",Categorias!C24)</f>
        <v/>
      </c>
      <c r="D23" s="18">
        <f>IF(Categorias!H24="","",Categorias!H24)</f>
        <v/>
      </c>
      <c r="E23" s="17">
        <f>IFERROR(IF(INDEX(Gini!$C$2:$C$377,MATCH($A23&amp;"|"&amp;$B23,Gini!$E$2:$E$377,0))="","",INDEX(Gini!$C$2:$C$377,MATCH($A23&amp;"|"&amp;$B23,Gini!$E$2:$E$377,0))),"")</f>
        <v/>
      </c>
      <c r="F23" s="19">
        <f>IFERROR(IF(INDEX(Corrupcion!$E$2:$E$377,MATCH($A23&amp;"|"&amp;$B23,Corrupcion!$H$2:$H$377,0))="","",INDEX(Corrupcion!$E$2:$E$377,MATCH($A23&amp;"|"&amp;$B23,Corrupcion!$H$2:$H$377,0))),"")</f>
        <v/>
      </c>
      <c r="G23" s="20">
        <f>IFERROR(IF(INDEX(Corrupcion!$F$2:$F$377,MATCH($A23&amp;"|"&amp;$B23,Corrupcion!$H$2:$H$377,0))="","",INDEX(Corrupcion!$F$2:$F$377,MATCH($A23&amp;"|"&amp;$B23,Corrupcion!$H$2:$H$377,0))),"")</f>
        <v/>
      </c>
      <c r="H23" s="17">
        <f>IFERROR(IF(INDEX(Corrupcion!$G$2:$G$377,MATCH($A23&amp;"|"&amp;$B23,Corrupcion!$H$2:$H$377,0))="","",INDEX(Corrupcion!$G$2:$G$377,MATCH($A23&amp;"|"&amp;$B23,Corrupcion!$H$2:$H$377,0))),"")</f>
        <v/>
      </c>
      <c r="I23" s="8">
        <f>IF(COUNTBLANK(C23:E23)+COUNTBLANK(F23)=0,1,0)</f>
        <v/>
      </c>
      <c r="J23" s="8">
        <f>IF(COUNTBLANK(C23:E23)+COUNTBLANK(G23)=0,1,0)</f>
        <v/>
      </c>
      <c r="K23" s="8">
        <f>IF(COUNTBLANK(C23:E23)+COUNTBLANK(H23)=0,1,0)</f>
        <v/>
      </c>
    </row>
    <row r="24">
      <c r="A24" s="8" t="inlineStr">
        <is>
          <t>Bolivia</t>
        </is>
      </c>
      <c r="B24" s="8" t="n">
        <v>1996</v>
      </c>
      <c r="C24" s="18">
        <f>IF(Categorias!C25="","",Categorias!C25)</f>
        <v/>
      </c>
      <c r="D24" s="18">
        <f>IF(Categorias!H25="","",Categorias!H25)</f>
        <v/>
      </c>
      <c r="E24" s="17">
        <f>IFERROR(IF(INDEX(Gini!$C$2:$C$377,MATCH($A24&amp;"|"&amp;$B24,Gini!$E$2:$E$377,0))="","",INDEX(Gini!$C$2:$C$377,MATCH($A24&amp;"|"&amp;$B24,Gini!$E$2:$E$377,0))),"")</f>
        <v/>
      </c>
      <c r="F24" s="19">
        <f>IFERROR(IF(INDEX(Corrupcion!$E$2:$E$377,MATCH($A24&amp;"|"&amp;$B24,Corrupcion!$H$2:$H$377,0))="","",INDEX(Corrupcion!$E$2:$E$377,MATCH($A24&amp;"|"&amp;$B24,Corrupcion!$H$2:$H$377,0))),"")</f>
        <v/>
      </c>
      <c r="G24" s="20">
        <f>IFERROR(IF(INDEX(Corrupcion!$F$2:$F$377,MATCH($A24&amp;"|"&amp;$B24,Corrupcion!$H$2:$H$377,0))="","",INDEX(Corrupcion!$F$2:$F$377,MATCH($A24&amp;"|"&amp;$B24,Corrupcion!$H$2:$H$377,0))),"")</f>
        <v/>
      </c>
      <c r="H24" s="17">
        <f>IFERROR(IF(INDEX(Corrupcion!$G$2:$G$377,MATCH($A24&amp;"|"&amp;$B24,Corrupcion!$H$2:$H$377,0))="","",INDEX(Corrupcion!$G$2:$G$377,MATCH($A24&amp;"|"&amp;$B24,Corrupcion!$H$2:$H$377,0))),"")</f>
        <v/>
      </c>
      <c r="I24" s="8">
        <f>IF(COUNTBLANK(C24:E24)+COUNTBLANK(F24)=0,1,0)</f>
        <v/>
      </c>
      <c r="J24" s="8">
        <f>IF(COUNTBLANK(C24:E24)+COUNTBLANK(G24)=0,1,0)</f>
        <v/>
      </c>
      <c r="K24" s="8">
        <f>IF(COUNTBLANK(C24:E24)+COUNTBLANK(H24)=0,1,0)</f>
        <v/>
      </c>
    </row>
    <row r="25">
      <c r="A25" s="8" t="inlineStr">
        <is>
          <t>Bolivia</t>
        </is>
      </c>
      <c r="B25" s="8" t="n">
        <v>1997</v>
      </c>
      <c r="C25" s="18">
        <f>IF(Categorias!C26="","",Categorias!C26)</f>
        <v/>
      </c>
      <c r="D25" s="18">
        <f>IF(Categorias!H26="","",Categorias!H26)</f>
        <v/>
      </c>
      <c r="E25" s="17">
        <f>IFERROR(IF(INDEX(Gini!$C$2:$C$377,MATCH($A25&amp;"|"&amp;$B25,Gini!$E$2:$E$377,0))="","",INDEX(Gini!$C$2:$C$377,MATCH($A25&amp;"|"&amp;$B25,Gini!$E$2:$E$377,0))),"")</f>
        <v/>
      </c>
      <c r="F25" s="19">
        <f>IFERROR(IF(INDEX(Corrupcion!$E$2:$E$377,MATCH($A25&amp;"|"&amp;$B25,Corrupcion!$H$2:$H$377,0))="","",INDEX(Corrupcion!$E$2:$E$377,MATCH($A25&amp;"|"&amp;$B25,Corrupcion!$H$2:$H$377,0))),"")</f>
        <v/>
      </c>
      <c r="G25" s="20">
        <f>IFERROR(IF(INDEX(Corrupcion!$F$2:$F$377,MATCH($A25&amp;"|"&amp;$B25,Corrupcion!$H$2:$H$377,0))="","",INDEX(Corrupcion!$F$2:$F$377,MATCH($A25&amp;"|"&amp;$B25,Corrupcion!$H$2:$H$377,0))),"")</f>
        <v/>
      </c>
      <c r="H25" s="17">
        <f>IFERROR(IF(INDEX(Corrupcion!$G$2:$G$377,MATCH($A25&amp;"|"&amp;$B25,Corrupcion!$H$2:$H$377,0))="","",INDEX(Corrupcion!$G$2:$G$377,MATCH($A25&amp;"|"&amp;$B25,Corrupcion!$H$2:$H$377,0))),"")</f>
        <v/>
      </c>
      <c r="I25" s="8">
        <f>IF(COUNTBLANK(C25:E25)+COUNTBLANK(F25)=0,1,0)</f>
        <v/>
      </c>
      <c r="J25" s="8">
        <f>IF(COUNTBLANK(C25:E25)+COUNTBLANK(G25)=0,1,0)</f>
        <v/>
      </c>
      <c r="K25" s="8">
        <f>IF(COUNTBLANK(C25:E25)+COUNTBLANK(H25)=0,1,0)</f>
        <v/>
      </c>
    </row>
    <row r="26">
      <c r="A26" s="8" t="inlineStr">
        <is>
          <t>Bolivia</t>
        </is>
      </c>
      <c r="B26" s="8" t="n">
        <v>1998</v>
      </c>
      <c r="C26" s="18">
        <f>IF(Categorias!C27="","",Categorias!C27)</f>
        <v/>
      </c>
      <c r="D26" s="18">
        <f>IF(Categorias!H27="","",Categorias!H27)</f>
        <v/>
      </c>
      <c r="E26" s="17">
        <f>IFERROR(IF(INDEX(Gini!$C$2:$C$377,MATCH($A26&amp;"|"&amp;$B26,Gini!$E$2:$E$377,0))="","",INDEX(Gini!$C$2:$C$377,MATCH($A26&amp;"|"&amp;$B26,Gini!$E$2:$E$377,0))),"")</f>
        <v/>
      </c>
      <c r="F26" s="19">
        <f>IFERROR(IF(INDEX(Corrupcion!$E$2:$E$377,MATCH($A26&amp;"|"&amp;$B26,Corrupcion!$H$2:$H$377,0))="","",INDEX(Corrupcion!$E$2:$E$377,MATCH($A26&amp;"|"&amp;$B26,Corrupcion!$H$2:$H$377,0))),"")</f>
        <v/>
      </c>
      <c r="G26" s="20">
        <f>IFERROR(IF(INDEX(Corrupcion!$F$2:$F$377,MATCH($A26&amp;"|"&amp;$B26,Corrupcion!$H$2:$H$377,0))="","",INDEX(Corrupcion!$F$2:$F$377,MATCH($A26&amp;"|"&amp;$B26,Corrupcion!$H$2:$H$377,0))),"")</f>
        <v/>
      </c>
      <c r="H26" s="17">
        <f>IFERROR(IF(INDEX(Corrupcion!$G$2:$G$377,MATCH($A26&amp;"|"&amp;$B26,Corrupcion!$H$2:$H$377,0))="","",INDEX(Corrupcion!$G$2:$G$377,MATCH($A26&amp;"|"&amp;$B26,Corrupcion!$H$2:$H$377,0))),"")</f>
        <v/>
      </c>
      <c r="I26" s="8">
        <f>IF(COUNTBLANK(C26:E26)+COUNTBLANK(F26)=0,1,0)</f>
        <v/>
      </c>
      <c r="J26" s="8">
        <f>IF(COUNTBLANK(C26:E26)+COUNTBLANK(G26)=0,1,0)</f>
        <v/>
      </c>
      <c r="K26" s="8">
        <f>IF(COUNTBLANK(C26:E26)+COUNTBLANK(H26)=0,1,0)</f>
        <v/>
      </c>
    </row>
    <row r="27">
      <c r="A27" s="8" t="inlineStr">
        <is>
          <t>Bolivia</t>
        </is>
      </c>
      <c r="B27" s="8" t="n">
        <v>2000</v>
      </c>
      <c r="C27" s="18">
        <f>IF(Categorias!C28="","",Categorias!C28)</f>
        <v/>
      </c>
      <c r="D27" s="18">
        <f>IF(Categorias!H28="","",Categorias!H28)</f>
        <v/>
      </c>
      <c r="E27" s="17">
        <f>IFERROR(IF(INDEX(Gini!$C$2:$C$377,MATCH($A27&amp;"|"&amp;$B27,Gini!$E$2:$E$377,0))="","",INDEX(Gini!$C$2:$C$377,MATCH($A27&amp;"|"&amp;$B27,Gini!$E$2:$E$377,0))),"")</f>
        <v/>
      </c>
      <c r="F27" s="19">
        <f>IFERROR(IF(INDEX(Corrupcion!$E$2:$E$377,MATCH($A27&amp;"|"&amp;$B27,Corrupcion!$H$2:$H$377,0))="","",INDEX(Corrupcion!$E$2:$E$377,MATCH($A27&amp;"|"&amp;$B27,Corrupcion!$H$2:$H$377,0))),"")</f>
        <v/>
      </c>
      <c r="G27" s="20">
        <f>IFERROR(IF(INDEX(Corrupcion!$F$2:$F$377,MATCH($A27&amp;"|"&amp;$B27,Corrupcion!$H$2:$H$377,0))="","",INDEX(Corrupcion!$F$2:$F$377,MATCH($A27&amp;"|"&amp;$B27,Corrupcion!$H$2:$H$377,0))),"")</f>
        <v/>
      </c>
      <c r="H27" s="17">
        <f>IFERROR(IF(INDEX(Corrupcion!$G$2:$G$377,MATCH($A27&amp;"|"&amp;$B27,Corrupcion!$H$2:$H$377,0))="","",INDEX(Corrupcion!$G$2:$G$377,MATCH($A27&amp;"|"&amp;$B27,Corrupcion!$H$2:$H$377,0))),"")</f>
        <v/>
      </c>
      <c r="I27" s="8">
        <f>IF(COUNTBLANK(C27:E27)+COUNTBLANK(F27)=0,1,0)</f>
        <v/>
      </c>
      <c r="J27" s="8">
        <f>IF(COUNTBLANK(C27:E27)+COUNTBLANK(G27)=0,1,0)</f>
        <v/>
      </c>
      <c r="K27" s="8">
        <f>IF(COUNTBLANK(C27:E27)+COUNTBLANK(H27)=0,1,0)</f>
        <v/>
      </c>
    </row>
    <row r="28">
      <c r="A28" s="8" t="inlineStr">
        <is>
          <t>Bolivia</t>
        </is>
      </c>
      <c r="B28" s="8" t="n">
        <v>2001</v>
      </c>
      <c r="C28" s="18">
        <f>IF(Categorias!C29="","",Categorias!C29)</f>
        <v/>
      </c>
      <c r="D28" s="18">
        <f>IF(Categorias!H29="","",Categorias!H29)</f>
        <v/>
      </c>
      <c r="E28" s="17">
        <f>IFERROR(IF(INDEX(Gini!$C$2:$C$377,MATCH($A28&amp;"|"&amp;$B28,Gini!$E$2:$E$377,0))="","",INDEX(Gini!$C$2:$C$377,MATCH($A28&amp;"|"&amp;$B28,Gini!$E$2:$E$377,0))),"")</f>
        <v/>
      </c>
      <c r="F28" s="19">
        <f>IFERROR(IF(INDEX(Corrupcion!$E$2:$E$377,MATCH($A28&amp;"|"&amp;$B28,Corrupcion!$H$2:$H$377,0))="","",INDEX(Corrupcion!$E$2:$E$377,MATCH($A28&amp;"|"&amp;$B28,Corrupcion!$H$2:$H$377,0))),"")</f>
        <v/>
      </c>
      <c r="G28" s="20">
        <f>IFERROR(IF(INDEX(Corrupcion!$F$2:$F$377,MATCH($A28&amp;"|"&amp;$B28,Corrupcion!$H$2:$H$377,0))="","",INDEX(Corrupcion!$F$2:$F$377,MATCH($A28&amp;"|"&amp;$B28,Corrupcion!$H$2:$H$377,0))),"")</f>
        <v/>
      </c>
      <c r="H28" s="17">
        <f>IFERROR(IF(INDEX(Corrupcion!$G$2:$G$377,MATCH($A28&amp;"|"&amp;$B28,Corrupcion!$H$2:$H$377,0))="","",INDEX(Corrupcion!$G$2:$G$377,MATCH($A28&amp;"|"&amp;$B28,Corrupcion!$H$2:$H$377,0))),"")</f>
        <v/>
      </c>
      <c r="I28" s="8">
        <f>IF(COUNTBLANK(C28:E28)+COUNTBLANK(F28)=0,1,0)</f>
        <v/>
      </c>
      <c r="J28" s="8">
        <f>IF(COUNTBLANK(C28:E28)+COUNTBLANK(G28)=0,1,0)</f>
        <v/>
      </c>
      <c r="K28" s="8">
        <f>IF(COUNTBLANK(C28:E28)+COUNTBLANK(H28)=0,1,0)</f>
        <v/>
      </c>
    </row>
    <row r="29">
      <c r="A29" s="8" t="inlineStr">
        <is>
          <t>Bolivia</t>
        </is>
      </c>
      <c r="B29" s="8" t="n">
        <v>2002</v>
      </c>
      <c r="C29" s="18">
        <f>IF(Categorias!C30="","",Categorias!C30)</f>
        <v/>
      </c>
      <c r="D29" s="18">
        <f>IF(Categorias!H30="","",Categorias!H30)</f>
        <v/>
      </c>
      <c r="E29" s="17">
        <f>IFERROR(IF(INDEX(Gini!$C$2:$C$377,MATCH($A29&amp;"|"&amp;$B29,Gini!$E$2:$E$377,0))="","",INDEX(Gini!$C$2:$C$377,MATCH($A29&amp;"|"&amp;$B29,Gini!$E$2:$E$377,0))),"")</f>
        <v/>
      </c>
      <c r="F29" s="19">
        <f>IFERROR(IF(INDEX(Corrupcion!$E$2:$E$377,MATCH($A29&amp;"|"&amp;$B29,Corrupcion!$H$2:$H$377,0))="","",INDEX(Corrupcion!$E$2:$E$377,MATCH($A29&amp;"|"&amp;$B29,Corrupcion!$H$2:$H$377,0))),"")</f>
        <v/>
      </c>
      <c r="G29" s="20">
        <f>IFERROR(IF(INDEX(Corrupcion!$F$2:$F$377,MATCH($A29&amp;"|"&amp;$B29,Corrupcion!$H$2:$H$377,0))="","",INDEX(Corrupcion!$F$2:$F$377,MATCH($A29&amp;"|"&amp;$B29,Corrupcion!$H$2:$H$377,0))),"")</f>
        <v/>
      </c>
      <c r="H29" s="17">
        <f>IFERROR(IF(INDEX(Corrupcion!$G$2:$G$377,MATCH($A29&amp;"|"&amp;$B29,Corrupcion!$H$2:$H$377,0))="","",INDEX(Corrupcion!$G$2:$G$377,MATCH($A29&amp;"|"&amp;$B29,Corrupcion!$H$2:$H$377,0))),"")</f>
        <v/>
      </c>
      <c r="I29" s="8">
        <f>IF(COUNTBLANK(C29:E29)+COUNTBLANK(F29)=0,1,0)</f>
        <v/>
      </c>
      <c r="J29" s="8">
        <f>IF(COUNTBLANK(C29:E29)+COUNTBLANK(G29)=0,1,0)</f>
        <v/>
      </c>
      <c r="K29" s="8">
        <f>IF(COUNTBLANK(C29:E29)+COUNTBLANK(H29)=0,1,0)</f>
        <v/>
      </c>
    </row>
    <row r="30">
      <c r="A30" s="8" t="inlineStr">
        <is>
          <t>Bolivia</t>
        </is>
      </c>
      <c r="B30" s="8" t="n">
        <v>2003</v>
      </c>
      <c r="C30" s="18">
        <f>IF(Categorias!C31="","",Categorias!C31)</f>
        <v/>
      </c>
      <c r="D30" s="18">
        <f>IF(Categorias!H31="","",Categorias!H31)</f>
        <v/>
      </c>
      <c r="E30" s="17">
        <f>IFERROR(IF(INDEX(Gini!$C$2:$C$377,MATCH($A30&amp;"|"&amp;$B30,Gini!$E$2:$E$377,0))="","",INDEX(Gini!$C$2:$C$377,MATCH($A30&amp;"|"&amp;$B30,Gini!$E$2:$E$377,0))),"")</f>
        <v/>
      </c>
      <c r="F30" s="19">
        <f>IFERROR(IF(INDEX(Corrupcion!$E$2:$E$377,MATCH($A30&amp;"|"&amp;$B30,Corrupcion!$H$2:$H$377,0))="","",INDEX(Corrupcion!$E$2:$E$377,MATCH($A30&amp;"|"&amp;$B30,Corrupcion!$H$2:$H$377,0))),"")</f>
        <v/>
      </c>
      <c r="G30" s="20">
        <f>IFERROR(IF(INDEX(Corrupcion!$F$2:$F$377,MATCH($A30&amp;"|"&amp;$B30,Corrupcion!$H$2:$H$377,0))="","",INDEX(Corrupcion!$F$2:$F$377,MATCH($A30&amp;"|"&amp;$B30,Corrupcion!$H$2:$H$377,0))),"")</f>
        <v/>
      </c>
      <c r="H30" s="17">
        <f>IFERROR(IF(INDEX(Corrupcion!$G$2:$G$377,MATCH($A30&amp;"|"&amp;$B30,Corrupcion!$H$2:$H$377,0))="","",INDEX(Corrupcion!$G$2:$G$377,MATCH($A30&amp;"|"&amp;$B30,Corrupcion!$H$2:$H$377,0))),"")</f>
        <v/>
      </c>
      <c r="I30" s="8">
        <f>IF(COUNTBLANK(C30:E30)+COUNTBLANK(F30)=0,1,0)</f>
        <v/>
      </c>
      <c r="J30" s="8">
        <f>IF(COUNTBLANK(C30:E30)+COUNTBLANK(G30)=0,1,0)</f>
        <v/>
      </c>
      <c r="K30" s="8">
        <f>IF(COUNTBLANK(C30:E30)+COUNTBLANK(H30)=0,1,0)</f>
        <v/>
      </c>
    </row>
    <row r="31">
      <c r="A31" s="8" t="inlineStr">
        <is>
          <t>Bolivia</t>
        </is>
      </c>
      <c r="B31" s="8" t="n">
        <v>2004</v>
      </c>
      <c r="C31" s="18">
        <f>IF(Categorias!C32="","",Categorias!C32)</f>
        <v/>
      </c>
      <c r="D31" s="18">
        <f>IF(Categorias!H32="","",Categorias!H32)</f>
        <v/>
      </c>
      <c r="E31" s="17">
        <f>IFERROR(IF(INDEX(Gini!$C$2:$C$377,MATCH($A31&amp;"|"&amp;$B31,Gini!$E$2:$E$377,0))="","",INDEX(Gini!$C$2:$C$377,MATCH($A31&amp;"|"&amp;$B31,Gini!$E$2:$E$377,0))),"")</f>
        <v/>
      </c>
      <c r="F31" s="19">
        <f>IFERROR(IF(INDEX(Corrupcion!$E$2:$E$377,MATCH($A31&amp;"|"&amp;$B31,Corrupcion!$H$2:$H$377,0))="","",INDEX(Corrupcion!$E$2:$E$377,MATCH($A31&amp;"|"&amp;$B31,Corrupcion!$H$2:$H$377,0))),"")</f>
        <v/>
      </c>
      <c r="G31" s="20">
        <f>IFERROR(IF(INDEX(Corrupcion!$F$2:$F$377,MATCH($A31&amp;"|"&amp;$B31,Corrupcion!$H$2:$H$377,0))="","",INDEX(Corrupcion!$F$2:$F$377,MATCH($A31&amp;"|"&amp;$B31,Corrupcion!$H$2:$H$377,0))),"")</f>
        <v/>
      </c>
      <c r="H31" s="17">
        <f>IFERROR(IF(INDEX(Corrupcion!$G$2:$G$377,MATCH($A31&amp;"|"&amp;$B31,Corrupcion!$H$2:$H$377,0))="","",INDEX(Corrupcion!$G$2:$G$377,MATCH($A31&amp;"|"&amp;$B31,Corrupcion!$H$2:$H$377,0))),"")</f>
        <v/>
      </c>
      <c r="I31" s="8">
        <f>IF(COUNTBLANK(C31:E31)+COUNTBLANK(F31)=0,1,0)</f>
        <v/>
      </c>
      <c r="J31" s="8">
        <f>IF(COUNTBLANK(C31:E31)+COUNTBLANK(G31)=0,1,0)</f>
        <v/>
      </c>
      <c r="K31" s="8">
        <f>IF(COUNTBLANK(C31:E31)+COUNTBLANK(H31)=0,1,0)</f>
        <v/>
      </c>
    </row>
    <row r="32">
      <c r="A32" s="8" t="inlineStr">
        <is>
          <t>Bolivia</t>
        </is>
      </c>
      <c r="B32" s="8" t="n">
        <v>2005</v>
      </c>
      <c r="C32" s="18">
        <f>IF(Categorias!C33="","",Categorias!C33)</f>
        <v/>
      </c>
      <c r="D32" s="18">
        <f>IF(Categorias!H33="","",Categorias!H33)</f>
        <v/>
      </c>
      <c r="E32" s="17">
        <f>IFERROR(IF(INDEX(Gini!$C$2:$C$377,MATCH($A32&amp;"|"&amp;$B32,Gini!$E$2:$E$377,0))="","",INDEX(Gini!$C$2:$C$377,MATCH($A32&amp;"|"&amp;$B32,Gini!$E$2:$E$377,0))),"")</f>
        <v/>
      </c>
      <c r="F32" s="19">
        <f>IFERROR(IF(INDEX(Corrupcion!$E$2:$E$377,MATCH($A32&amp;"|"&amp;$B32,Corrupcion!$H$2:$H$377,0))="","",INDEX(Corrupcion!$E$2:$E$377,MATCH($A32&amp;"|"&amp;$B32,Corrupcion!$H$2:$H$377,0))),"")</f>
        <v/>
      </c>
      <c r="G32" s="20">
        <f>IFERROR(IF(INDEX(Corrupcion!$F$2:$F$377,MATCH($A32&amp;"|"&amp;$B32,Corrupcion!$H$2:$H$377,0))="","",INDEX(Corrupcion!$F$2:$F$377,MATCH($A32&amp;"|"&amp;$B32,Corrupcion!$H$2:$H$377,0))),"")</f>
        <v/>
      </c>
      <c r="H32" s="17">
        <f>IFERROR(IF(INDEX(Corrupcion!$G$2:$G$377,MATCH($A32&amp;"|"&amp;$B32,Corrupcion!$H$2:$H$377,0))="","",INDEX(Corrupcion!$G$2:$G$377,MATCH($A32&amp;"|"&amp;$B32,Corrupcion!$H$2:$H$377,0))),"")</f>
        <v/>
      </c>
      <c r="I32" s="8">
        <f>IF(COUNTBLANK(C32:E32)+COUNTBLANK(F32)=0,1,0)</f>
        <v/>
      </c>
      <c r="J32" s="8">
        <f>IF(COUNTBLANK(C32:E32)+COUNTBLANK(G32)=0,1,0)</f>
        <v/>
      </c>
      <c r="K32" s="8">
        <f>IF(COUNTBLANK(C32:E32)+COUNTBLANK(H32)=0,1,0)</f>
        <v/>
      </c>
    </row>
    <row r="33">
      <c r="A33" s="8" t="inlineStr">
        <is>
          <t>Bolivia</t>
        </is>
      </c>
      <c r="B33" s="8" t="n">
        <v>2006</v>
      </c>
      <c r="C33" s="18">
        <f>IF(Categorias!C34="","",Categorias!C34)</f>
        <v/>
      </c>
      <c r="D33" s="18">
        <f>IF(Categorias!H34="","",Categorias!H34)</f>
        <v/>
      </c>
      <c r="E33" s="17">
        <f>IFERROR(IF(INDEX(Gini!$C$2:$C$377,MATCH($A33&amp;"|"&amp;$B33,Gini!$E$2:$E$377,0))="","",INDEX(Gini!$C$2:$C$377,MATCH($A33&amp;"|"&amp;$B33,Gini!$E$2:$E$377,0))),"")</f>
        <v/>
      </c>
      <c r="F33" s="19">
        <f>IFERROR(IF(INDEX(Corrupcion!$E$2:$E$377,MATCH($A33&amp;"|"&amp;$B33,Corrupcion!$H$2:$H$377,0))="","",INDEX(Corrupcion!$E$2:$E$377,MATCH($A33&amp;"|"&amp;$B33,Corrupcion!$H$2:$H$377,0))),"")</f>
        <v/>
      </c>
      <c r="G33" s="20">
        <f>IFERROR(IF(INDEX(Corrupcion!$F$2:$F$377,MATCH($A33&amp;"|"&amp;$B33,Corrupcion!$H$2:$H$377,0))="","",INDEX(Corrupcion!$F$2:$F$377,MATCH($A33&amp;"|"&amp;$B33,Corrupcion!$H$2:$H$377,0))),"")</f>
        <v/>
      </c>
      <c r="H33" s="17">
        <f>IFERROR(IF(INDEX(Corrupcion!$G$2:$G$377,MATCH($A33&amp;"|"&amp;$B33,Corrupcion!$H$2:$H$377,0))="","",INDEX(Corrupcion!$G$2:$G$377,MATCH($A33&amp;"|"&amp;$B33,Corrupcion!$H$2:$H$377,0))),"")</f>
        <v/>
      </c>
      <c r="I33" s="8">
        <f>IF(COUNTBLANK(C33:E33)+COUNTBLANK(F33)=0,1,0)</f>
        <v/>
      </c>
      <c r="J33" s="8">
        <f>IF(COUNTBLANK(C33:E33)+COUNTBLANK(G33)=0,1,0)</f>
        <v/>
      </c>
      <c r="K33" s="8">
        <f>IF(COUNTBLANK(C33:E33)+COUNTBLANK(H33)=0,1,0)</f>
        <v/>
      </c>
    </row>
    <row r="34">
      <c r="A34" s="8" t="inlineStr">
        <is>
          <t>Bolivia</t>
        </is>
      </c>
      <c r="B34" s="8" t="n">
        <v>2007</v>
      </c>
      <c r="C34" s="18">
        <f>IF(Categorias!C35="","",Categorias!C35)</f>
        <v/>
      </c>
      <c r="D34" s="18">
        <f>IF(Categorias!H35="","",Categorias!H35)</f>
        <v/>
      </c>
      <c r="E34" s="17">
        <f>IFERROR(IF(INDEX(Gini!$C$2:$C$377,MATCH($A34&amp;"|"&amp;$B34,Gini!$E$2:$E$377,0))="","",INDEX(Gini!$C$2:$C$377,MATCH($A34&amp;"|"&amp;$B34,Gini!$E$2:$E$377,0))),"")</f>
        <v/>
      </c>
      <c r="F34" s="19">
        <f>IFERROR(IF(INDEX(Corrupcion!$E$2:$E$377,MATCH($A34&amp;"|"&amp;$B34,Corrupcion!$H$2:$H$377,0))="","",INDEX(Corrupcion!$E$2:$E$377,MATCH($A34&amp;"|"&amp;$B34,Corrupcion!$H$2:$H$377,0))),"")</f>
        <v/>
      </c>
      <c r="G34" s="20">
        <f>IFERROR(IF(INDEX(Corrupcion!$F$2:$F$377,MATCH($A34&amp;"|"&amp;$B34,Corrupcion!$H$2:$H$377,0))="","",INDEX(Corrupcion!$F$2:$F$377,MATCH($A34&amp;"|"&amp;$B34,Corrupcion!$H$2:$H$377,0))),"")</f>
        <v/>
      </c>
      <c r="H34" s="17">
        <f>IFERROR(IF(INDEX(Corrupcion!$G$2:$G$377,MATCH($A34&amp;"|"&amp;$B34,Corrupcion!$H$2:$H$377,0))="","",INDEX(Corrupcion!$G$2:$G$377,MATCH($A34&amp;"|"&amp;$B34,Corrupcion!$H$2:$H$377,0))),"")</f>
        <v/>
      </c>
      <c r="I34" s="8">
        <f>IF(COUNTBLANK(C34:E34)+COUNTBLANK(F34)=0,1,0)</f>
        <v/>
      </c>
      <c r="J34" s="8">
        <f>IF(COUNTBLANK(C34:E34)+COUNTBLANK(G34)=0,1,0)</f>
        <v/>
      </c>
      <c r="K34" s="8">
        <f>IF(COUNTBLANK(C34:E34)+COUNTBLANK(H34)=0,1,0)</f>
        <v/>
      </c>
    </row>
    <row r="35">
      <c r="A35" s="8" t="inlineStr">
        <is>
          <t>Bolivia</t>
        </is>
      </c>
      <c r="B35" s="8" t="n">
        <v>2008</v>
      </c>
      <c r="C35" s="18">
        <f>IF(Categorias!C36="","",Categorias!C36)</f>
        <v/>
      </c>
      <c r="D35" s="18">
        <f>IF(Categorias!H36="","",Categorias!H36)</f>
        <v/>
      </c>
      <c r="E35" s="17">
        <f>IFERROR(IF(INDEX(Gini!$C$2:$C$377,MATCH($A35&amp;"|"&amp;$B35,Gini!$E$2:$E$377,0))="","",INDEX(Gini!$C$2:$C$377,MATCH($A35&amp;"|"&amp;$B35,Gini!$E$2:$E$377,0))),"")</f>
        <v/>
      </c>
      <c r="F35" s="19">
        <f>IFERROR(IF(INDEX(Corrupcion!$E$2:$E$377,MATCH($A35&amp;"|"&amp;$B35,Corrupcion!$H$2:$H$377,0))="","",INDEX(Corrupcion!$E$2:$E$377,MATCH($A35&amp;"|"&amp;$B35,Corrupcion!$H$2:$H$377,0))),"")</f>
        <v/>
      </c>
      <c r="G35" s="20">
        <f>IFERROR(IF(INDEX(Corrupcion!$F$2:$F$377,MATCH($A35&amp;"|"&amp;$B35,Corrupcion!$H$2:$H$377,0))="","",INDEX(Corrupcion!$F$2:$F$377,MATCH($A35&amp;"|"&amp;$B35,Corrupcion!$H$2:$H$377,0))),"")</f>
        <v/>
      </c>
      <c r="H35" s="17">
        <f>IFERROR(IF(INDEX(Corrupcion!$G$2:$G$377,MATCH($A35&amp;"|"&amp;$B35,Corrupcion!$H$2:$H$377,0))="","",INDEX(Corrupcion!$G$2:$G$377,MATCH($A35&amp;"|"&amp;$B35,Corrupcion!$H$2:$H$377,0))),"")</f>
        <v/>
      </c>
      <c r="I35" s="8">
        <f>IF(COUNTBLANK(C35:E35)+COUNTBLANK(F35)=0,1,0)</f>
        <v/>
      </c>
      <c r="J35" s="8">
        <f>IF(COUNTBLANK(C35:E35)+COUNTBLANK(G35)=0,1,0)</f>
        <v/>
      </c>
      <c r="K35" s="8">
        <f>IF(COUNTBLANK(C35:E35)+COUNTBLANK(H35)=0,1,0)</f>
        <v/>
      </c>
    </row>
    <row r="36">
      <c r="A36" s="8" t="inlineStr">
        <is>
          <t>Bolivia</t>
        </is>
      </c>
      <c r="B36" s="8" t="n">
        <v>2009</v>
      </c>
      <c r="C36" s="18">
        <f>IF(Categorias!C37="","",Categorias!C37)</f>
        <v/>
      </c>
      <c r="D36" s="18">
        <f>IF(Categorias!H37="","",Categorias!H37)</f>
        <v/>
      </c>
      <c r="E36" s="17">
        <f>IFERROR(IF(INDEX(Gini!$C$2:$C$377,MATCH($A36&amp;"|"&amp;$B36,Gini!$E$2:$E$377,0))="","",INDEX(Gini!$C$2:$C$377,MATCH($A36&amp;"|"&amp;$B36,Gini!$E$2:$E$377,0))),"")</f>
        <v/>
      </c>
      <c r="F36" s="19">
        <f>IFERROR(IF(INDEX(Corrupcion!$E$2:$E$377,MATCH($A36&amp;"|"&amp;$B36,Corrupcion!$H$2:$H$377,0))="","",INDEX(Corrupcion!$E$2:$E$377,MATCH($A36&amp;"|"&amp;$B36,Corrupcion!$H$2:$H$377,0))),"")</f>
        <v/>
      </c>
      <c r="G36" s="20">
        <f>IFERROR(IF(INDEX(Corrupcion!$F$2:$F$377,MATCH($A36&amp;"|"&amp;$B36,Corrupcion!$H$2:$H$377,0))="","",INDEX(Corrupcion!$F$2:$F$377,MATCH($A36&amp;"|"&amp;$B36,Corrupcion!$H$2:$H$377,0))),"")</f>
        <v/>
      </c>
      <c r="H36" s="17">
        <f>IFERROR(IF(INDEX(Corrupcion!$G$2:$G$377,MATCH($A36&amp;"|"&amp;$B36,Corrupcion!$H$2:$H$377,0))="","",INDEX(Corrupcion!$G$2:$G$377,MATCH($A36&amp;"|"&amp;$B36,Corrupcion!$H$2:$H$377,0))),"")</f>
        <v/>
      </c>
      <c r="I36" s="8">
        <f>IF(COUNTBLANK(C36:E36)+COUNTBLANK(F36)=0,1,0)</f>
        <v/>
      </c>
      <c r="J36" s="8">
        <f>IF(COUNTBLANK(C36:E36)+COUNTBLANK(G36)=0,1,0)</f>
        <v/>
      </c>
      <c r="K36" s="8">
        <f>IF(COUNTBLANK(C36:E36)+COUNTBLANK(H36)=0,1,0)</f>
        <v/>
      </c>
    </row>
    <row r="37">
      <c r="A37" s="8" t="inlineStr">
        <is>
          <t>Bolivia</t>
        </is>
      </c>
      <c r="B37" s="8" t="n">
        <v>2010</v>
      </c>
      <c r="C37" s="18">
        <f>IF(Categorias!C38="","",Categorias!C38)</f>
        <v/>
      </c>
      <c r="D37" s="18">
        <f>IF(Categorias!H38="","",Categorias!H38)</f>
        <v/>
      </c>
      <c r="E37" s="17">
        <f>IFERROR(IF(INDEX(Gini!$C$2:$C$377,MATCH($A37&amp;"|"&amp;$B37,Gini!$E$2:$E$377,0))="","",INDEX(Gini!$C$2:$C$377,MATCH($A37&amp;"|"&amp;$B37,Gini!$E$2:$E$377,0))),"")</f>
        <v/>
      </c>
      <c r="F37" s="19">
        <f>IFERROR(IF(INDEX(Corrupcion!$E$2:$E$377,MATCH($A37&amp;"|"&amp;$B37,Corrupcion!$H$2:$H$377,0))="","",INDEX(Corrupcion!$E$2:$E$377,MATCH($A37&amp;"|"&amp;$B37,Corrupcion!$H$2:$H$377,0))),"")</f>
        <v/>
      </c>
      <c r="G37" s="20">
        <f>IFERROR(IF(INDEX(Corrupcion!$F$2:$F$377,MATCH($A37&amp;"|"&amp;$B37,Corrupcion!$H$2:$H$377,0))="","",INDEX(Corrupcion!$F$2:$F$377,MATCH($A37&amp;"|"&amp;$B37,Corrupcion!$H$2:$H$377,0))),"")</f>
        <v/>
      </c>
      <c r="H37" s="17">
        <f>IFERROR(IF(INDEX(Corrupcion!$G$2:$G$377,MATCH($A37&amp;"|"&amp;$B37,Corrupcion!$H$2:$H$377,0))="","",INDEX(Corrupcion!$G$2:$G$377,MATCH($A37&amp;"|"&amp;$B37,Corrupcion!$H$2:$H$377,0))),"")</f>
        <v/>
      </c>
      <c r="I37" s="8">
        <f>IF(COUNTBLANK(C37:E37)+COUNTBLANK(F37)=0,1,0)</f>
        <v/>
      </c>
      <c r="J37" s="8">
        <f>IF(COUNTBLANK(C37:E37)+COUNTBLANK(G37)=0,1,0)</f>
        <v/>
      </c>
      <c r="K37" s="8">
        <f>IF(COUNTBLANK(C37:E37)+COUNTBLANK(H37)=0,1,0)</f>
        <v/>
      </c>
    </row>
    <row r="38">
      <c r="A38" s="8" t="inlineStr">
        <is>
          <t>Bolivia</t>
        </is>
      </c>
      <c r="B38" s="8" t="n">
        <v>2011</v>
      </c>
      <c r="C38" s="18">
        <f>IF(Categorias!C39="","",Categorias!C39)</f>
        <v/>
      </c>
      <c r="D38" s="18">
        <f>IF(Categorias!H39="","",Categorias!H39)</f>
        <v/>
      </c>
      <c r="E38" s="17">
        <f>IFERROR(IF(INDEX(Gini!$C$2:$C$377,MATCH($A38&amp;"|"&amp;$B38,Gini!$E$2:$E$377,0))="","",INDEX(Gini!$C$2:$C$377,MATCH($A38&amp;"|"&amp;$B38,Gini!$E$2:$E$377,0))),"")</f>
        <v/>
      </c>
      <c r="F38" s="19">
        <f>IFERROR(IF(INDEX(Corrupcion!$E$2:$E$377,MATCH($A38&amp;"|"&amp;$B38,Corrupcion!$H$2:$H$377,0))="","",INDEX(Corrupcion!$E$2:$E$377,MATCH($A38&amp;"|"&amp;$B38,Corrupcion!$H$2:$H$377,0))),"")</f>
        <v/>
      </c>
      <c r="G38" s="20">
        <f>IFERROR(IF(INDEX(Corrupcion!$F$2:$F$377,MATCH($A38&amp;"|"&amp;$B38,Corrupcion!$H$2:$H$377,0))="","",INDEX(Corrupcion!$F$2:$F$377,MATCH($A38&amp;"|"&amp;$B38,Corrupcion!$H$2:$H$377,0))),"")</f>
        <v/>
      </c>
      <c r="H38" s="17">
        <f>IFERROR(IF(INDEX(Corrupcion!$G$2:$G$377,MATCH($A38&amp;"|"&amp;$B38,Corrupcion!$H$2:$H$377,0))="","",INDEX(Corrupcion!$G$2:$G$377,MATCH($A38&amp;"|"&amp;$B38,Corrupcion!$H$2:$H$377,0))),"")</f>
        <v/>
      </c>
      <c r="I38" s="8">
        <f>IF(COUNTBLANK(C38:E38)+COUNTBLANK(F38)=0,1,0)</f>
        <v/>
      </c>
      <c r="J38" s="8">
        <f>IF(COUNTBLANK(C38:E38)+COUNTBLANK(G38)=0,1,0)</f>
        <v/>
      </c>
      <c r="K38" s="8">
        <f>IF(COUNTBLANK(C38:E38)+COUNTBLANK(H38)=0,1,0)</f>
        <v/>
      </c>
    </row>
    <row r="39">
      <c r="A39" s="8" t="inlineStr">
        <is>
          <t>Bolivia</t>
        </is>
      </c>
      <c r="B39" s="8" t="n">
        <v>2016</v>
      </c>
      <c r="C39" s="18">
        <f>IF(Categorias!C40="","",Categorias!C40)</f>
        <v/>
      </c>
      <c r="D39" s="18">
        <f>IF(Categorias!H40="","",Categorias!H40)</f>
        <v/>
      </c>
      <c r="E39" s="17">
        <f>IFERROR(IF(INDEX(Gini!$C$2:$C$377,MATCH($A39&amp;"|"&amp;$B39,Gini!$E$2:$E$377,0))="","",INDEX(Gini!$C$2:$C$377,MATCH($A39&amp;"|"&amp;$B39,Gini!$E$2:$E$377,0))),"")</f>
        <v/>
      </c>
      <c r="F39" s="19">
        <f>IFERROR(IF(INDEX(Corrupcion!$E$2:$E$377,MATCH($A39&amp;"|"&amp;$B39,Corrupcion!$H$2:$H$377,0))="","",INDEX(Corrupcion!$E$2:$E$377,MATCH($A39&amp;"|"&amp;$B39,Corrupcion!$H$2:$H$377,0))),"")</f>
        <v/>
      </c>
      <c r="G39" s="20">
        <f>IFERROR(IF(INDEX(Corrupcion!$F$2:$F$377,MATCH($A39&amp;"|"&amp;$B39,Corrupcion!$H$2:$H$377,0))="","",INDEX(Corrupcion!$F$2:$F$377,MATCH($A39&amp;"|"&amp;$B39,Corrupcion!$H$2:$H$377,0))),"")</f>
        <v/>
      </c>
      <c r="H39" s="17">
        <f>IFERROR(IF(INDEX(Corrupcion!$G$2:$G$377,MATCH($A39&amp;"|"&amp;$B39,Corrupcion!$H$2:$H$377,0))="","",INDEX(Corrupcion!$G$2:$G$377,MATCH($A39&amp;"|"&amp;$B39,Corrupcion!$H$2:$H$377,0))),"")</f>
        <v/>
      </c>
      <c r="I39" s="8">
        <f>IF(COUNTBLANK(C39:E39)+COUNTBLANK(F39)=0,1,0)</f>
        <v/>
      </c>
      <c r="J39" s="8">
        <f>IF(COUNTBLANK(C39:E39)+COUNTBLANK(G39)=0,1,0)</f>
        <v/>
      </c>
      <c r="K39" s="8">
        <f>IF(COUNTBLANK(C39:E39)+COUNTBLANK(H39)=0,1,0)</f>
        <v/>
      </c>
    </row>
    <row r="40">
      <c r="A40" s="8" t="inlineStr">
        <is>
          <t>Bolivia</t>
        </is>
      </c>
      <c r="B40" s="8" t="n">
        <v>2017</v>
      </c>
      <c r="C40" s="18">
        <f>IF(Categorias!C41="","",Categorias!C41)</f>
        <v/>
      </c>
      <c r="D40" s="18">
        <f>IF(Categorias!H41="","",Categorias!H41)</f>
        <v/>
      </c>
      <c r="E40" s="17">
        <f>IFERROR(IF(INDEX(Gini!$C$2:$C$377,MATCH($A40&amp;"|"&amp;$B40,Gini!$E$2:$E$377,0))="","",INDEX(Gini!$C$2:$C$377,MATCH($A40&amp;"|"&amp;$B40,Gini!$E$2:$E$377,0))),"")</f>
        <v/>
      </c>
      <c r="F40" s="19">
        <f>IFERROR(IF(INDEX(Corrupcion!$E$2:$E$377,MATCH($A40&amp;"|"&amp;$B40,Corrupcion!$H$2:$H$377,0))="","",INDEX(Corrupcion!$E$2:$E$377,MATCH($A40&amp;"|"&amp;$B40,Corrupcion!$H$2:$H$377,0))),"")</f>
        <v/>
      </c>
      <c r="G40" s="20">
        <f>IFERROR(IF(INDEX(Corrupcion!$F$2:$F$377,MATCH($A40&amp;"|"&amp;$B40,Corrupcion!$H$2:$H$377,0))="","",INDEX(Corrupcion!$F$2:$F$377,MATCH($A40&amp;"|"&amp;$B40,Corrupcion!$H$2:$H$377,0))),"")</f>
        <v/>
      </c>
      <c r="H40" s="17">
        <f>IFERROR(IF(INDEX(Corrupcion!$G$2:$G$377,MATCH($A40&amp;"|"&amp;$B40,Corrupcion!$H$2:$H$377,0))="","",INDEX(Corrupcion!$G$2:$G$377,MATCH($A40&amp;"|"&amp;$B40,Corrupcion!$H$2:$H$377,0))),"")</f>
        <v/>
      </c>
      <c r="I40" s="8">
        <f>IF(COUNTBLANK(C40:E40)+COUNTBLANK(F40)=0,1,0)</f>
        <v/>
      </c>
      <c r="J40" s="8">
        <f>IF(COUNTBLANK(C40:E40)+COUNTBLANK(G40)=0,1,0)</f>
        <v/>
      </c>
      <c r="K40" s="8">
        <f>IF(COUNTBLANK(C40:E40)+COUNTBLANK(H40)=0,1,0)</f>
        <v/>
      </c>
    </row>
    <row r="41">
      <c r="A41" s="8" t="inlineStr">
        <is>
          <t>Bolivia</t>
        </is>
      </c>
      <c r="B41" s="8" t="n">
        <v>2018</v>
      </c>
      <c r="C41" s="18">
        <f>IF(Categorias!C42="","",Categorias!C42)</f>
        <v/>
      </c>
      <c r="D41" s="18">
        <f>IF(Categorias!H42="","",Categorias!H42)</f>
        <v/>
      </c>
      <c r="E41" s="17">
        <f>IFERROR(IF(INDEX(Gini!$C$2:$C$377,MATCH($A41&amp;"|"&amp;$B41,Gini!$E$2:$E$377,0))="","",INDEX(Gini!$C$2:$C$377,MATCH($A41&amp;"|"&amp;$B41,Gini!$E$2:$E$377,0))),"")</f>
        <v/>
      </c>
      <c r="F41" s="19">
        <f>IFERROR(IF(INDEX(Corrupcion!$E$2:$E$377,MATCH($A41&amp;"|"&amp;$B41,Corrupcion!$H$2:$H$377,0))="","",INDEX(Corrupcion!$E$2:$E$377,MATCH($A41&amp;"|"&amp;$B41,Corrupcion!$H$2:$H$377,0))),"")</f>
        <v/>
      </c>
      <c r="G41" s="20">
        <f>IFERROR(IF(INDEX(Corrupcion!$F$2:$F$377,MATCH($A41&amp;"|"&amp;$B41,Corrupcion!$H$2:$H$377,0))="","",INDEX(Corrupcion!$F$2:$F$377,MATCH($A41&amp;"|"&amp;$B41,Corrupcion!$H$2:$H$377,0))),"")</f>
        <v/>
      </c>
      <c r="H41" s="17">
        <f>IFERROR(IF(INDEX(Corrupcion!$G$2:$G$377,MATCH($A41&amp;"|"&amp;$B41,Corrupcion!$H$2:$H$377,0))="","",INDEX(Corrupcion!$G$2:$G$377,MATCH($A41&amp;"|"&amp;$B41,Corrupcion!$H$2:$H$377,0))),"")</f>
        <v/>
      </c>
      <c r="I41" s="8">
        <f>IF(COUNTBLANK(C41:E41)+COUNTBLANK(F41)=0,1,0)</f>
        <v/>
      </c>
      <c r="J41" s="8">
        <f>IF(COUNTBLANK(C41:E41)+COUNTBLANK(G41)=0,1,0)</f>
        <v/>
      </c>
      <c r="K41" s="8">
        <f>IF(COUNTBLANK(C41:E41)+COUNTBLANK(H41)=0,1,0)</f>
        <v/>
      </c>
    </row>
    <row r="42">
      <c r="A42" s="8" t="inlineStr">
        <is>
          <t>Bolivia</t>
        </is>
      </c>
      <c r="B42" s="8" t="n">
        <v>2020</v>
      </c>
      <c r="C42" s="18">
        <f>IF(Categorias!C43="","",Categorias!C43)</f>
        <v/>
      </c>
      <c r="D42" s="18">
        <f>IF(Categorias!H43="","",Categorias!H43)</f>
        <v/>
      </c>
      <c r="E42" s="17">
        <f>IFERROR(IF(INDEX(Gini!$C$2:$C$377,MATCH($A42&amp;"|"&amp;$B42,Gini!$E$2:$E$377,0))="","",INDEX(Gini!$C$2:$C$377,MATCH($A42&amp;"|"&amp;$B42,Gini!$E$2:$E$377,0))),"")</f>
        <v/>
      </c>
      <c r="F42" s="19">
        <f>IFERROR(IF(INDEX(Corrupcion!$E$2:$E$377,MATCH($A42&amp;"|"&amp;$B42,Corrupcion!$H$2:$H$377,0))="","",INDEX(Corrupcion!$E$2:$E$377,MATCH($A42&amp;"|"&amp;$B42,Corrupcion!$H$2:$H$377,0))),"")</f>
        <v/>
      </c>
      <c r="G42" s="20">
        <f>IFERROR(IF(INDEX(Corrupcion!$F$2:$F$377,MATCH($A42&amp;"|"&amp;$B42,Corrupcion!$H$2:$H$377,0))="","",INDEX(Corrupcion!$F$2:$F$377,MATCH($A42&amp;"|"&amp;$B42,Corrupcion!$H$2:$H$377,0))),"")</f>
        <v/>
      </c>
      <c r="H42" s="17">
        <f>IFERROR(IF(INDEX(Corrupcion!$G$2:$G$377,MATCH($A42&amp;"|"&amp;$B42,Corrupcion!$H$2:$H$377,0))="","",INDEX(Corrupcion!$G$2:$G$377,MATCH($A42&amp;"|"&amp;$B42,Corrupcion!$H$2:$H$377,0))),"")</f>
        <v/>
      </c>
      <c r="I42" s="8">
        <f>IF(COUNTBLANK(C42:E42)+COUNTBLANK(F42)=0,1,0)</f>
        <v/>
      </c>
      <c r="J42" s="8">
        <f>IF(COUNTBLANK(C42:E42)+COUNTBLANK(G42)=0,1,0)</f>
        <v/>
      </c>
      <c r="K42" s="8">
        <f>IF(COUNTBLANK(C42:E42)+COUNTBLANK(H42)=0,1,0)</f>
        <v/>
      </c>
    </row>
    <row r="43">
      <c r="A43" s="8" t="inlineStr">
        <is>
          <t>Bolivia</t>
        </is>
      </c>
      <c r="B43" s="8" t="n">
        <v>2024</v>
      </c>
      <c r="C43" s="18">
        <f>IF(Categorias!C44="","",Categorias!C44)</f>
        <v/>
      </c>
      <c r="D43" s="18">
        <f>IF(Categorias!H44="","",Categorias!H44)</f>
        <v/>
      </c>
      <c r="E43" s="17">
        <f>IFERROR(IF(INDEX(Gini!$C$2:$C$377,MATCH($A43&amp;"|"&amp;$B43,Gini!$E$2:$E$377,0))="","",INDEX(Gini!$C$2:$C$377,MATCH($A43&amp;"|"&amp;$B43,Gini!$E$2:$E$377,0))),"")</f>
        <v/>
      </c>
      <c r="F43" s="19">
        <f>IFERROR(IF(INDEX(Corrupcion!$E$2:$E$377,MATCH($A43&amp;"|"&amp;$B43,Corrupcion!$H$2:$H$377,0))="","",INDEX(Corrupcion!$E$2:$E$377,MATCH($A43&amp;"|"&amp;$B43,Corrupcion!$H$2:$H$377,0))),"")</f>
        <v/>
      </c>
      <c r="G43" s="20">
        <f>IFERROR(IF(INDEX(Corrupcion!$F$2:$F$377,MATCH($A43&amp;"|"&amp;$B43,Corrupcion!$H$2:$H$377,0))="","",INDEX(Corrupcion!$F$2:$F$377,MATCH($A43&amp;"|"&amp;$B43,Corrupcion!$H$2:$H$377,0))),"")</f>
        <v/>
      </c>
      <c r="H43" s="17">
        <f>IFERROR(IF(INDEX(Corrupcion!$G$2:$G$377,MATCH($A43&amp;"|"&amp;$B43,Corrupcion!$H$2:$H$377,0))="","",INDEX(Corrupcion!$G$2:$G$377,MATCH($A43&amp;"|"&amp;$B43,Corrupcion!$H$2:$H$377,0))),"")</f>
        <v/>
      </c>
      <c r="I43" s="8">
        <f>IF(COUNTBLANK(C43:E43)+COUNTBLANK(F43)=0,1,0)</f>
        <v/>
      </c>
      <c r="J43" s="8">
        <f>IF(COUNTBLANK(C43:E43)+COUNTBLANK(G43)=0,1,0)</f>
        <v/>
      </c>
      <c r="K43" s="8">
        <f>IF(COUNTBLANK(C43:E43)+COUNTBLANK(H43)=0,1,0)</f>
        <v/>
      </c>
    </row>
    <row r="44">
      <c r="A44" s="8" t="inlineStr">
        <is>
          <t>Brasil</t>
        </is>
      </c>
      <c r="B44" s="8" t="n">
        <v>1995</v>
      </c>
      <c r="C44" s="18">
        <f>IF(Categorias!C45="","",Categorias!C45)</f>
        <v/>
      </c>
      <c r="D44" s="18">
        <f>IF(Categorias!H45="","",Categorias!H45)</f>
        <v/>
      </c>
      <c r="E44" s="17">
        <f>IFERROR(IF(INDEX(Gini!$C$2:$C$377,MATCH($A44&amp;"|"&amp;$B44,Gini!$E$2:$E$377,0))="","",INDEX(Gini!$C$2:$C$377,MATCH($A44&amp;"|"&amp;$B44,Gini!$E$2:$E$377,0))),"")</f>
        <v/>
      </c>
      <c r="F44" s="19">
        <f>IFERROR(IF(INDEX(Corrupcion!$E$2:$E$377,MATCH($A44&amp;"|"&amp;$B44,Corrupcion!$H$2:$H$377,0))="","",INDEX(Corrupcion!$E$2:$E$377,MATCH($A44&amp;"|"&amp;$B44,Corrupcion!$H$2:$H$377,0))),"")</f>
        <v/>
      </c>
      <c r="G44" s="20">
        <f>IFERROR(IF(INDEX(Corrupcion!$F$2:$F$377,MATCH($A44&amp;"|"&amp;$B44,Corrupcion!$H$2:$H$377,0))="","",INDEX(Corrupcion!$F$2:$F$377,MATCH($A44&amp;"|"&amp;$B44,Corrupcion!$H$2:$H$377,0))),"")</f>
        <v/>
      </c>
      <c r="H44" s="17">
        <f>IFERROR(IF(INDEX(Corrupcion!$G$2:$G$377,MATCH($A44&amp;"|"&amp;$B44,Corrupcion!$H$2:$H$377,0))="","",INDEX(Corrupcion!$G$2:$G$377,MATCH($A44&amp;"|"&amp;$B44,Corrupcion!$H$2:$H$377,0))),"")</f>
        <v/>
      </c>
      <c r="I44" s="8">
        <f>IF(COUNTBLANK(C44:E44)+COUNTBLANK(F44)=0,1,0)</f>
        <v/>
      </c>
      <c r="J44" s="8">
        <f>IF(COUNTBLANK(C44:E44)+COUNTBLANK(G44)=0,1,0)</f>
        <v/>
      </c>
      <c r="K44" s="8">
        <f>IF(COUNTBLANK(C44:E44)+COUNTBLANK(H44)=0,1,0)</f>
        <v/>
      </c>
    </row>
    <row r="45">
      <c r="A45" s="8" t="inlineStr">
        <is>
          <t>Brasil</t>
        </is>
      </c>
      <c r="B45" s="8" t="n">
        <v>1996</v>
      </c>
      <c r="C45" s="18">
        <f>IF(Categorias!C46="","",Categorias!C46)</f>
        <v/>
      </c>
      <c r="D45" s="18">
        <f>IF(Categorias!H46="","",Categorias!H46)</f>
        <v/>
      </c>
      <c r="E45" s="17">
        <f>IFERROR(IF(INDEX(Gini!$C$2:$C$377,MATCH($A45&amp;"|"&amp;$B45,Gini!$E$2:$E$377,0))="","",INDEX(Gini!$C$2:$C$377,MATCH($A45&amp;"|"&amp;$B45,Gini!$E$2:$E$377,0))),"")</f>
        <v/>
      </c>
      <c r="F45" s="19">
        <f>IFERROR(IF(INDEX(Corrupcion!$E$2:$E$377,MATCH($A45&amp;"|"&amp;$B45,Corrupcion!$H$2:$H$377,0))="","",INDEX(Corrupcion!$E$2:$E$377,MATCH($A45&amp;"|"&amp;$B45,Corrupcion!$H$2:$H$377,0))),"")</f>
        <v/>
      </c>
      <c r="G45" s="20">
        <f>IFERROR(IF(INDEX(Corrupcion!$F$2:$F$377,MATCH($A45&amp;"|"&amp;$B45,Corrupcion!$H$2:$H$377,0))="","",INDEX(Corrupcion!$F$2:$F$377,MATCH($A45&amp;"|"&amp;$B45,Corrupcion!$H$2:$H$377,0))),"")</f>
        <v/>
      </c>
      <c r="H45" s="17">
        <f>IFERROR(IF(INDEX(Corrupcion!$G$2:$G$377,MATCH($A45&amp;"|"&amp;$B45,Corrupcion!$H$2:$H$377,0))="","",INDEX(Corrupcion!$G$2:$G$377,MATCH($A45&amp;"|"&amp;$B45,Corrupcion!$H$2:$H$377,0))),"")</f>
        <v/>
      </c>
      <c r="I45" s="8">
        <f>IF(COUNTBLANK(C45:E45)+COUNTBLANK(F45)=0,1,0)</f>
        <v/>
      </c>
      <c r="J45" s="8">
        <f>IF(COUNTBLANK(C45:E45)+COUNTBLANK(G45)=0,1,0)</f>
        <v/>
      </c>
      <c r="K45" s="8">
        <f>IF(COUNTBLANK(C45:E45)+COUNTBLANK(H45)=0,1,0)</f>
        <v/>
      </c>
    </row>
    <row r="46">
      <c r="A46" s="8" t="inlineStr">
        <is>
          <t>Brasil</t>
        </is>
      </c>
      <c r="B46" s="8" t="n">
        <v>1997</v>
      </c>
      <c r="C46" s="18">
        <f>IF(Categorias!C47="","",Categorias!C47)</f>
        <v/>
      </c>
      <c r="D46" s="18">
        <f>IF(Categorias!H47="","",Categorias!H47)</f>
        <v/>
      </c>
      <c r="E46" s="17">
        <f>IFERROR(IF(INDEX(Gini!$C$2:$C$377,MATCH($A46&amp;"|"&amp;$B46,Gini!$E$2:$E$377,0))="","",INDEX(Gini!$C$2:$C$377,MATCH($A46&amp;"|"&amp;$B46,Gini!$E$2:$E$377,0))),"")</f>
        <v/>
      </c>
      <c r="F46" s="19">
        <f>IFERROR(IF(INDEX(Corrupcion!$E$2:$E$377,MATCH($A46&amp;"|"&amp;$B46,Corrupcion!$H$2:$H$377,0))="","",INDEX(Corrupcion!$E$2:$E$377,MATCH($A46&amp;"|"&amp;$B46,Corrupcion!$H$2:$H$377,0))),"")</f>
        <v/>
      </c>
      <c r="G46" s="20">
        <f>IFERROR(IF(INDEX(Corrupcion!$F$2:$F$377,MATCH($A46&amp;"|"&amp;$B46,Corrupcion!$H$2:$H$377,0))="","",INDEX(Corrupcion!$F$2:$F$377,MATCH($A46&amp;"|"&amp;$B46,Corrupcion!$H$2:$H$377,0))),"")</f>
        <v/>
      </c>
      <c r="H46" s="17">
        <f>IFERROR(IF(INDEX(Corrupcion!$G$2:$G$377,MATCH($A46&amp;"|"&amp;$B46,Corrupcion!$H$2:$H$377,0))="","",INDEX(Corrupcion!$G$2:$G$377,MATCH($A46&amp;"|"&amp;$B46,Corrupcion!$H$2:$H$377,0))),"")</f>
        <v/>
      </c>
      <c r="I46" s="8">
        <f>IF(COUNTBLANK(C46:E46)+COUNTBLANK(F46)=0,1,0)</f>
        <v/>
      </c>
      <c r="J46" s="8">
        <f>IF(COUNTBLANK(C46:E46)+COUNTBLANK(G46)=0,1,0)</f>
        <v/>
      </c>
      <c r="K46" s="8">
        <f>IF(COUNTBLANK(C46:E46)+COUNTBLANK(H46)=0,1,0)</f>
        <v/>
      </c>
    </row>
    <row r="47">
      <c r="A47" s="8" t="inlineStr">
        <is>
          <t>Brasil</t>
        </is>
      </c>
      <c r="B47" s="8" t="n">
        <v>1998</v>
      </c>
      <c r="C47" s="18">
        <f>IF(Categorias!C48="","",Categorias!C48)</f>
        <v/>
      </c>
      <c r="D47" s="18">
        <f>IF(Categorias!H48="","",Categorias!H48)</f>
        <v/>
      </c>
      <c r="E47" s="17">
        <f>IFERROR(IF(INDEX(Gini!$C$2:$C$377,MATCH($A47&amp;"|"&amp;$B47,Gini!$E$2:$E$377,0))="","",INDEX(Gini!$C$2:$C$377,MATCH($A47&amp;"|"&amp;$B47,Gini!$E$2:$E$377,0))),"")</f>
        <v/>
      </c>
      <c r="F47" s="19">
        <f>IFERROR(IF(INDEX(Corrupcion!$E$2:$E$377,MATCH($A47&amp;"|"&amp;$B47,Corrupcion!$H$2:$H$377,0))="","",INDEX(Corrupcion!$E$2:$E$377,MATCH($A47&amp;"|"&amp;$B47,Corrupcion!$H$2:$H$377,0))),"")</f>
        <v/>
      </c>
      <c r="G47" s="20">
        <f>IFERROR(IF(INDEX(Corrupcion!$F$2:$F$377,MATCH($A47&amp;"|"&amp;$B47,Corrupcion!$H$2:$H$377,0))="","",INDEX(Corrupcion!$F$2:$F$377,MATCH($A47&amp;"|"&amp;$B47,Corrupcion!$H$2:$H$377,0))),"")</f>
        <v/>
      </c>
      <c r="H47" s="17">
        <f>IFERROR(IF(INDEX(Corrupcion!$G$2:$G$377,MATCH($A47&amp;"|"&amp;$B47,Corrupcion!$H$2:$H$377,0))="","",INDEX(Corrupcion!$G$2:$G$377,MATCH($A47&amp;"|"&amp;$B47,Corrupcion!$H$2:$H$377,0))),"")</f>
        <v/>
      </c>
      <c r="I47" s="8">
        <f>IF(COUNTBLANK(C47:E47)+COUNTBLANK(F47)=0,1,0)</f>
        <v/>
      </c>
      <c r="J47" s="8">
        <f>IF(COUNTBLANK(C47:E47)+COUNTBLANK(G47)=0,1,0)</f>
        <v/>
      </c>
      <c r="K47" s="8">
        <f>IF(COUNTBLANK(C47:E47)+COUNTBLANK(H47)=0,1,0)</f>
        <v/>
      </c>
    </row>
    <row r="48">
      <c r="A48" s="8" t="inlineStr">
        <is>
          <t>Brasil</t>
        </is>
      </c>
      <c r="B48" s="8" t="n">
        <v>2000</v>
      </c>
      <c r="C48" s="18">
        <f>IF(Categorias!C49="","",Categorias!C49)</f>
        <v/>
      </c>
      <c r="D48" s="18">
        <f>IF(Categorias!H49="","",Categorias!H49)</f>
        <v/>
      </c>
      <c r="E48" s="17">
        <f>IFERROR(IF(INDEX(Gini!$C$2:$C$377,MATCH($A48&amp;"|"&amp;$B48,Gini!$E$2:$E$377,0))="","",INDEX(Gini!$C$2:$C$377,MATCH($A48&amp;"|"&amp;$B48,Gini!$E$2:$E$377,0))),"")</f>
        <v/>
      </c>
      <c r="F48" s="19">
        <f>IFERROR(IF(INDEX(Corrupcion!$E$2:$E$377,MATCH($A48&amp;"|"&amp;$B48,Corrupcion!$H$2:$H$377,0))="","",INDEX(Corrupcion!$E$2:$E$377,MATCH($A48&amp;"|"&amp;$B48,Corrupcion!$H$2:$H$377,0))),"")</f>
        <v/>
      </c>
      <c r="G48" s="20">
        <f>IFERROR(IF(INDEX(Corrupcion!$F$2:$F$377,MATCH($A48&amp;"|"&amp;$B48,Corrupcion!$H$2:$H$377,0))="","",INDEX(Corrupcion!$F$2:$F$377,MATCH($A48&amp;"|"&amp;$B48,Corrupcion!$H$2:$H$377,0))),"")</f>
        <v/>
      </c>
      <c r="H48" s="17">
        <f>IFERROR(IF(INDEX(Corrupcion!$G$2:$G$377,MATCH($A48&amp;"|"&amp;$B48,Corrupcion!$H$2:$H$377,0))="","",INDEX(Corrupcion!$G$2:$G$377,MATCH($A48&amp;"|"&amp;$B48,Corrupcion!$H$2:$H$377,0))),"")</f>
        <v/>
      </c>
      <c r="I48" s="8">
        <f>IF(COUNTBLANK(C48:E48)+COUNTBLANK(F48)=0,1,0)</f>
        <v/>
      </c>
      <c r="J48" s="8">
        <f>IF(COUNTBLANK(C48:E48)+COUNTBLANK(G48)=0,1,0)</f>
        <v/>
      </c>
      <c r="K48" s="8">
        <f>IF(COUNTBLANK(C48:E48)+COUNTBLANK(H48)=0,1,0)</f>
        <v/>
      </c>
    </row>
    <row r="49">
      <c r="A49" s="8" t="inlineStr">
        <is>
          <t>Brasil</t>
        </is>
      </c>
      <c r="B49" s="8" t="n">
        <v>2001</v>
      </c>
      <c r="C49" s="18">
        <f>IF(Categorias!C50="","",Categorias!C50)</f>
        <v/>
      </c>
      <c r="D49" s="18">
        <f>IF(Categorias!H50="","",Categorias!H50)</f>
        <v/>
      </c>
      <c r="E49" s="17">
        <f>IFERROR(IF(INDEX(Gini!$C$2:$C$377,MATCH($A49&amp;"|"&amp;$B49,Gini!$E$2:$E$377,0))="","",INDEX(Gini!$C$2:$C$377,MATCH($A49&amp;"|"&amp;$B49,Gini!$E$2:$E$377,0))),"")</f>
        <v/>
      </c>
      <c r="F49" s="19">
        <f>IFERROR(IF(INDEX(Corrupcion!$E$2:$E$377,MATCH($A49&amp;"|"&amp;$B49,Corrupcion!$H$2:$H$377,0))="","",INDEX(Corrupcion!$E$2:$E$377,MATCH($A49&amp;"|"&amp;$B49,Corrupcion!$H$2:$H$377,0))),"")</f>
        <v/>
      </c>
      <c r="G49" s="20">
        <f>IFERROR(IF(INDEX(Corrupcion!$F$2:$F$377,MATCH($A49&amp;"|"&amp;$B49,Corrupcion!$H$2:$H$377,0))="","",INDEX(Corrupcion!$F$2:$F$377,MATCH($A49&amp;"|"&amp;$B49,Corrupcion!$H$2:$H$377,0))),"")</f>
        <v/>
      </c>
      <c r="H49" s="17">
        <f>IFERROR(IF(INDEX(Corrupcion!$G$2:$G$377,MATCH($A49&amp;"|"&amp;$B49,Corrupcion!$H$2:$H$377,0))="","",INDEX(Corrupcion!$G$2:$G$377,MATCH($A49&amp;"|"&amp;$B49,Corrupcion!$H$2:$H$377,0))),"")</f>
        <v/>
      </c>
      <c r="I49" s="8">
        <f>IF(COUNTBLANK(C49:E49)+COUNTBLANK(F49)=0,1,0)</f>
        <v/>
      </c>
      <c r="J49" s="8">
        <f>IF(COUNTBLANK(C49:E49)+COUNTBLANK(G49)=0,1,0)</f>
        <v/>
      </c>
      <c r="K49" s="8">
        <f>IF(COUNTBLANK(C49:E49)+COUNTBLANK(H49)=0,1,0)</f>
        <v/>
      </c>
    </row>
    <row r="50">
      <c r="A50" s="8" t="inlineStr">
        <is>
          <t>Brasil</t>
        </is>
      </c>
      <c r="B50" s="8" t="n">
        <v>2002</v>
      </c>
      <c r="C50" s="18">
        <f>IF(Categorias!C51="","",Categorias!C51)</f>
        <v/>
      </c>
      <c r="D50" s="18">
        <f>IF(Categorias!H51="","",Categorias!H51)</f>
        <v/>
      </c>
      <c r="E50" s="17">
        <f>IFERROR(IF(INDEX(Gini!$C$2:$C$377,MATCH($A50&amp;"|"&amp;$B50,Gini!$E$2:$E$377,0))="","",INDEX(Gini!$C$2:$C$377,MATCH($A50&amp;"|"&amp;$B50,Gini!$E$2:$E$377,0))),"")</f>
        <v/>
      </c>
      <c r="F50" s="19">
        <f>IFERROR(IF(INDEX(Corrupcion!$E$2:$E$377,MATCH($A50&amp;"|"&amp;$B50,Corrupcion!$H$2:$H$377,0))="","",INDEX(Corrupcion!$E$2:$E$377,MATCH($A50&amp;"|"&amp;$B50,Corrupcion!$H$2:$H$377,0))),"")</f>
        <v/>
      </c>
      <c r="G50" s="20">
        <f>IFERROR(IF(INDEX(Corrupcion!$F$2:$F$377,MATCH($A50&amp;"|"&amp;$B50,Corrupcion!$H$2:$H$377,0))="","",INDEX(Corrupcion!$F$2:$F$377,MATCH($A50&amp;"|"&amp;$B50,Corrupcion!$H$2:$H$377,0))),"")</f>
        <v/>
      </c>
      <c r="H50" s="17">
        <f>IFERROR(IF(INDEX(Corrupcion!$G$2:$G$377,MATCH($A50&amp;"|"&amp;$B50,Corrupcion!$H$2:$H$377,0))="","",INDEX(Corrupcion!$G$2:$G$377,MATCH($A50&amp;"|"&amp;$B50,Corrupcion!$H$2:$H$377,0))),"")</f>
        <v/>
      </c>
      <c r="I50" s="8">
        <f>IF(COUNTBLANK(C50:E50)+COUNTBLANK(F50)=0,1,0)</f>
        <v/>
      </c>
      <c r="J50" s="8">
        <f>IF(COUNTBLANK(C50:E50)+COUNTBLANK(G50)=0,1,0)</f>
        <v/>
      </c>
      <c r="K50" s="8">
        <f>IF(COUNTBLANK(C50:E50)+COUNTBLANK(H50)=0,1,0)</f>
        <v/>
      </c>
    </row>
    <row r="51">
      <c r="A51" s="8" t="inlineStr">
        <is>
          <t>Brasil</t>
        </is>
      </c>
      <c r="B51" s="8" t="n">
        <v>2003</v>
      </c>
      <c r="C51" s="18">
        <f>IF(Categorias!C52="","",Categorias!C52)</f>
        <v/>
      </c>
      <c r="D51" s="18">
        <f>IF(Categorias!H52="","",Categorias!H52)</f>
        <v/>
      </c>
      <c r="E51" s="17">
        <f>IFERROR(IF(INDEX(Gini!$C$2:$C$377,MATCH($A51&amp;"|"&amp;$B51,Gini!$E$2:$E$377,0))="","",INDEX(Gini!$C$2:$C$377,MATCH($A51&amp;"|"&amp;$B51,Gini!$E$2:$E$377,0))),"")</f>
        <v/>
      </c>
      <c r="F51" s="19">
        <f>IFERROR(IF(INDEX(Corrupcion!$E$2:$E$377,MATCH($A51&amp;"|"&amp;$B51,Corrupcion!$H$2:$H$377,0))="","",INDEX(Corrupcion!$E$2:$E$377,MATCH($A51&amp;"|"&amp;$B51,Corrupcion!$H$2:$H$377,0))),"")</f>
        <v/>
      </c>
      <c r="G51" s="20">
        <f>IFERROR(IF(INDEX(Corrupcion!$F$2:$F$377,MATCH($A51&amp;"|"&amp;$B51,Corrupcion!$H$2:$H$377,0))="","",INDEX(Corrupcion!$F$2:$F$377,MATCH($A51&amp;"|"&amp;$B51,Corrupcion!$H$2:$H$377,0))),"")</f>
        <v/>
      </c>
      <c r="H51" s="17">
        <f>IFERROR(IF(INDEX(Corrupcion!$G$2:$G$377,MATCH($A51&amp;"|"&amp;$B51,Corrupcion!$H$2:$H$377,0))="","",INDEX(Corrupcion!$G$2:$G$377,MATCH($A51&amp;"|"&amp;$B51,Corrupcion!$H$2:$H$377,0))),"")</f>
        <v/>
      </c>
      <c r="I51" s="8">
        <f>IF(COUNTBLANK(C51:E51)+COUNTBLANK(F51)=0,1,0)</f>
        <v/>
      </c>
      <c r="J51" s="8">
        <f>IF(COUNTBLANK(C51:E51)+COUNTBLANK(G51)=0,1,0)</f>
        <v/>
      </c>
      <c r="K51" s="8">
        <f>IF(COUNTBLANK(C51:E51)+COUNTBLANK(H51)=0,1,0)</f>
        <v/>
      </c>
    </row>
    <row r="52">
      <c r="A52" s="8" t="inlineStr">
        <is>
          <t>Brasil</t>
        </is>
      </c>
      <c r="B52" s="8" t="n">
        <v>2004</v>
      </c>
      <c r="C52" s="18">
        <f>IF(Categorias!C53="","",Categorias!C53)</f>
        <v/>
      </c>
      <c r="D52" s="18">
        <f>IF(Categorias!H53="","",Categorias!H53)</f>
        <v/>
      </c>
      <c r="E52" s="17">
        <f>IFERROR(IF(INDEX(Gini!$C$2:$C$377,MATCH($A52&amp;"|"&amp;$B52,Gini!$E$2:$E$377,0))="","",INDEX(Gini!$C$2:$C$377,MATCH($A52&amp;"|"&amp;$B52,Gini!$E$2:$E$377,0))),"")</f>
        <v/>
      </c>
      <c r="F52" s="19">
        <f>IFERROR(IF(INDEX(Corrupcion!$E$2:$E$377,MATCH($A52&amp;"|"&amp;$B52,Corrupcion!$H$2:$H$377,0))="","",INDEX(Corrupcion!$E$2:$E$377,MATCH($A52&amp;"|"&amp;$B52,Corrupcion!$H$2:$H$377,0))),"")</f>
        <v/>
      </c>
      <c r="G52" s="20">
        <f>IFERROR(IF(INDEX(Corrupcion!$F$2:$F$377,MATCH($A52&amp;"|"&amp;$B52,Corrupcion!$H$2:$H$377,0))="","",INDEX(Corrupcion!$F$2:$F$377,MATCH($A52&amp;"|"&amp;$B52,Corrupcion!$H$2:$H$377,0))),"")</f>
        <v/>
      </c>
      <c r="H52" s="17">
        <f>IFERROR(IF(INDEX(Corrupcion!$G$2:$G$377,MATCH($A52&amp;"|"&amp;$B52,Corrupcion!$H$2:$H$377,0))="","",INDEX(Corrupcion!$G$2:$G$377,MATCH($A52&amp;"|"&amp;$B52,Corrupcion!$H$2:$H$377,0))),"")</f>
        <v/>
      </c>
      <c r="I52" s="8">
        <f>IF(COUNTBLANK(C52:E52)+COUNTBLANK(F52)=0,1,0)</f>
        <v/>
      </c>
      <c r="J52" s="8">
        <f>IF(COUNTBLANK(C52:E52)+COUNTBLANK(G52)=0,1,0)</f>
        <v/>
      </c>
      <c r="K52" s="8">
        <f>IF(COUNTBLANK(C52:E52)+COUNTBLANK(H52)=0,1,0)</f>
        <v/>
      </c>
    </row>
    <row r="53">
      <c r="A53" s="8" t="inlineStr">
        <is>
          <t>Brasil</t>
        </is>
      </c>
      <c r="B53" s="8" t="n">
        <v>2005</v>
      </c>
      <c r="C53" s="18">
        <f>IF(Categorias!C54="","",Categorias!C54)</f>
        <v/>
      </c>
      <c r="D53" s="18">
        <f>IF(Categorias!H54="","",Categorias!H54)</f>
        <v/>
      </c>
      <c r="E53" s="17">
        <f>IFERROR(IF(INDEX(Gini!$C$2:$C$377,MATCH($A53&amp;"|"&amp;$B53,Gini!$E$2:$E$377,0))="","",INDEX(Gini!$C$2:$C$377,MATCH($A53&amp;"|"&amp;$B53,Gini!$E$2:$E$377,0))),"")</f>
        <v/>
      </c>
      <c r="F53" s="19">
        <f>IFERROR(IF(INDEX(Corrupcion!$E$2:$E$377,MATCH($A53&amp;"|"&amp;$B53,Corrupcion!$H$2:$H$377,0))="","",INDEX(Corrupcion!$E$2:$E$377,MATCH($A53&amp;"|"&amp;$B53,Corrupcion!$H$2:$H$377,0))),"")</f>
        <v/>
      </c>
      <c r="G53" s="20">
        <f>IFERROR(IF(INDEX(Corrupcion!$F$2:$F$377,MATCH($A53&amp;"|"&amp;$B53,Corrupcion!$H$2:$H$377,0))="","",INDEX(Corrupcion!$F$2:$F$377,MATCH($A53&amp;"|"&amp;$B53,Corrupcion!$H$2:$H$377,0))),"")</f>
        <v/>
      </c>
      <c r="H53" s="17">
        <f>IFERROR(IF(INDEX(Corrupcion!$G$2:$G$377,MATCH($A53&amp;"|"&amp;$B53,Corrupcion!$H$2:$H$377,0))="","",INDEX(Corrupcion!$G$2:$G$377,MATCH($A53&amp;"|"&amp;$B53,Corrupcion!$H$2:$H$377,0))),"")</f>
        <v/>
      </c>
      <c r="I53" s="8">
        <f>IF(COUNTBLANK(C53:E53)+COUNTBLANK(F53)=0,1,0)</f>
        <v/>
      </c>
      <c r="J53" s="8">
        <f>IF(COUNTBLANK(C53:E53)+COUNTBLANK(G53)=0,1,0)</f>
        <v/>
      </c>
      <c r="K53" s="8">
        <f>IF(COUNTBLANK(C53:E53)+COUNTBLANK(H53)=0,1,0)</f>
        <v/>
      </c>
    </row>
    <row r="54">
      <c r="A54" s="8" t="inlineStr">
        <is>
          <t>Brasil</t>
        </is>
      </c>
      <c r="B54" s="8" t="n">
        <v>2006</v>
      </c>
      <c r="C54" s="18">
        <f>IF(Categorias!C55="","",Categorias!C55)</f>
        <v/>
      </c>
      <c r="D54" s="18">
        <f>IF(Categorias!H55="","",Categorias!H55)</f>
        <v/>
      </c>
      <c r="E54" s="17">
        <f>IFERROR(IF(INDEX(Gini!$C$2:$C$377,MATCH($A54&amp;"|"&amp;$B54,Gini!$E$2:$E$377,0))="","",INDEX(Gini!$C$2:$C$377,MATCH($A54&amp;"|"&amp;$B54,Gini!$E$2:$E$377,0))),"")</f>
        <v/>
      </c>
      <c r="F54" s="19">
        <f>IFERROR(IF(INDEX(Corrupcion!$E$2:$E$377,MATCH($A54&amp;"|"&amp;$B54,Corrupcion!$H$2:$H$377,0))="","",INDEX(Corrupcion!$E$2:$E$377,MATCH($A54&amp;"|"&amp;$B54,Corrupcion!$H$2:$H$377,0))),"")</f>
        <v/>
      </c>
      <c r="G54" s="20">
        <f>IFERROR(IF(INDEX(Corrupcion!$F$2:$F$377,MATCH($A54&amp;"|"&amp;$B54,Corrupcion!$H$2:$H$377,0))="","",INDEX(Corrupcion!$F$2:$F$377,MATCH($A54&amp;"|"&amp;$B54,Corrupcion!$H$2:$H$377,0))),"")</f>
        <v/>
      </c>
      <c r="H54" s="17">
        <f>IFERROR(IF(INDEX(Corrupcion!$G$2:$G$377,MATCH($A54&amp;"|"&amp;$B54,Corrupcion!$H$2:$H$377,0))="","",INDEX(Corrupcion!$G$2:$G$377,MATCH($A54&amp;"|"&amp;$B54,Corrupcion!$H$2:$H$377,0))),"")</f>
        <v/>
      </c>
      <c r="I54" s="8">
        <f>IF(COUNTBLANK(C54:E54)+COUNTBLANK(F54)=0,1,0)</f>
        <v/>
      </c>
      <c r="J54" s="8">
        <f>IF(COUNTBLANK(C54:E54)+COUNTBLANK(G54)=0,1,0)</f>
        <v/>
      </c>
      <c r="K54" s="8">
        <f>IF(COUNTBLANK(C54:E54)+COUNTBLANK(H54)=0,1,0)</f>
        <v/>
      </c>
    </row>
    <row r="55">
      <c r="A55" s="8" t="inlineStr">
        <is>
          <t>Brasil</t>
        </is>
      </c>
      <c r="B55" s="8" t="n">
        <v>2007</v>
      </c>
      <c r="C55" s="18">
        <f>IF(Categorias!C56="","",Categorias!C56)</f>
        <v/>
      </c>
      <c r="D55" s="18">
        <f>IF(Categorias!H56="","",Categorias!H56)</f>
        <v/>
      </c>
      <c r="E55" s="17">
        <f>IFERROR(IF(INDEX(Gini!$C$2:$C$377,MATCH($A55&amp;"|"&amp;$B55,Gini!$E$2:$E$377,0))="","",INDEX(Gini!$C$2:$C$377,MATCH($A55&amp;"|"&amp;$B55,Gini!$E$2:$E$377,0))),"")</f>
        <v/>
      </c>
      <c r="F55" s="19">
        <f>IFERROR(IF(INDEX(Corrupcion!$E$2:$E$377,MATCH($A55&amp;"|"&amp;$B55,Corrupcion!$H$2:$H$377,0))="","",INDEX(Corrupcion!$E$2:$E$377,MATCH($A55&amp;"|"&amp;$B55,Corrupcion!$H$2:$H$377,0))),"")</f>
        <v/>
      </c>
      <c r="G55" s="20">
        <f>IFERROR(IF(INDEX(Corrupcion!$F$2:$F$377,MATCH($A55&amp;"|"&amp;$B55,Corrupcion!$H$2:$H$377,0))="","",INDEX(Corrupcion!$F$2:$F$377,MATCH($A55&amp;"|"&amp;$B55,Corrupcion!$H$2:$H$377,0))),"")</f>
        <v/>
      </c>
      <c r="H55" s="17">
        <f>IFERROR(IF(INDEX(Corrupcion!$G$2:$G$377,MATCH($A55&amp;"|"&amp;$B55,Corrupcion!$H$2:$H$377,0))="","",INDEX(Corrupcion!$G$2:$G$377,MATCH($A55&amp;"|"&amp;$B55,Corrupcion!$H$2:$H$377,0))),"")</f>
        <v/>
      </c>
      <c r="I55" s="8">
        <f>IF(COUNTBLANK(C55:E55)+COUNTBLANK(F55)=0,1,0)</f>
        <v/>
      </c>
      <c r="J55" s="8">
        <f>IF(COUNTBLANK(C55:E55)+COUNTBLANK(G55)=0,1,0)</f>
        <v/>
      </c>
      <c r="K55" s="8">
        <f>IF(COUNTBLANK(C55:E55)+COUNTBLANK(H55)=0,1,0)</f>
        <v/>
      </c>
    </row>
    <row r="56">
      <c r="A56" s="8" t="inlineStr">
        <is>
          <t>Brasil</t>
        </is>
      </c>
      <c r="B56" s="8" t="n">
        <v>2008</v>
      </c>
      <c r="C56" s="18">
        <f>IF(Categorias!C57="","",Categorias!C57)</f>
        <v/>
      </c>
      <c r="D56" s="18">
        <f>IF(Categorias!H57="","",Categorias!H57)</f>
        <v/>
      </c>
      <c r="E56" s="17">
        <f>IFERROR(IF(INDEX(Gini!$C$2:$C$377,MATCH($A56&amp;"|"&amp;$B56,Gini!$E$2:$E$377,0))="","",INDEX(Gini!$C$2:$C$377,MATCH($A56&amp;"|"&amp;$B56,Gini!$E$2:$E$377,0))),"")</f>
        <v/>
      </c>
      <c r="F56" s="19">
        <f>IFERROR(IF(INDEX(Corrupcion!$E$2:$E$377,MATCH($A56&amp;"|"&amp;$B56,Corrupcion!$H$2:$H$377,0))="","",INDEX(Corrupcion!$E$2:$E$377,MATCH($A56&amp;"|"&amp;$B56,Corrupcion!$H$2:$H$377,0))),"")</f>
        <v/>
      </c>
      <c r="G56" s="20">
        <f>IFERROR(IF(INDEX(Corrupcion!$F$2:$F$377,MATCH($A56&amp;"|"&amp;$B56,Corrupcion!$H$2:$H$377,0))="","",INDEX(Corrupcion!$F$2:$F$377,MATCH($A56&amp;"|"&amp;$B56,Corrupcion!$H$2:$H$377,0))),"")</f>
        <v/>
      </c>
      <c r="H56" s="17">
        <f>IFERROR(IF(INDEX(Corrupcion!$G$2:$G$377,MATCH($A56&amp;"|"&amp;$B56,Corrupcion!$H$2:$H$377,0))="","",INDEX(Corrupcion!$G$2:$G$377,MATCH($A56&amp;"|"&amp;$B56,Corrupcion!$H$2:$H$377,0))),"")</f>
        <v/>
      </c>
      <c r="I56" s="8">
        <f>IF(COUNTBLANK(C56:E56)+COUNTBLANK(F56)=0,1,0)</f>
        <v/>
      </c>
      <c r="J56" s="8">
        <f>IF(COUNTBLANK(C56:E56)+COUNTBLANK(G56)=0,1,0)</f>
        <v/>
      </c>
      <c r="K56" s="8">
        <f>IF(COUNTBLANK(C56:E56)+COUNTBLANK(H56)=0,1,0)</f>
        <v/>
      </c>
    </row>
    <row r="57">
      <c r="A57" s="8" t="inlineStr">
        <is>
          <t>Brasil</t>
        </is>
      </c>
      <c r="B57" s="8" t="n">
        <v>2009</v>
      </c>
      <c r="C57" s="18">
        <f>IF(Categorias!C58="","",Categorias!C58)</f>
        <v/>
      </c>
      <c r="D57" s="18">
        <f>IF(Categorias!H58="","",Categorias!H58)</f>
        <v/>
      </c>
      <c r="E57" s="17">
        <f>IFERROR(IF(INDEX(Gini!$C$2:$C$377,MATCH($A57&amp;"|"&amp;$B57,Gini!$E$2:$E$377,0))="","",INDEX(Gini!$C$2:$C$377,MATCH($A57&amp;"|"&amp;$B57,Gini!$E$2:$E$377,0))),"")</f>
        <v/>
      </c>
      <c r="F57" s="19">
        <f>IFERROR(IF(INDEX(Corrupcion!$E$2:$E$377,MATCH($A57&amp;"|"&amp;$B57,Corrupcion!$H$2:$H$377,0))="","",INDEX(Corrupcion!$E$2:$E$377,MATCH($A57&amp;"|"&amp;$B57,Corrupcion!$H$2:$H$377,0))),"")</f>
        <v/>
      </c>
      <c r="G57" s="20">
        <f>IFERROR(IF(INDEX(Corrupcion!$F$2:$F$377,MATCH($A57&amp;"|"&amp;$B57,Corrupcion!$H$2:$H$377,0))="","",INDEX(Corrupcion!$F$2:$F$377,MATCH($A57&amp;"|"&amp;$B57,Corrupcion!$H$2:$H$377,0))),"")</f>
        <v/>
      </c>
      <c r="H57" s="17">
        <f>IFERROR(IF(INDEX(Corrupcion!$G$2:$G$377,MATCH($A57&amp;"|"&amp;$B57,Corrupcion!$H$2:$H$377,0))="","",INDEX(Corrupcion!$G$2:$G$377,MATCH($A57&amp;"|"&amp;$B57,Corrupcion!$H$2:$H$377,0))),"")</f>
        <v/>
      </c>
      <c r="I57" s="8">
        <f>IF(COUNTBLANK(C57:E57)+COUNTBLANK(F57)=0,1,0)</f>
        <v/>
      </c>
      <c r="J57" s="8">
        <f>IF(COUNTBLANK(C57:E57)+COUNTBLANK(G57)=0,1,0)</f>
        <v/>
      </c>
      <c r="K57" s="8">
        <f>IF(COUNTBLANK(C57:E57)+COUNTBLANK(H57)=0,1,0)</f>
        <v/>
      </c>
    </row>
    <row r="58">
      <c r="A58" s="8" t="inlineStr">
        <is>
          <t>Brasil</t>
        </is>
      </c>
      <c r="B58" s="8" t="n">
        <v>2010</v>
      </c>
      <c r="C58" s="18">
        <f>IF(Categorias!C59="","",Categorias!C59)</f>
        <v/>
      </c>
      <c r="D58" s="18">
        <f>IF(Categorias!H59="","",Categorias!H59)</f>
        <v/>
      </c>
      <c r="E58" s="17">
        <f>IFERROR(IF(INDEX(Gini!$C$2:$C$377,MATCH($A58&amp;"|"&amp;$B58,Gini!$E$2:$E$377,0))="","",INDEX(Gini!$C$2:$C$377,MATCH($A58&amp;"|"&amp;$B58,Gini!$E$2:$E$377,0))),"")</f>
        <v/>
      </c>
      <c r="F58" s="19">
        <f>IFERROR(IF(INDEX(Corrupcion!$E$2:$E$377,MATCH($A58&amp;"|"&amp;$B58,Corrupcion!$H$2:$H$377,0))="","",INDEX(Corrupcion!$E$2:$E$377,MATCH($A58&amp;"|"&amp;$B58,Corrupcion!$H$2:$H$377,0))),"")</f>
        <v/>
      </c>
      <c r="G58" s="20">
        <f>IFERROR(IF(INDEX(Corrupcion!$F$2:$F$377,MATCH($A58&amp;"|"&amp;$B58,Corrupcion!$H$2:$H$377,0))="","",INDEX(Corrupcion!$F$2:$F$377,MATCH($A58&amp;"|"&amp;$B58,Corrupcion!$H$2:$H$377,0))),"")</f>
        <v/>
      </c>
      <c r="H58" s="17">
        <f>IFERROR(IF(INDEX(Corrupcion!$G$2:$G$377,MATCH($A58&amp;"|"&amp;$B58,Corrupcion!$H$2:$H$377,0))="","",INDEX(Corrupcion!$G$2:$G$377,MATCH($A58&amp;"|"&amp;$B58,Corrupcion!$H$2:$H$377,0))),"")</f>
        <v/>
      </c>
      <c r="I58" s="8">
        <f>IF(COUNTBLANK(C58:E58)+COUNTBLANK(F58)=0,1,0)</f>
        <v/>
      </c>
      <c r="J58" s="8">
        <f>IF(COUNTBLANK(C58:E58)+COUNTBLANK(G58)=0,1,0)</f>
        <v/>
      </c>
      <c r="K58" s="8">
        <f>IF(COUNTBLANK(C58:E58)+COUNTBLANK(H58)=0,1,0)</f>
        <v/>
      </c>
    </row>
    <row r="59">
      <c r="A59" s="8" t="inlineStr">
        <is>
          <t>Brasil</t>
        </is>
      </c>
      <c r="B59" s="8" t="n">
        <v>2011</v>
      </c>
      <c r="C59" s="18">
        <f>IF(Categorias!C60="","",Categorias!C60)</f>
        <v/>
      </c>
      <c r="D59" s="18">
        <f>IF(Categorias!H60="","",Categorias!H60)</f>
        <v/>
      </c>
      <c r="E59" s="17">
        <f>IFERROR(IF(INDEX(Gini!$C$2:$C$377,MATCH($A59&amp;"|"&amp;$B59,Gini!$E$2:$E$377,0))="","",INDEX(Gini!$C$2:$C$377,MATCH($A59&amp;"|"&amp;$B59,Gini!$E$2:$E$377,0))),"")</f>
        <v/>
      </c>
      <c r="F59" s="19">
        <f>IFERROR(IF(INDEX(Corrupcion!$E$2:$E$377,MATCH($A59&amp;"|"&amp;$B59,Corrupcion!$H$2:$H$377,0))="","",INDEX(Corrupcion!$E$2:$E$377,MATCH($A59&amp;"|"&amp;$B59,Corrupcion!$H$2:$H$377,0))),"")</f>
        <v/>
      </c>
      <c r="G59" s="20">
        <f>IFERROR(IF(INDEX(Corrupcion!$F$2:$F$377,MATCH($A59&amp;"|"&amp;$B59,Corrupcion!$H$2:$H$377,0))="","",INDEX(Corrupcion!$F$2:$F$377,MATCH($A59&amp;"|"&amp;$B59,Corrupcion!$H$2:$H$377,0))),"")</f>
        <v/>
      </c>
      <c r="H59" s="17">
        <f>IFERROR(IF(INDEX(Corrupcion!$G$2:$G$377,MATCH($A59&amp;"|"&amp;$B59,Corrupcion!$H$2:$H$377,0))="","",INDEX(Corrupcion!$G$2:$G$377,MATCH($A59&amp;"|"&amp;$B59,Corrupcion!$H$2:$H$377,0))),"")</f>
        <v/>
      </c>
      <c r="I59" s="8">
        <f>IF(COUNTBLANK(C59:E59)+COUNTBLANK(F59)=0,1,0)</f>
        <v/>
      </c>
      <c r="J59" s="8">
        <f>IF(COUNTBLANK(C59:E59)+COUNTBLANK(G59)=0,1,0)</f>
        <v/>
      </c>
      <c r="K59" s="8">
        <f>IF(COUNTBLANK(C59:E59)+COUNTBLANK(H59)=0,1,0)</f>
        <v/>
      </c>
    </row>
    <row r="60">
      <c r="A60" s="8" t="inlineStr">
        <is>
          <t>Brasil</t>
        </is>
      </c>
      <c r="B60" s="8" t="n">
        <v>2015</v>
      </c>
      <c r="C60" s="18">
        <f>IF(Categorias!C61="","",Categorias!C61)</f>
        <v/>
      </c>
      <c r="D60" s="18">
        <f>IF(Categorias!H61="","",Categorias!H61)</f>
        <v/>
      </c>
      <c r="E60" s="17">
        <f>IFERROR(IF(INDEX(Gini!$C$2:$C$377,MATCH($A60&amp;"|"&amp;$B60,Gini!$E$2:$E$377,0))="","",INDEX(Gini!$C$2:$C$377,MATCH($A60&amp;"|"&amp;$B60,Gini!$E$2:$E$377,0))),"")</f>
        <v/>
      </c>
      <c r="F60" s="19">
        <f>IFERROR(IF(INDEX(Corrupcion!$E$2:$E$377,MATCH($A60&amp;"|"&amp;$B60,Corrupcion!$H$2:$H$377,0))="","",INDEX(Corrupcion!$E$2:$E$377,MATCH($A60&amp;"|"&amp;$B60,Corrupcion!$H$2:$H$377,0))),"")</f>
        <v/>
      </c>
      <c r="G60" s="20">
        <f>IFERROR(IF(INDEX(Corrupcion!$F$2:$F$377,MATCH($A60&amp;"|"&amp;$B60,Corrupcion!$H$2:$H$377,0))="","",INDEX(Corrupcion!$F$2:$F$377,MATCH($A60&amp;"|"&amp;$B60,Corrupcion!$H$2:$H$377,0))),"")</f>
        <v/>
      </c>
      <c r="H60" s="17">
        <f>IFERROR(IF(INDEX(Corrupcion!$G$2:$G$377,MATCH($A60&amp;"|"&amp;$B60,Corrupcion!$H$2:$H$377,0))="","",INDEX(Corrupcion!$G$2:$G$377,MATCH($A60&amp;"|"&amp;$B60,Corrupcion!$H$2:$H$377,0))),"")</f>
        <v/>
      </c>
      <c r="I60" s="8">
        <f>IF(COUNTBLANK(C60:E60)+COUNTBLANK(F60)=0,1,0)</f>
        <v/>
      </c>
      <c r="J60" s="8">
        <f>IF(COUNTBLANK(C60:E60)+COUNTBLANK(G60)=0,1,0)</f>
        <v/>
      </c>
      <c r="K60" s="8">
        <f>IF(COUNTBLANK(C60:E60)+COUNTBLANK(H60)=0,1,0)</f>
        <v/>
      </c>
    </row>
    <row r="61">
      <c r="A61" s="8" t="inlineStr">
        <is>
          <t>Brasil</t>
        </is>
      </c>
      <c r="B61" s="8" t="n">
        <v>2016</v>
      </c>
      <c r="C61" s="18">
        <f>IF(Categorias!C62="","",Categorias!C62)</f>
        <v/>
      </c>
      <c r="D61" s="18">
        <f>IF(Categorias!H62="","",Categorias!H62)</f>
        <v/>
      </c>
      <c r="E61" s="17">
        <f>IFERROR(IF(INDEX(Gini!$C$2:$C$377,MATCH($A61&amp;"|"&amp;$B61,Gini!$E$2:$E$377,0))="","",INDEX(Gini!$C$2:$C$377,MATCH($A61&amp;"|"&amp;$B61,Gini!$E$2:$E$377,0))),"")</f>
        <v/>
      </c>
      <c r="F61" s="19">
        <f>IFERROR(IF(INDEX(Corrupcion!$E$2:$E$377,MATCH($A61&amp;"|"&amp;$B61,Corrupcion!$H$2:$H$377,0))="","",INDEX(Corrupcion!$E$2:$E$377,MATCH($A61&amp;"|"&amp;$B61,Corrupcion!$H$2:$H$377,0))),"")</f>
        <v/>
      </c>
      <c r="G61" s="20">
        <f>IFERROR(IF(INDEX(Corrupcion!$F$2:$F$377,MATCH($A61&amp;"|"&amp;$B61,Corrupcion!$H$2:$H$377,0))="","",INDEX(Corrupcion!$F$2:$F$377,MATCH($A61&amp;"|"&amp;$B61,Corrupcion!$H$2:$H$377,0))),"")</f>
        <v/>
      </c>
      <c r="H61" s="17">
        <f>IFERROR(IF(INDEX(Corrupcion!$G$2:$G$377,MATCH($A61&amp;"|"&amp;$B61,Corrupcion!$H$2:$H$377,0))="","",INDEX(Corrupcion!$G$2:$G$377,MATCH($A61&amp;"|"&amp;$B61,Corrupcion!$H$2:$H$377,0))),"")</f>
        <v/>
      </c>
      <c r="I61" s="8">
        <f>IF(COUNTBLANK(C61:E61)+COUNTBLANK(F61)=0,1,0)</f>
        <v/>
      </c>
      <c r="J61" s="8">
        <f>IF(COUNTBLANK(C61:E61)+COUNTBLANK(G61)=0,1,0)</f>
        <v/>
      </c>
      <c r="K61" s="8">
        <f>IF(COUNTBLANK(C61:E61)+COUNTBLANK(H61)=0,1,0)</f>
        <v/>
      </c>
    </row>
    <row r="62">
      <c r="A62" s="8" t="inlineStr">
        <is>
          <t>Brasil</t>
        </is>
      </c>
      <c r="B62" s="8" t="n">
        <v>2017</v>
      </c>
      <c r="C62" s="18">
        <f>IF(Categorias!C63="","",Categorias!C63)</f>
        <v/>
      </c>
      <c r="D62" s="18">
        <f>IF(Categorias!H63="","",Categorias!H63)</f>
        <v/>
      </c>
      <c r="E62" s="17">
        <f>IFERROR(IF(INDEX(Gini!$C$2:$C$377,MATCH($A62&amp;"|"&amp;$B62,Gini!$E$2:$E$377,0))="","",INDEX(Gini!$C$2:$C$377,MATCH($A62&amp;"|"&amp;$B62,Gini!$E$2:$E$377,0))),"")</f>
        <v/>
      </c>
      <c r="F62" s="19">
        <f>IFERROR(IF(INDEX(Corrupcion!$E$2:$E$377,MATCH($A62&amp;"|"&amp;$B62,Corrupcion!$H$2:$H$377,0))="","",INDEX(Corrupcion!$E$2:$E$377,MATCH($A62&amp;"|"&amp;$B62,Corrupcion!$H$2:$H$377,0))),"")</f>
        <v/>
      </c>
      <c r="G62" s="20">
        <f>IFERROR(IF(INDEX(Corrupcion!$F$2:$F$377,MATCH($A62&amp;"|"&amp;$B62,Corrupcion!$H$2:$H$377,0))="","",INDEX(Corrupcion!$F$2:$F$377,MATCH($A62&amp;"|"&amp;$B62,Corrupcion!$H$2:$H$377,0))),"")</f>
        <v/>
      </c>
      <c r="H62" s="17">
        <f>IFERROR(IF(INDEX(Corrupcion!$G$2:$G$377,MATCH($A62&amp;"|"&amp;$B62,Corrupcion!$H$2:$H$377,0))="","",INDEX(Corrupcion!$G$2:$G$377,MATCH($A62&amp;"|"&amp;$B62,Corrupcion!$H$2:$H$377,0))),"")</f>
        <v/>
      </c>
      <c r="I62" s="8">
        <f>IF(COUNTBLANK(C62:E62)+COUNTBLANK(F62)=0,1,0)</f>
        <v/>
      </c>
      <c r="J62" s="8">
        <f>IF(COUNTBLANK(C62:E62)+COUNTBLANK(G62)=0,1,0)</f>
        <v/>
      </c>
      <c r="K62" s="8">
        <f>IF(COUNTBLANK(C62:E62)+COUNTBLANK(H62)=0,1,0)</f>
        <v/>
      </c>
    </row>
    <row r="63">
      <c r="A63" s="8" t="inlineStr">
        <is>
          <t>Brasil</t>
        </is>
      </c>
      <c r="B63" s="8" t="n">
        <v>2018</v>
      </c>
      <c r="C63" s="18">
        <f>IF(Categorias!C64="","",Categorias!C64)</f>
        <v/>
      </c>
      <c r="D63" s="18">
        <f>IF(Categorias!H64="","",Categorias!H64)</f>
        <v/>
      </c>
      <c r="E63" s="17">
        <f>IFERROR(IF(INDEX(Gini!$C$2:$C$377,MATCH($A63&amp;"|"&amp;$B63,Gini!$E$2:$E$377,0))="","",INDEX(Gini!$C$2:$C$377,MATCH($A63&amp;"|"&amp;$B63,Gini!$E$2:$E$377,0))),"")</f>
        <v/>
      </c>
      <c r="F63" s="19">
        <f>IFERROR(IF(INDEX(Corrupcion!$E$2:$E$377,MATCH($A63&amp;"|"&amp;$B63,Corrupcion!$H$2:$H$377,0))="","",INDEX(Corrupcion!$E$2:$E$377,MATCH($A63&amp;"|"&amp;$B63,Corrupcion!$H$2:$H$377,0))),"")</f>
        <v/>
      </c>
      <c r="G63" s="20">
        <f>IFERROR(IF(INDEX(Corrupcion!$F$2:$F$377,MATCH($A63&amp;"|"&amp;$B63,Corrupcion!$H$2:$H$377,0))="","",INDEX(Corrupcion!$F$2:$F$377,MATCH($A63&amp;"|"&amp;$B63,Corrupcion!$H$2:$H$377,0))),"")</f>
        <v/>
      </c>
      <c r="H63" s="17">
        <f>IFERROR(IF(INDEX(Corrupcion!$G$2:$G$377,MATCH($A63&amp;"|"&amp;$B63,Corrupcion!$H$2:$H$377,0))="","",INDEX(Corrupcion!$G$2:$G$377,MATCH($A63&amp;"|"&amp;$B63,Corrupcion!$H$2:$H$377,0))),"")</f>
        <v/>
      </c>
      <c r="I63" s="8">
        <f>IF(COUNTBLANK(C63:E63)+COUNTBLANK(F63)=0,1,0)</f>
        <v/>
      </c>
      <c r="J63" s="8">
        <f>IF(COUNTBLANK(C63:E63)+COUNTBLANK(G63)=0,1,0)</f>
        <v/>
      </c>
      <c r="K63" s="8">
        <f>IF(COUNTBLANK(C63:E63)+COUNTBLANK(H63)=0,1,0)</f>
        <v/>
      </c>
    </row>
    <row r="64">
      <c r="A64" s="8" t="inlineStr">
        <is>
          <t>Brasil</t>
        </is>
      </c>
      <c r="B64" s="8" t="n">
        <v>2020</v>
      </c>
      <c r="C64" s="18">
        <f>IF(Categorias!C65="","",Categorias!C65)</f>
        <v/>
      </c>
      <c r="D64" s="18">
        <f>IF(Categorias!H65="","",Categorias!H65)</f>
        <v/>
      </c>
      <c r="E64" s="17">
        <f>IFERROR(IF(INDEX(Gini!$C$2:$C$377,MATCH($A64&amp;"|"&amp;$B64,Gini!$E$2:$E$377,0))="","",INDEX(Gini!$C$2:$C$377,MATCH($A64&amp;"|"&amp;$B64,Gini!$E$2:$E$377,0))),"")</f>
        <v/>
      </c>
      <c r="F64" s="19">
        <f>IFERROR(IF(INDEX(Corrupcion!$E$2:$E$377,MATCH($A64&amp;"|"&amp;$B64,Corrupcion!$H$2:$H$377,0))="","",INDEX(Corrupcion!$E$2:$E$377,MATCH($A64&amp;"|"&amp;$B64,Corrupcion!$H$2:$H$377,0))),"")</f>
        <v/>
      </c>
      <c r="G64" s="20">
        <f>IFERROR(IF(INDEX(Corrupcion!$F$2:$F$377,MATCH($A64&amp;"|"&amp;$B64,Corrupcion!$H$2:$H$377,0))="","",INDEX(Corrupcion!$F$2:$F$377,MATCH($A64&amp;"|"&amp;$B64,Corrupcion!$H$2:$H$377,0))),"")</f>
        <v/>
      </c>
      <c r="H64" s="17">
        <f>IFERROR(IF(INDEX(Corrupcion!$G$2:$G$377,MATCH($A64&amp;"|"&amp;$B64,Corrupcion!$H$2:$H$377,0))="","",INDEX(Corrupcion!$G$2:$G$377,MATCH($A64&amp;"|"&amp;$B64,Corrupcion!$H$2:$H$377,0))),"")</f>
        <v/>
      </c>
      <c r="I64" s="8">
        <f>IF(COUNTBLANK(C64:E64)+COUNTBLANK(F64)=0,1,0)</f>
        <v/>
      </c>
      <c r="J64" s="8">
        <f>IF(COUNTBLANK(C64:E64)+COUNTBLANK(G64)=0,1,0)</f>
        <v/>
      </c>
      <c r="K64" s="8">
        <f>IF(COUNTBLANK(C64:E64)+COUNTBLANK(H64)=0,1,0)</f>
        <v/>
      </c>
    </row>
    <row r="65">
      <c r="A65" s="8" t="inlineStr">
        <is>
          <t>Brasil</t>
        </is>
      </c>
      <c r="B65" s="8" t="n">
        <v>2024</v>
      </c>
      <c r="C65" s="18">
        <f>IF(Categorias!C66="","",Categorias!C66)</f>
        <v/>
      </c>
      <c r="D65" s="18">
        <f>IF(Categorias!H66="","",Categorias!H66)</f>
        <v/>
      </c>
      <c r="E65" s="17">
        <f>IFERROR(IF(INDEX(Gini!$C$2:$C$377,MATCH($A65&amp;"|"&amp;$B65,Gini!$E$2:$E$377,0))="","",INDEX(Gini!$C$2:$C$377,MATCH($A65&amp;"|"&amp;$B65,Gini!$E$2:$E$377,0))),"")</f>
        <v/>
      </c>
      <c r="F65" s="19">
        <f>IFERROR(IF(INDEX(Corrupcion!$E$2:$E$377,MATCH($A65&amp;"|"&amp;$B65,Corrupcion!$H$2:$H$377,0))="","",INDEX(Corrupcion!$E$2:$E$377,MATCH($A65&amp;"|"&amp;$B65,Corrupcion!$H$2:$H$377,0))),"")</f>
        <v/>
      </c>
      <c r="G65" s="20">
        <f>IFERROR(IF(INDEX(Corrupcion!$F$2:$F$377,MATCH($A65&amp;"|"&amp;$B65,Corrupcion!$H$2:$H$377,0))="","",INDEX(Corrupcion!$F$2:$F$377,MATCH($A65&amp;"|"&amp;$B65,Corrupcion!$H$2:$H$377,0))),"")</f>
        <v/>
      </c>
      <c r="H65" s="17">
        <f>IFERROR(IF(INDEX(Corrupcion!$G$2:$G$377,MATCH($A65&amp;"|"&amp;$B65,Corrupcion!$H$2:$H$377,0))="","",INDEX(Corrupcion!$G$2:$G$377,MATCH($A65&amp;"|"&amp;$B65,Corrupcion!$H$2:$H$377,0))),"")</f>
        <v/>
      </c>
      <c r="I65" s="8">
        <f>IF(COUNTBLANK(C65:E65)+COUNTBLANK(F65)=0,1,0)</f>
        <v/>
      </c>
      <c r="J65" s="8">
        <f>IF(COUNTBLANK(C65:E65)+COUNTBLANK(G65)=0,1,0)</f>
        <v/>
      </c>
      <c r="K65" s="8">
        <f>IF(COUNTBLANK(C65:E65)+COUNTBLANK(H65)=0,1,0)</f>
        <v/>
      </c>
    </row>
    <row r="66">
      <c r="A66" s="8" t="inlineStr">
        <is>
          <t>Chile</t>
        </is>
      </c>
      <c r="B66" s="8" t="n">
        <v>1995</v>
      </c>
      <c r="C66" s="18">
        <f>IF(Categorias!C67="","",Categorias!C67)</f>
        <v/>
      </c>
      <c r="D66" s="18">
        <f>IF(Categorias!H67="","",Categorias!H67)</f>
        <v/>
      </c>
      <c r="E66" s="17">
        <f>IFERROR(IF(INDEX(Gini!$C$2:$C$377,MATCH($A66&amp;"|"&amp;$B66,Gini!$E$2:$E$377,0))="","",INDEX(Gini!$C$2:$C$377,MATCH($A66&amp;"|"&amp;$B66,Gini!$E$2:$E$377,0))),"")</f>
        <v/>
      </c>
      <c r="F66" s="19">
        <f>IFERROR(IF(INDEX(Corrupcion!$E$2:$E$377,MATCH($A66&amp;"|"&amp;$B66,Corrupcion!$H$2:$H$377,0))="","",INDEX(Corrupcion!$E$2:$E$377,MATCH($A66&amp;"|"&amp;$B66,Corrupcion!$H$2:$H$377,0))),"")</f>
        <v/>
      </c>
      <c r="G66" s="20">
        <f>IFERROR(IF(INDEX(Corrupcion!$F$2:$F$377,MATCH($A66&amp;"|"&amp;$B66,Corrupcion!$H$2:$H$377,0))="","",INDEX(Corrupcion!$F$2:$F$377,MATCH($A66&amp;"|"&amp;$B66,Corrupcion!$H$2:$H$377,0))),"")</f>
        <v/>
      </c>
      <c r="H66" s="17">
        <f>IFERROR(IF(INDEX(Corrupcion!$G$2:$G$377,MATCH($A66&amp;"|"&amp;$B66,Corrupcion!$H$2:$H$377,0))="","",INDEX(Corrupcion!$G$2:$G$377,MATCH($A66&amp;"|"&amp;$B66,Corrupcion!$H$2:$H$377,0))),"")</f>
        <v/>
      </c>
      <c r="I66" s="8">
        <f>IF(COUNTBLANK(C66:E66)+COUNTBLANK(F66)=0,1,0)</f>
        <v/>
      </c>
      <c r="J66" s="8">
        <f>IF(COUNTBLANK(C66:E66)+COUNTBLANK(G66)=0,1,0)</f>
        <v/>
      </c>
      <c r="K66" s="8">
        <f>IF(COUNTBLANK(C66:E66)+COUNTBLANK(H66)=0,1,0)</f>
        <v/>
      </c>
    </row>
    <row r="67">
      <c r="A67" s="8" t="inlineStr">
        <is>
          <t>Chile</t>
        </is>
      </c>
      <c r="B67" s="8" t="n">
        <v>1996</v>
      </c>
      <c r="C67" s="18">
        <f>IF(Categorias!C68="","",Categorias!C68)</f>
        <v/>
      </c>
      <c r="D67" s="18">
        <f>IF(Categorias!H68="","",Categorias!H68)</f>
        <v/>
      </c>
      <c r="E67" s="17">
        <f>IFERROR(IF(INDEX(Gini!$C$2:$C$377,MATCH($A67&amp;"|"&amp;$B67,Gini!$E$2:$E$377,0))="","",INDEX(Gini!$C$2:$C$377,MATCH($A67&amp;"|"&amp;$B67,Gini!$E$2:$E$377,0))),"")</f>
        <v/>
      </c>
      <c r="F67" s="19">
        <f>IFERROR(IF(INDEX(Corrupcion!$E$2:$E$377,MATCH($A67&amp;"|"&amp;$B67,Corrupcion!$H$2:$H$377,0))="","",INDEX(Corrupcion!$E$2:$E$377,MATCH($A67&amp;"|"&amp;$B67,Corrupcion!$H$2:$H$377,0))),"")</f>
        <v/>
      </c>
      <c r="G67" s="20">
        <f>IFERROR(IF(INDEX(Corrupcion!$F$2:$F$377,MATCH($A67&amp;"|"&amp;$B67,Corrupcion!$H$2:$H$377,0))="","",INDEX(Corrupcion!$F$2:$F$377,MATCH($A67&amp;"|"&amp;$B67,Corrupcion!$H$2:$H$377,0))),"")</f>
        <v/>
      </c>
      <c r="H67" s="17">
        <f>IFERROR(IF(INDEX(Corrupcion!$G$2:$G$377,MATCH($A67&amp;"|"&amp;$B67,Corrupcion!$H$2:$H$377,0))="","",INDEX(Corrupcion!$G$2:$G$377,MATCH($A67&amp;"|"&amp;$B67,Corrupcion!$H$2:$H$377,0))),"")</f>
        <v/>
      </c>
      <c r="I67" s="8">
        <f>IF(COUNTBLANK(C67:E67)+COUNTBLANK(F67)=0,1,0)</f>
        <v/>
      </c>
      <c r="J67" s="8">
        <f>IF(COUNTBLANK(C67:E67)+COUNTBLANK(G67)=0,1,0)</f>
        <v/>
      </c>
      <c r="K67" s="8">
        <f>IF(COUNTBLANK(C67:E67)+COUNTBLANK(H67)=0,1,0)</f>
        <v/>
      </c>
    </row>
    <row r="68">
      <c r="A68" s="8" t="inlineStr">
        <is>
          <t>Chile</t>
        </is>
      </c>
      <c r="B68" s="8" t="n">
        <v>1997</v>
      </c>
      <c r="C68" s="18">
        <f>IF(Categorias!C69="","",Categorias!C69)</f>
        <v/>
      </c>
      <c r="D68" s="18">
        <f>IF(Categorias!H69="","",Categorias!H69)</f>
        <v/>
      </c>
      <c r="E68" s="17">
        <f>IFERROR(IF(INDEX(Gini!$C$2:$C$377,MATCH($A68&amp;"|"&amp;$B68,Gini!$E$2:$E$377,0))="","",INDEX(Gini!$C$2:$C$377,MATCH($A68&amp;"|"&amp;$B68,Gini!$E$2:$E$377,0))),"")</f>
        <v/>
      </c>
      <c r="F68" s="19">
        <f>IFERROR(IF(INDEX(Corrupcion!$E$2:$E$377,MATCH($A68&amp;"|"&amp;$B68,Corrupcion!$H$2:$H$377,0))="","",INDEX(Corrupcion!$E$2:$E$377,MATCH($A68&amp;"|"&amp;$B68,Corrupcion!$H$2:$H$377,0))),"")</f>
        <v/>
      </c>
      <c r="G68" s="20">
        <f>IFERROR(IF(INDEX(Corrupcion!$F$2:$F$377,MATCH($A68&amp;"|"&amp;$B68,Corrupcion!$H$2:$H$377,0))="","",INDEX(Corrupcion!$F$2:$F$377,MATCH($A68&amp;"|"&amp;$B68,Corrupcion!$H$2:$H$377,0))),"")</f>
        <v/>
      </c>
      <c r="H68" s="17">
        <f>IFERROR(IF(INDEX(Corrupcion!$G$2:$G$377,MATCH($A68&amp;"|"&amp;$B68,Corrupcion!$H$2:$H$377,0))="","",INDEX(Corrupcion!$G$2:$G$377,MATCH($A68&amp;"|"&amp;$B68,Corrupcion!$H$2:$H$377,0))),"")</f>
        <v/>
      </c>
      <c r="I68" s="8">
        <f>IF(COUNTBLANK(C68:E68)+COUNTBLANK(F68)=0,1,0)</f>
        <v/>
      </c>
      <c r="J68" s="8">
        <f>IF(COUNTBLANK(C68:E68)+COUNTBLANK(G68)=0,1,0)</f>
        <v/>
      </c>
      <c r="K68" s="8">
        <f>IF(COUNTBLANK(C68:E68)+COUNTBLANK(H68)=0,1,0)</f>
        <v/>
      </c>
    </row>
    <row r="69">
      <c r="A69" s="8" t="inlineStr">
        <is>
          <t>Chile</t>
        </is>
      </c>
      <c r="B69" s="8" t="n">
        <v>1998</v>
      </c>
      <c r="C69" s="18">
        <f>IF(Categorias!C70="","",Categorias!C70)</f>
        <v/>
      </c>
      <c r="D69" s="18">
        <f>IF(Categorias!H70="","",Categorias!H70)</f>
        <v/>
      </c>
      <c r="E69" s="17">
        <f>IFERROR(IF(INDEX(Gini!$C$2:$C$377,MATCH($A69&amp;"|"&amp;$B69,Gini!$E$2:$E$377,0))="","",INDEX(Gini!$C$2:$C$377,MATCH($A69&amp;"|"&amp;$B69,Gini!$E$2:$E$377,0))),"")</f>
        <v/>
      </c>
      <c r="F69" s="19">
        <f>IFERROR(IF(INDEX(Corrupcion!$E$2:$E$377,MATCH($A69&amp;"|"&amp;$B69,Corrupcion!$H$2:$H$377,0))="","",INDEX(Corrupcion!$E$2:$E$377,MATCH($A69&amp;"|"&amp;$B69,Corrupcion!$H$2:$H$377,0))),"")</f>
        <v/>
      </c>
      <c r="G69" s="20">
        <f>IFERROR(IF(INDEX(Corrupcion!$F$2:$F$377,MATCH($A69&amp;"|"&amp;$B69,Corrupcion!$H$2:$H$377,0))="","",INDEX(Corrupcion!$F$2:$F$377,MATCH($A69&amp;"|"&amp;$B69,Corrupcion!$H$2:$H$377,0))),"")</f>
        <v/>
      </c>
      <c r="H69" s="17">
        <f>IFERROR(IF(INDEX(Corrupcion!$G$2:$G$377,MATCH($A69&amp;"|"&amp;$B69,Corrupcion!$H$2:$H$377,0))="","",INDEX(Corrupcion!$G$2:$G$377,MATCH($A69&amp;"|"&amp;$B69,Corrupcion!$H$2:$H$377,0))),"")</f>
        <v/>
      </c>
      <c r="I69" s="8">
        <f>IF(COUNTBLANK(C69:E69)+COUNTBLANK(F69)=0,1,0)</f>
        <v/>
      </c>
      <c r="J69" s="8">
        <f>IF(COUNTBLANK(C69:E69)+COUNTBLANK(G69)=0,1,0)</f>
        <v/>
      </c>
      <c r="K69" s="8">
        <f>IF(COUNTBLANK(C69:E69)+COUNTBLANK(H69)=0,1,0)</f>
        <v/>
      </c>
    </row>
    <row r="70">
      <c r="A70" s="8" t="inlineStr">
        <is>
          <t>Chile</t>
        </is>
      </c>
      <c r="B70" s="8" t="n">
        <v>2000</v>
      </c>
      <c r="C70" s="18">
        <f>IF(Categorias!C71="","",Categorias!C71)</f>
        <v/>
      </c>
      <c r="D70" s="18">
        <f>IF(Categorias!H71="","",Categorias!H71)</f>
        <v/>
      </c>
      <c r="E70" s="17">
        <f>IFERROR(IF(INDEX(Gini!$C$2:$C$377,MATCH($A70&amp;"|"&amp;$B70,Gini!$E$2:$E$377,0))="","",INDEX(Gini!$C$2:$C$377,MATCH($A70&amp;"|"&amp;$B70,Gini!$E$2:$E$377,0))),"")</f>
        <v/>
      </c>
      <c r="F70" s="19">
        <f>IFERROR(IF(INDEX(Corrupcion!$E$2:$E$377,MATCH($A70&amp;"|"&amp;$B70,Corrupcion!$H$2:$H$377,0))="","",INDEX(Corrupcion!$E$2:$E$377,MATCH($A70&amp;"|"&amp;$B70,Corrupcion!$H$2:$H$377,0))),"")</f>
        <v/>
      </c>
      <c r="G70" s="20">
        <f>IFERROR(IF(INDEX(Corrupcion!$F$2:$F$377,MATCH($A70&amp;"|"&amp;$B70,Corrupcion!$H$2:$H$377,0))="","",INDEX(Corrupcion!$F$2:$F$377,MATCH($A70&amp;"|"&amp;$B70,Corrupcion!$H$2:$H$377,0))),"")</f>
        <v/>
      </c>
      <c r="H70" s="17">
        <f>IFERROR(IF(INDEX(Corrupcion!$G$2:$G$377,MATCH($A70&amp;"|"&amp;$B70,Corrupcion!$H$2:$H$377,0))="","",INDEX(Corrupcion!$G$2:$G$377,MATCH($A70&amp;"|"&amp;$B70,Corrupcion!$H$2:$H$377,0))),"")</f>
        <v/>
      </c>
      <c r="I70" s="8">
        <f>IF(COUNTBLANK(C70:E70)+COUNTBLANK(F70)=0,1,0)</f>
        <v/>
      </c>
      <c r="J70" s="8">
        <f>IF(COUNTBLANK(C70:E70)+COUNTBLANK(G70)=0,1,0)</f>
        <v/>
      </c>
      <c r="K70" s="8">
        <f>IF(COUNTBLANK(C70:E70)+COUNTBLANK(H70)=0,1,0)</f>
        <v/>
      </c>
    </row>
    <row r="71">
      <c r="A71" s="8" t="inlineStr">
        <is>
          <t>Chile</t>
        </is>
      </c>
      <c r="B71" s="8" t="n">
        <v>2001</v>
      </c>
      <c r="C71" s="18">
        <f>IF(Categorias!C72="","",Categorias!C72)</f>
        <v/>
      </c>
      <c r="D71" s="18">
        <f>IF(Categorias!H72="","",Categorias!H72)</f>
        <v/>
      </c>
      <c r="E71" s="17">
        <f>IFERROR(IF(INDEX(Gini!$C$2:$C$377,MATCH($A71&amp;"|"&amp;$B71,Gini!$E$2:$E$377,0))="","",INDEX(Gini!$C$2:$C$377,MATCH($A71&amp;"|"&amp;$B71,Gini!$E$2:$E$377,0))),"")</f>
        <v/>
      </c>
      <c r="F71" s="19">
        <f>IFERROR(IF(INDEX(Corrupcion!$E$2:$E$377,MATCH($A71&amp;"|"&amp;$B71,Corrupcion!$H$2:$H$377,0))="","",INDEX(Corrupcion!$E$2:$E$377,MATCH($A71&amp;"|"&amp;$B71,Corrupcion!$H$2:$H$377,0))),"")</f>
        <v/>
      </c>
      <c r="G71" s="20">
        <f>IFERROR(IF(INDEX(Corrupcion!$F$2:$F$377,MATCH($A71&amp;"|"&amp;$B71,Corrupcion!$H$2:$H$377,0))="","",INDEX(Corrupcion!$F$2:$F$377,MATCH($A71&amp;"|"&amp;$B71,Corrupcion!$H$2:$H$377,0))),"")</f>
        <v/>
      </c>
      <c r="H71" s="17">
        <f>IFERROR(IF(INDEX(Corrupcion!$G$2:$G$377,MATCH($A71&amp;"|"&amp;$B71,Corrupcion!$H$2:$H$377,0))="","",INDEX(Corrupcion!$G$2:$G$377,MATCH($A71&amp;"|"&amp;$B71,Corrupcion!$H$2:$H$377,0))),"")</f>
        <v/>
      </c>
      <c r="I71" s="8">
        <f>IF(COUNTBLANK(C71:E71)+COUNTBLANK(F71)=0,1,0)</f>
        <v/>
      </c>
      <c r="J71" s="8">
        <f>IF(COUNTBLANK(C71:E71)+COUNTBLANK(G71)=0,1,0)</f>
        <v/>
      </c>
      <c r="K71" s="8">
        <f>IF(COUNTBLANK(C71:E71)+COUNTBLANK(H71)=0,1,0)</f>
        <v/>
      </c>
    </row>
    <row r="72">
      <c r="A72" s="8" t="inlineStr">
        <is>
          <t>Chile</t>
        </is>
      </c>
      <c r="B72" s="8" t="n">
        <v>2002</v>
      </c>
      <c r="C72" s="18">
        <f>IF(Categorias!C73="","",Categorias!C73)</f>
        <v/>
      </c>
      <c r="D72" s="18">
        <f>IF(Categorias!H73="","",Categorias!H73)</f>
        <v/>
      </c>
      <c r="E72" s="17">
        <f>IFERROR(IF(INDEX(Gini!$C$2:$C$377,MATCH($A72&amp;"|"&amp;$B72,Gini!$E$2:$E$377,0))="","",INDEX(Gini!$C$2:$C$377,MATCH($A72&amp;"|"&amp;$B72,Gini!$E$2:$E$377,0))),"")</f>
        <v/>
      </c>
      <c r="F72" s="19">
        <f>IFERROR(IF(INDEX(Corrupcion!$E$2:$E$377,MATCH($A72&amp;"|"&amp;$B72,Corrupcion!$H$2:$H$377,0))="","",INDEX(Corrupcion!$E$2:$E$377,MATCH($A72&amp;"|"&amp;$B72,Corrupcion!$H$2:$H$377,0))),"")</f>
        <v/>
      </c>
      <c r="G72" s="20">
        <f>IFERROR(IF(INDEX(Corrupcion!$F$2:$F$377,MATCH($A72&amp;"|"&amp;$B72,Corrupcion!$H$2:$H$377,0))="","",INDEX(Corrupcion!$F$2:$F$377,MATCH($A72&amp;"|"&amp;$B72,Corrupcion!$H$2:$H$377,0))),"")</f>
        <v/>
      </c>
      <c r="H72" s="17">
        <f>IFERROR(IF(INDEX(Corrupcion!$G$2:$G$377,MATCH($A72&amp;"|"&amp;$B72,Corrupcion!$H$2:$H$377,0))="","",INDEX(Corrupcion!$G$2:$G$377,MATCH($A72&amp;"|"&amp;$B72,Corrupcion!$H$2:$H$377,0))),"")</f>
        <v/>
      </c>
      <c r="I72" s="8">
        <f>IF(COUNTBLANK(C72:E72)+COUNTBLANK(F72)=0,1,0)</f>
        <v/>
      </c>
      <c r="J72" s="8">
        <f>IF(COUNTBLANK(C72:E72)+COUNTBLANK(G72)=0,1,0)</f>
        <v/>
      </c>
      <c r="K72" s="8">
        <f>IF(COUNTBLANK(C72:E72)+COUNTBLANK(H72)=0,1,0)</f>
        <v/>
      </c>
    </row>
    <row r="73">
      <c r="A73" s="8" t="inlineStr">
        <is>
          <t>Chile</t>
        </is>
      </c>
      <c r="B73" s="8" t="n">
        <v>2003</v>
      </c>
      <c r="C73" s="18">
        <f>IF(Categorias!C74="","",Categorias!C74)</f>
        <v/>
      </c>
      <c r="D73" s="18">
        <f>IF(Categorias!H74="","",Categorias!H74)</f>
        <v/>
      </c>
      <c r="E73" s="17">
        <f>IFERROR(IF(INDEX(Gini!$C$2:$C$377,MATCH($A73&amp;"|"&amp;$B73,Gini!$E$2:$E$377,0))="","",INDEX(Gini!$C$2:$C$377,MATCH($A73&amp;"|"&amp;$B73,Gini!$E$2:$E$377,0))),"")</f>
        <v/>
      </c>
      <c r="F73" s="19">
        <f>IFERROR(IF(INDEX(Corrupcion!$E$2:$E$377,MATCH($A73&amp;"|"&amp;$B73,Corrupcion!$H$2:$H$377,0))="","",INDEX(Corrupcion!$E$2:$E$377,MATCH($A73&amp;"|"&amp;$B73,Corrupcion!$H$2:$H$377,0))),"")</f>
        <v/>
      </c>
      <c r="G73" s="20">
        <f>IFERROR(IF(INDEX(Corrupcion!$F$2:$F$377,MATCH($A73&amp;"|"&amp;$B73,Corrupcion!$H$2:$H$377,0))="","",INDEX(Corrupcion!$F$2:$F$377,MATCH($A73&amp;"|"&amp;$B73,Corrupcion!$H$2:$H$377,0))),"")</f>
        <v/>
      </c>
      <c r="H73" s="17">
        <f>IFERROR(IF(INDEX(Corrupcion!$G$2:$G$377,MATCH($A73&amp;"|"&amp;$B73,Corrupcion!$H$2:$H$377,0))="","",INDEX(Corrupcion!$G$2:$G$377,MATCH($A73&amp;"|"&amp;$B73,Corrupcion!$H$2:$H$377,0))),"")</f>
        <v/>
      </c>
      <c r="I73" s="8">
        <f>IF(COUNTBLANK(C73:E73)+COUNTBLANK(F73)=0,1,0)</f>
        <v/>
      </c>
      <c r="J73" s="8">
        <f>IF(COUNTBLANK(C73:E73)+COUNTBLANK(G73)=0,1,0)</f>
        <v/>
      </c>
      <c r="K73" s="8">
        <f>IF(COUNTBLANK(C73:E73)+COUNTBLANK(H73)=0,1,0)</f>
        <v/>
      </c>
    </row>
    <row r="74">
      <c r="A74" s="8" t="inlineStr">
        <is>
          <t>Chile</t>
        </is>
      </c>
      <c r="B74" s="8" t="n">
        <v>2004</v>
      </c>
      <c r="C74" s="18">
        <f>IF(Categorias!C75="","",Categorias!C75)</f>
        <v/>
      </c>
      <c r="D74" s="18">
        <f>IF(Categorias!H75="","",Categorias!H75)</f>
        <v/>
      </c>
      <c r="E74" s="17">
        <f>IFERROR(IF(INDEX(Gini!$C$2:$C$377,MATCH($A74&amp;"|"&amp;$B74,Gini!$E$2:$E$377,0))="","",INDEX(Gini!$C$2:$C$377,MATCH($A74&amp;"|"&amp;$B74,Gini!$E$2:$E$377,0))),"")</f>
        <v/>
      </c>
      <c r="F74" s="19">
        <f>IFERROR(IF(INDEX(Corrupcion!$E$2:$E$377,MATCH($A74&amp;"|"&amp;$B74,Corrupcion!$H$2:$H$377,0))="","",INDEX(Corrupcion!$E$2:$E$377,MATCH($A74&amp;"|"&amp;$B74,Corrupcion!$H$2:$H$377,0))),"")</f>
        <v/>
      </c>
      <c r="G74" s="20">
        <f>IFERROR(IF(INDEX(Corrupcion!$F$2:$F$377,MATCH($A74&amp;"|"&amp;$B74,Corrupcion!$H$2:$H$377,0))="","",INDEX(Corrupcion!$F$2:$F$377,MATCH($A74&amp;"|"&amp;$B74,Corrupcion!$H$2:$H$377,0))),"")</f>
        <v/>
      </c>
      <c r="H74" s="17">
        <f>IFERROR(IF(INDEX(Corrupcion!$G$2:$G$377,MATCH($A74&amp;"|"&amp;$B74,Corrupcion!$H$2:$H$377,0))="","",INDEX(Corrupcion!$G$2:$G$377,MATCH($A74&amp;"|"&amp;$B74,Corrupcion!$H$2:$H$377,0))),"")</f>
        <v/>
      </c>
      <c r="I74" s="8">
        <f>IF(COUNTBLANK(C74:E74)+COUNTBLANK(F74)=0,1,0)</f>
        <v/>
      </c>
      <c r="J74" s="8">
        <f>IF(COUNTBLANK(C74:E74)+COUNTBLANK(G74)=0,1,0)</f>
        <v/>
      </c>
      <c r="K74" s="8">
        <f>IF(COUNTBLANK(C74:E74)+COUNTBLANK(H74)=0,1,0)</f>
        <v/>
      </c>
    </row>
    <row r="75">
      <c r="A75" s="8" t="inlineStr">
        <is>
          <t>Chile</t>
        </is>
      </c>
      <c r="B75" s="8" t="n">
        <v>2005</v>
      </c>
      <c r="C75" s="18">
        <f>IF(Categorias!C76="","",Categorias!C76)</f>
        <v/>
      </c>
      <c r="D75" s="18">
        <f>IF(Categorias!H76="","",Categorias!H76)</f>
        <v/>
      </c>
      <c r="E75" s="17">
        <f>IFERROR(IF(INDEX(Gini!$C$2:$C$377,MATCH($A75&amp;"|"&amp;$B75,Gini!$E$2:$E$377,0))="","",INDEX(Gini!$C$2:$C$377,MATCH($A75&amp;"|"&amp;$B75,Gini!$E$2:$E$377,0))),"")</f>
        <v/>
      </c>
      <c r="F75" s="19">
        <f>IFERROR(IF(INDEX(Corrupcion!$E$2:$E$377,MATCH($A75&amp;"|"&amp;$B75,Corrupcion!$H$2:$H$377,0))="","",INDEX(Corrupcion!$E$2:$E$377,MATCH($A75&amp;"|"&amp;$B75,Corrupcion!$H$2:$H$377,0))),"")</f>
        <v/>
      </c>
      <c r="G75" s="20">
        <f>IFERROR(IF(INDEX(Corrupcion!$F$2:$F$377,MATCH($A75&amp;"|"&amp;$B75,Corrupcion!$H$2:$H$377,0))="","",INDEX(Corrupcion!$F$2:$F$377,MATCH($A75&amp;"|"&amp;$B75,Corrupcion!$H$2:$H$377,0))),"")</f>
        <v/>
      </c>
      <c r="H75" s="17">
        <f>IFERROR(IF(INDEX(Corrupcion!$G$2:$G$377,MATCH($A75&amp;"|"&amp;$B75,Corrupcion!$H$2:$H$377,0))="","",INDEX(Corrupcion!$G$2:$G$377,MATCH($A75&amp;"|"&amp;$B75,Corrupcion!$H$2:$H$377,0))),"")</f>
        <v/>
      </c>
      <c r="I75" s="8">
        <f>IF(COUNTBLANK(C75:E75)+COUNTBLANK(F75)=0,1,0)</f>
        <v/>
      </c>
      <c r="J75" s="8">
        <f>IF(COUNTBLANK(C75:E75)+COUNTBLANK(G75)=0,1,0)</f>
        <v/>
      </c>
      <c r="K75" s="8">
        <f>IF(COUNTBLANK(C75:E75)+COUNTBLANK(H75)=0,1,0)</f>
        <v/>
      </c>
    </row>
    <row r="76">
      <c r="A76" s="8" t="inlineStr">
        <is>
          <t>Chile</t>
        </is>
      </c>
      <c r="B76" s="8" t="n">
        <v>2006</v>
      </c>
      <c r="C76" s="18">
        <f>IF(Categorias!C77="","",Categorias!C77)</f>
        <v/>
      </c>
      <c r="D76" s="18">
        <f>IF(Categorias!H77="","",Categorias!H77)</f>
        <v/>
      </c>
      <c r="E76" s="17">
        <f>IFERROR(IF(INDEX(Gini!$C$2:$C$377,MATCH($A76&amp;"|"&amp;$B76,Gini!$E$2:$E$377,0))="","",INDEX(Gini!$C$2:$C$377,MATCH($A76&amp;"|"&amp;$B76,Gini!$E$2:$E$377,0))),"")</f>
        <v/>
      </c>
      <c r="F76" s="19">
        <f>IFERROR(IF(INDEX(Corrupcion!$E$2:$E$377,MATCH($A76&amp;"|"&amp;$B76,Corrupcion!$H$2:$H$377,0))="","",INDEX(Corrupcion!$E$2:$E$377,MATCH($A76&amp;"|"&amp;$B76,Corrupcion!$H$2:$H$377,0))),"")</f>
        <v/>
      </c>
      <c r="G76" s="20">
        <f>IFERROR(IF(INDEX(Corrupcion!$F$2:$F$377,MATCH($A76&amp;"|"&amp;$B76,Corrupcion!$H$2:$H$377,0))="","",INDEX(Corrupcion!$F$2:$F$377,MATCH($A76&amp;"|"&amp;$B76,Corrupcion!$H$2:$H$377,0))),"")</f>
        <v/>
      </c>
      <c r="H76" s="17">
        <f>IFERROR(IF(INDEX(Corrupcion!$G$2:$G$377,MATCH($A76&amp;"|"&amp;$B76,Corrupcion!$H$2:$H$377,0))="","",INDEX(Corrupcion!$G$2:$G$377,MATCH($A76&amp;"|"&amp;$B76,Corrupcion!$H$2:$H$377,0))),"")</f>
        <v/>
      </c>
      <c r="I76" s="8">
        <f>IF(COUNTBLANK(C76:E76)+COUNTBLANK(F76)=0,1,0)</f>
        <v/>
      </c>
      <c r="J76" s="8">
        <f>IF(COUNTBLANK(C76:E76)+COUNTBLANK(G76)=0,1,0)</f>
        <v/>
      </c>
      <c r="K76" s="8">
        <f>IF(COUNTBLANK(C76:E76)+COUNTBLANK(H76)=0,1,0)</f>
        <v/>
      </c>
    </row>
    <row r="77">
      <c r="A77" s="8" t="inlineStr">
        <is>
          <t>Chile</t>
        </is>
      </c>
      <c r="B77" s="8" t="n">
        <v>2007</v>
      </c>
      <c r="C77" s="18">
        <f>IF(Categorias!C78="","",Categorias!C78)</f>
        <v/>
      </c>
      <c r="D77" s="18">
        <f>IF(Categorias!H78="","",Categorias!H78)</f>
        <v/>
      </c>
      <c r="E77" s="17">
        <f>IFERROR(IF(INDEX(Gini!$C$2:$C$377,MATCH($A77&amp;"|"&amp;$B77,Gini!$E$2:$E$377,0))="","",INDEX(Gini!$C$2:$C$377,MATCH($A77&amp;"|"&amp;$B77,Gini!$E$2:$E$377,0))),"")</f>
        <v/>
      </c>
      <c r="F77" s="19">
        <f>IFERROR(IF(INDEX(Corrupcion!$E$2:$E$377,MATCH($A77&amp;"|"&amp;$B77,Corrupcion!$H$2:$H$377,0))="","",INDEX(Corrupcion!$E$2:$E$377,MATCH($A77&amp;"|"&amp;$B77,Corrupcion!$H$2:$H$377,0))),"")</f>
        <v/>
      </c>
      <c r="G77" s="20">
        <f>IFERROR(IF(INDEX(Corrupcion!$F$2:$F$377,MATCH($A77&amp;"|"&amp;$B77,Corrupcion!$H$2:$H$377,0))="","",INDEX(Corrupcion!$F$2:$F$377,MATCH($A77&amp;"|"&amp;$B77,Corrupcion!$H$2:$H$377,0))),"")</f>
        <v/>
      </c>
      <c r="H77" s="17">
        <f>IFERROR(IF(INDEX(Corrupcion!$G$2:$G$377,MATCH($A77&amp;"|"&amp;$B77,Corrupcion!$H$2:$H$377,0))="","",INDEX(Corrupcion!$G$2:$G$377,MATCH($A77&amp;"|"&amp;$B77,Corrupcion!$H$2:$H$377,0))),"")</f>
        <v/>
      </c>
      <c r="I77" s="8">
        <f>IF(COUNTBLANK(C77:E77)+COUNTBLANK(F77)=0,1,0)</f>
        <v/>
      </c>
      <c r="J77" s="8">
        <f>IF(COUNTBLANK(C77:E77)+COUNTBLANK(G77)=0,1,0)</f>
        <v/>
      </c>
      <c r="K77" s="8">
        <f>IF(COUNTBLANK(C77:E77)+COUNTBLANK(H77)=0,1,0)</f>
        <v/>
      </c>
    </row>
    <row r="78">
      <c r="A78" s="8" t="inlineStr">
        <is>
          <t>Chile</t>
        </is>
      </c>
      <c r="B78" s="8" t="n">
        <v>2008</v>
      </c>
      <c r="C78" s="18">
        <f>IF(Categorias!C79="","",Categorias!C79)</f>
        <v/>
      </c>
      <c r="D78" s="18">
        <f>IF(Categorias!H79="","",Categorias!H79)</f>
        <v/>
      </c>
      <c r="E78" s="17">
        <f>IFERROR(IF(INDEX(Gini!$C$2:$C$377,MATCH($A78&amp;"|"&amp;$B78,Gini!$E$2:$E$377,0))="","",INDEX(Gini!$C$2:$C$377,MATCH($A78&amp;"|"&amp;$B78,Gini!$E$2:$E$377,0))),"")</f>
        <v/>
      </c>
      <c r="F78" s="19">
        <f>IFERROR(IF(INDEX(Corrupcion!$E$2:$E$377,MATCH($A78&amp;"|"&amp;$B78,Corrupcion!$H$2:$H$377,0))="","",INDEX(Corrupcion!$E$2:$E$377,MATCH($A78&amp;"|"&amp;$B78,Corrupcion!$H$2:$H$377,0))),"")</f>
        <v/>
      </c>
      <c r="G78" s="20">
        <f>IFERROR(IF(INDEX(Corrupcion!$F$2:$F$377,MATCH($A78&amp;"|"&amp;$B78,Corrupcion!$H$2:$H$377,0))="","",INDEX(Corrupcion!$F$2:$F$377,MATCH($A78&amp;"|"&amp;$B78,Corrupcion!$H$2:$H$377,0))),"")</f>
        <v/>
      </c>
      <c r="H78" s="17">
        <f>IFERROR(IF(INDEX(Corrupcion!$G$2:$G$377,MATCH($A78&amp;"|"&amp;$B78,Corrupcion!$H$2:$H$377,0))="","",INDEX(Corrupcion!$G$2:$G$377,MATCH($A78&amp;"|"&amp;$B78,Corrupcion!$H$2:$H$377,0))),"")</f>
        <v/>
      </c>
      <c r="I78" s="8">
        <f>IF(COUNTBLANK(C78:E78)+COUNTBLANK(F78)=0,1,0)</f>
        <v/>
      </c>
      <c r="J78" s="8">
        <f>IF(COUNTBLANK(C78:E78)+COUNTBLANK(G78)=0,1,0)</f>
        <v/>
      </c>
      <c r="K78" s="8">
        <f>IF(COUNTBLANK(C78:E78)+COUNTBLANK(H78)=0,1,0)</f>
        <v/>
      </c>
    </row>
    <row r="79">
      <c r="A79" s="8" t="inlineStr">
        <is>
          <t>Chile</t>
        </is>
      </c>
      <c r="B79" s="8" t="n">
        <v>2009</v>
      </c>
      <c r="C79" s="18">
        <f>IF(Categorias!C80="","",Categorias!C80)</f>
        <v/>
      </c>
      <c r="D79" s="18">
        <f>IF(Categorias!H80="","",Categorias!H80)</f>
        <v/>
      </c>
      <c r="E79" s="17">
        <f>IFERROR(IF(INDEX(Gini!$C$2:$C$377,MATCH($A79&amp;"|"&amp;$B79,Gini!$E$2:$E$377,0))="","",INDEX(Gini!$C$2:$C$377,MATCH($A79&amp;"|"&amp;$B79,Gini!$E$2:$E$377,0))),"")</f>
        <v/>
      </c>
      <c r="F79" s="19">
        <f>IFERROR(IF(INDEX(Corrupcion!$E$2:$E$377,MATCH($A79&amp;"|"&amp;$B79,Corrupcion!$H$2:$H$377,0))="","",INDEX(Corrupcion!$E$2:$E$377,MATCH($A79&amp;"|"&amp;$B79,Corrupcion!$H$2:$H$377,0))),"")</f>
        <v/>
      </c>
      <c r="G79" s="20">
        <f>IFERROR(IF(INDEX(Corrupcion!$F$2:$F$377,MATCH($A79&amp;"|"&amp;$B79,Corrupcion!$H$2:$H$377,0))="","",INDEX(Corrupcion!$F$2:$F$377,MATCH($A79&amp;"|"&amp;$B79,Corrupcion!$H$2:$H$377,0))),"")</f>
        <v/>
      </c>
      <c r="H79" s="17">
        <f>IFERROR(IF(INDEX(Corrupcion!$G$2:$G$377,MATCH($A79&amp;"|"&amp;$B79,Corrupcion!$H$2:$H$377,0))="","",INDEX(Corrupcion!$G$2:$G$377,MATCH($A79&amp;"|"&amp;$B79,Corrupcion!$H$2:$H$377,0))),"")</f>
        <v/>
      </c>
      <c r="I79" s="8">
        <f>IF(COUNTBLANK(C79:E79)+COUNTBLANK(F79)=0,1,0)</f>
        <v/>
      </c>
      <c r="J79" s="8">
        <f>IF(COUNTBLANK(C79:E79)+COUNTBLANK(G79)=0,1,0)</f>
        <v/>
      </c>
      <c r="K79" s="8">
        <f>IF(COUNTBLANK(C79:E79)+COUNTBLANK(H79)=0,1,0)</f>
        <v/>
      </c>
    </row>
    <row r="80">
      <c r="A80" s="8" t="inlineStr">
        <is>
          <t>Chile</t>
        </is>
      </c>
      <c r="B80" s="8" t="n">
        <v>2010</v>
      </c>
      <c r="C80" s="18">
        <f>IF(Categorias!C81="","",Categorias!C81)</f>
        <v/>
      </c>
      <c r="D80" s="18">
        <f>IF(Categorias!H81="","",Categorias!H81)</f>
        <v/>
      </c>
      <c r="E80" s="17">
        <f>IFERROR(IF(INDEX(Gini!$C$2:$C$377,MATCH($A80&amp;"|"&amp;$B80,Gini!$E$2:$E$377,0))="","",INDEX(Gini!$C$2:$C$377,MATCH($A80&amp;"|"&amp;$B80,Gini!$E$2:$E$377,0))),"")</f>
        <v/>
      </c>
      <c r="F80" s="19">
        <f>IFERROR(IF(INDEX(Corrupcion!$E$2:$E$377,MATCH($A80&amp;"|"&amp;$B80,Corrupcion!$H$2:$H$377,0))="","",INDEX(Corrupcion!$E$2:$E$377,MATCH($A80&amp;"|"&amp;$B80,Corrupcion!$H$2:$H$377,0))),"")</f>
        <v/>
      </c>
      <c r="G80" s="20">
        <f>IFERROR(IF(INDEX(Corrupcion!$F$2:$F$377,MATCH($A80&amp;"|"&amp;$B80,Corrupcion!$H$2:$H$377,0))="","",INDEX(Corrupcion!$F$2:$F$377,MATCH($A80&amp;"|"&amp;$B80,Corrupcion!$H$2:$H$377,0))),"")</f>
        <v/>
      </c>
      <c r="H80" s="17">
        <f>IFERROR(IF(INDEX(Corrupcion!$G$2:$G$377,MATCH($A80&amp;"|"&amp;$B80,Corrupcion!$H$2:$H$377,0))="","",INDEX(Corrupcion!$G$2:$G$377,MATCH($A80&amp;"|"&amp;$B80,Corrupcion!$H$2:$H$377,0))),"")</f>
        <v/>
      </c>
      <c r="I80" s="8">
        <f>IF(COUNTBLANK(C80:E80)+COUNTBLANK(F80)=0,1,0)</f>
        <v/>
      </c>
      <c r="J80" s="8">
        <f>IF(COUNTBLANK(C80:E80)+COUNTBLANK(G80)=0,1,0)</f>
        <v/>
      </c>
      <c r="K80" s="8">
        <f>IF(COUNTBLANK(C80:E80)+COUNTBLANK(H80)=0,1,0)</f>
        <v/>
      </c>
    </row>
    <row r="81">
      <c r="A81" s="8" t="inlineStr">
        <is>
          <t>Chile</t>
        </is>
      </c>
      <c r="B81" s="8" t="n">
        <v>2011</v>
      </c>
      <c r="C81" s="18">
        <f>IF(Categorias!C82="","",Categorias!C82)</f>
        <v/>
      </c>
      <c r="D81" s="18">
        <f>IF(Categorias!H82="","",Categorias!H82)</f>
        <v/>
      </c>
      <c r="E81" s="17">
        <f>IFERROR(IF(INDEX(Gini!$C$2:$C$377,MATCH($A81&amp;"|"&amp;$B81,Gini!$E$2:$E$377,0))="","",INDEX(Gini!$C$2:$C$377,MATCH($A81&amp;"|"&amp;$B81,Gini!$E$2:$E$377,0))),"")</f>
        <v/>
      </c>
      <c r="F81" s="19">
        <f>IFERROR(IF(INDEX(Corrupcion!$E$2:$E$377,MATCH($A81&amp;"|"&amp;$B81,Corrupcion!$H$2:$H$377,0))="","",INDEX(Corrupcion!$E$2:$E$377,MATCH($A81&amp;"|"&amp;$B81,Corrupcion!$H$2:$H$377,0))),"")</f>
        <v/>
      </c>
      <c r="G81" s="20">
        <f>IFERROR(IF(INDEX(Corrupcion!$F$2:$F$377,MATCH($A81&amp;"|"&amp;$B81,Corrupcion!$H$2:$H$377,0))="","",INDEX(Corrupcion!$F$2:$F$377,MATCH($A81&amp;"|"&amp;$B81,Corrupcion!$H$2:$H$377,0))),"")</f>
        <v/>
      </c>
      <c r="H81" s="17">
        <f>IFERROR(IF(INDEX(Corrupcion!$G$2:$G$377,MATCH($A81&amp;"|"&amp;$B81,Corrupcion!$H$2:$H$377,0))="","",INDEX(Corrupcion!$G$2:$G$377,MATCH($A81&amp;"|"&amp;$B81,Corrupcion!$H$2:$H$377,0))),"")</f>
        <v/>
      </c>
      <c r="I81" s="8">
        <f>IF(COUNTBLANK(C81:E81)+COUNTBLANK(F81)=0,1,0)</f>
        <v/>
      </c>
      <c r="J81" s="8">
        <f>IF(COUNTBLANK(C81:E81)+COUNTBLANK(G81)=0,1,0)</f>
        <v/>
      </c>
      <c r="K81" s="8">
        <f>IF(COUNTBLANK(C81:E81)+COUNTBLANK(H81)=0,1,0)</f>
        <v/>
      </c>
    </row>
    <row r="82">
      <c r="A82" s="8" t="inlineStr">
        <is>
          <t>Chile</t>
        </is>
      </c>
      <c r="B82" s="8" t="n">
        <v>2016</v>
      </c>
      <c r="C82" s="18">
        <f>IF(Categorias!C83="","",Categorias!C83)</f>
        <v/>
      </c>
      <c r="D82" s="18">
        <f>IF(Categorias!H83="","",Categorias!H83)</f>
        <v/>
      </c>
      <c r="E82" s="17">
        <f>IFERROR(IF(INDEX(Gini!$C$2:$C$377,MATCH($A82&amp;"|"&amp;$B82,Gini!$E$2:$E$377,0))="","",INDEX(Gini!$C$2:$C$377,MATCH($A82&amp;"|"&amp;$B82,Gini!$E$2:$E$377,0))),"")</f>
        <v/>
      </c>
      <c r="F82" s="19">
        <f>IFERROR(IF(INDEX(Corrupcion!$E$2:$E$377,MATCH($A82&amp;"|"&amp;$B82,Corrupcion!$H$2:$H$377,0))="","",INDEX(Corrupcion!$E$2:$E$377,MATCH($A82&amp;"|"&amp;$B82,Corrupcion!$H$2:$H$377,0))),"")</f>
        <v/>
      </c>
      <c r="G82" s="20">
        <f>IFERROR(IF(INDEX(Corrupcion!$F$2:$F$377,MATCH($A82&amp;"|"&amp;$B82,Corrupcion!$H$2:$H$377,0))="","",INDEX(Corrupcion!$F$2:$F$377,MATCH($A82&amp;"|"&amp;$B82,Corrupcion!$H$2:$H$377,0))),"")</f>
        <v/>
      </c>
      <c r="H82" s="17">
        <f>IFERROR(IF(INDEX(Corrupcion!$G$2:$G$377,MATCH($A82&amp;"|"&amp;$B82,Corrupcion!$H$2:$H$377,0))="","",INDEX(Corrupcion!$G$2:$G$377,MATCH($A82&amp;"|"&amp;$B82,Corrupcion!$H$2:$H$377,0))),"")</f>
        <v/>
      </c>
      <c r="I82" s="8">
        <f>IF(COUNTBLANK(C82:E82)+COUNTBLANK(F82)=0,1,0)</f>
        <v/>
      </c>
      <c r="J82" s="8">
        <f>IF(COUNTBLANK(C82:E82)+COUNTBLANK(G82)=0,1,0)</f>
        <v/>
      </c>
      <c r="K82" s="8">
        <f>IF(COUNTBLANK(C82:E82)+COUNTBLANK(H82)=0,1,0)</f>
        <v/>
      </c>
    </row>
    <row r="83">
      <c r="A83" s="8" t="inlineStr">
        <is>
          <t>Chile</t>
        </is>
      </c>
      <c r="B83" s="8" t="n">
        <v>2017</v>
      </c>
      <c r="C83" s="18">
        <f>IF(Categorias!C84="","",Categorias!C84)</f>
        <v/>
      </c>
      <c r="D83" s="18">
        <f>IF(Categorias!H84="","",Categorias!H84)</f>
        <v/>
      </c>
      <c r="E83" s="17">
        <f>IFERROR(IF(INDEX(Gini!$C$2:$C$377,MATCH($A83&amp;"|"&amp;$B83,Gini!$E$2:$E$377,0))="","",INDEX(Gini!$C$2:$C$377,MATCH($A83&amp;"|"&amp;$B83,Gini!$E$2:$E$377,0))),"")</f>
        <v/>
      </c>
      <c r="F83" s="19">
        <f>IFERROR(IF(INDEX(Corrupcion!$E$2:$E$377,MATCH($A83&amp;"|"&amp;$B83,Corrupcion!$H$2:$H$377,0))="","",INDEX(Corrupcion!$E$2:$E$377,MATCH($A83&amp;"|"&amp;$B83,Corrupcion!$H$2:$H$377,0))),"")</f>
        <v/>
      </c>
      <c r="G83" s="20">
        <f>IFERROR(IF(INDEX(Corrupcion!$F$2:$F$377,MATCH($A83&amp;"|"&amp;$B83,Corrupcion!$H$2:$H$377,0))="","",INDEX(Corrupcion!$F$2:$F$377,MATCH($A83&amp;"|"&amp;$B83,Corrupcion!$H$2:$H$377,0))),"")</f>
        <v/>
      </c>
      <c r="H83" s="17">
        <f>IFERROR(IF(INDEX(Corrupcion!$G$2:$G$377,MATCH($A83&amp;"|"&amp;$B83,Corrupcion!$H$2:$H$377,0))="","",INDEX(Corrupcion!$G$2:$G$377,MATCH($A83&amp;"|"&amp;$B83,Corrupcion!$H$2:$H$377,0))),"")</f>
        <v/>
      </c>
      <c r="I83" s="8">
        <f>IF(COUNTBLANK(C83:E83)+COUNTBLANK(F83)=0,1,0)</f>
        <v/>
      </c>
      <c r="J83" s="8">
        <f>IF(COUNTBLANK(C83:E83)+COUNTBLANK(G83)=0,1,0)</f>
        <v/>
      </c>
      <c r="K83" s="8">
        <f>IF(COUNTBLANK(C83:E83)+COUNTBLANK(H83)=0,1,0)</f>
        <v/>
      </c>
    </row>
    <row r="84">
      <c r="A84" s="8" t="inlineStr">
        <is>
          <t>Chile</t>
        </is>
      </c>
      <c r="B84" s="8" t="n">
        <v>2018</v>
      </c>
      <c r="C84" s="18">
        <f>IF(Categorias!C85="","",Categorias!C85)</f>
        <v/>
      </c>
      <c r="D84" s="18">
        <f>IF(Categorias!H85="","",Categorias!H85)</f>
        <v/>
      </c>
      <c r="E84" s="17">
        <f>IFERROR(IF(INDEX(Gini!$C$2:$C$377,MATCH($A84&amp;"|"&amp;$B84,Gini!$E$2:$E$377,0))="","",INDEX(Gini!$C$2:$C$377,MATCH($A84&amp;"|"&amp;$B84,Gini!$E$2:$E$377,0))),"")</f>
        <v/>
      </c>
      <c r="F84" s="19">
        <f>IFERROR(IF(INDEX(Corrupcion!$E$2:$E$377,MATCH($A84&amp;"|"&amp;$B84,Corrupcion!$H$2:$H$377,0))="","",INDEX(Corrupcion!$E$2:$E$377,MATCH($A84&amp;"|"&amp;$B84,Corrupcion!$H$2:$H$377,0))),"")</f>
        <v/>
      </c>
      <c r="G84" s="20">
        <f>IFERROR(IF(INDEX(Corrupcion!$F$2:$F$377,MATCH($A84&amp;"|"&amp;$B84,Corrupcion!$H$2:$H$377,0))="","",INDEX(Corrupcion!$F$2:$F$377,MATCH($A84&amp;"|"&amp;$B84,Corrupcion!$H$2:$H$377,0))),"")</f>
        <v/>
      </c>
      <c r="H84" s="17">
        <f>IFERROR(IF(INDEX(Corrupcion!$G$2:$G$377,MATCH($A84&amp;"|"&amp;$B84,Corrupcion!$H$2:$H$377,0))="","",INDEX(Corrupcion!$G$2:$G$377,MATCH($A84&amp;"|"&amp;$B84,Corrupcion!$H$2:$H$377,0))),"")</f>
        <v/>
      </c>
      <c r="I84" s="8">
        <f>IF(COUNTBLANK(C84:E84)+COUNTBLANK(F84)=0,1,0)</f>
        <v/>
      </c>
      <c r="J84" s="8">
        <f>IF(COUNTBLANK(C84:E84)+COUNTBLANK(G84)=0,1,0)</f>
        <v/>
      </c>
      <c r="K84" s="8">
        <f>IF(COUNTBLANK(C84:E84)+COUNTBLANK(H84)=0,1,0)</f>
        <v/>
      </c>
    </row>
    <row r="85">
      <c r="A85" s="8" t="inlineStr">
        <is>
          <t>Chile</t>
        </is>
      </c>
      <c r="B85" s="8" t="n">
        <v>2020</v>
      </c>
      <c r="C85" s="18">
        <f>IF(Categorias!C86="","",Categorias!C86)</f>
        <v/>
      </c>
      <c r="D85" s="18">
        <f>IF(Categorias!H86="","",Categorias!H86)</f>
        <v/>
      </c>
      <c r="E85" s="17">
        <f>IFERROR(IF(INDEX(Gini!$C$2:$C$377,MATCH($A85&amp;"|"&amp;$B85,Gini!$E$2:$E$377,0))="","",INDEX(Gini!$C$2:$C$377,MATCH($A85&amp;"|"&amp;$B85,Gini!$E$2:$E$377,0))),"")</f>
        <v/>
      </c>
      <c r="F85" s="19">
        <f>IFERROR(IF(INDEX(Corrupcion!$E$2:$E$377,MATCH($A85&amp;"|"&amp;$B85,Corrupcion!$H$2:$H$377,0))="","",INDEX(Corrupcion!$E$2:$E$377,MATCH($A85&amp;"|"&amp;$B85,Corrupcion!$H$2:$H$377,0))),"")</f>
        <v/>
      </c>
      <c r="G85" s="20">
        <f>IFERROR(IF(INDEX(Corrupcion!$F$2:$F$377,MATCH($A85&amp;"|"&amp;$B85,Corrupcion!$H$2:$H$377,0))="","",INDEX(Corrupcion!$F$2:$F$377,MATCH($A85&amp;"|"&amp;$B85,Corrupcion!$H$2:$H$377,0))),"")</f>
        <v/>
      </c>
      <c r="H85" s="17">
        <f>IFERROR(IF(INDEX(Corrupcion!$G$2:$G$377,MATCH($A85&amp;"|"&amp;$B85,Corrupcion!$H$2:$H$377,0))="","",INDEX(Corrupcion!$G$2:$G$377,MATCH($A85&amp;"|"&amp;$B85,Corrupcion!$H$2:$H$377,0))),"")</f>
        <v/>
      </c>
      <c r="I85" s="8">
        <f>IF(COUNTBLANK(C85:E85)+COUNTBLANK(F85)=0,1,0)</f>
        <v/>
      </c>
      <c r="J85" s="8">
        <f>IF(COUNTBLANK(C85:E85)+COUNTBLANK(G85)=0,1,0)</f>
        <v/>
      </c>
      <c r="K85" s="8">
        <f>IF(COUNTBLANK(C85:E85)+COUNTBLANK(H85)=0,1,0)</f>
        <v/>
      </c>
    </row>
    <row r="86">
      <c r="A86" s="8" t="inlineStr">
        <is>
          <t>Chile</t>
        </is>
      </c>
      <c r="B86" s="8" t="n">
        <v>2024</v>
      </c>
      <c r="C86" s="18">
        <f>IF(Categorias!C87="","",Categorias!C87)</f>
        <v/>
      </c>
      <c r="D86" s="18">
        <f>IF(Categorias!H87="","",Categorias!H87)</f>
        <v/>
      </c>
      <c r="E86" s="17">
        <f>IFERROR(IF(INDEX(Gini!$C$2:$C$377,MATCH($A86&amp;"|"&amp;$B86,Gini!$E$2:$E$377,0))="","",INDEX(Gini!$C$2:$C$377,MATCH($A86&amp;"|"&amp;$B86,Gini!$E$2:$E$377,0))),"")</f>
        <v/>
      </c>
      <c r="F86" s="19">
        <f>IFERROR(IF(INDEX(Corrupcion!$E$2:$E$377,MATCH($A86&amp;"|"&amp;$B86,Corrupcion!$H$2:$H$377,0))="","",INDEX(Corrupcion!$E$2:$E$377,MATCH($A86&amp;"|"&amp;$B86,Corrupcion!$H$2:$H$377,0))),"")</f>
        <v/>
      </c>
      <c r="G86" s="20">
        <f>IFERROR(IF(INDEX(Corrupcion!$F$2:$F$377,MATCH($A86&amp;"|"&amp;$B86,Corrupcion!$H$2:$H$377,0))="","",INDEX(Corrupcion!$F$2:$F$377,MATCH($A86&amp;"|"&amp;$B86,Corrupcion!$H$2:$H$377,0))),"")</f>
        <v/>
      </c>
      <c r="H86" s="17">
        <f>IFERROR(IF(INDEX(Corrupcion!$G$2:$G$377,MATCH($A86&amp;"|"&amp;$B86,Corrupcion!$H$2:$H$377,0))="","",INDEX(Corrupcion!$G$2:$G$377,MATCH($A86&amp;"|"&amp;$B86,Corrupcion!$H$2:$H$377,0))),"")</f>
        <v/>
      </c>
      <c r="I86" s="8">
        <f>IF(COUNTBLANK(C86:E86)+COUNTBLANK(F86)=0,1,0)</f>
        <v/>
      </c>
      <c r="J86" s="8">
        <f>IF(COUNTBLANK(C86:E86)+COUNTBLANK(G86)=0,1,0)</f>
        <v/>
      </c>
      <c r="K86" s="8">
        <f>IF(COUNTBLANK(C86:E86)+COUNTBLANK(H86)=0,1,0)</f>
        <v/>
      </c>
    </row>
    <row r="87">
      <c r="A87" s="8" t="inlineStr">
        <is>
          <t>Colombia</t>
        </is>
      </c>
      <c r="B87" s="8" t="n">
        <v>1996</v>
      </c>
      <c r="C87" s="18">
        <f>IF(Categorias!C88="","",Categorias!C88)</f>
        <v/>
      </c>
      <c r="D87" s="18">
        <f>IF(Categorias!H88="","",Categorias!H88)</f>
        <v/>
      </c>
      <c r="E87" s="17">
        <f>IFERROR(IF(INDEX(Gini!$C$2:$C$377,MATCH($A87&amp;"|"&amp;$B87,Gini!$E$2:$E$377,0))="","",INDEX(Gini!$C$2:$C$377,MATCH($A87&amp;"|"&amp;$B87,Gini!$E$2:$E$377,0))),"")</f>
        <v/>
      </c>
      <c r="F87" s="19">
        <f>IFERROR(IF(INDEX(Corrupcion!$E$2:$E$377,MATCH($A87&amp;"|"&amp;$B87,Corrupcion!$H$2:$H$377,0))="","",INDEX(Corrupcion!$E$2:$E$377,MATCH($A87&amp;"|"&amp;$B87,Corrupcion!$H$2:$H$377,0))),"")</f>
        <v/>
      </c>
      <c r="G87" s="20">
        <f>IFERROR(IF(INDEX(Corrupcion!$F$2:$F$377,MATCH($A87&amp;"|"&amp;$B87,Corrupcion!$H$2:$H$377,0))="","",INDEX(Corrupcion!$F$2:$F$377,MATCH($A87&amp;"|"&amp;$B87,Corrupcion!$H$2:$H$377,0))),"")</f>
        <v/>
      </c>
      <c r="H87" s="17">
        <f>IFERROR(IF(INDEX(Corrupcion!$G$2:$G$377,MATCH($A87&amp;"|"&amp;$B87,Corrupcion!$H$2:$H$377,0))="","",INDEX(Corrupcion!$G$2:$G$377,MATCH($A87&amp;"|"&amp;$B87,Corrupcion!$H$2:$H$377,0))),"")</f>
        <v/>
      </c>
      <c r="I87" s="8">
        <f>IF(COUNTBLANK(C87:E87)+COUNTBLANK(F87)=0,1,0)</f>
        <v/>
      </c>
      <c r="J87" s="8">
        <f>IF(COUNTBLANK(C87:E87)+COUNTBLANK(G87)=0,1,0)</f>
        <v/>
      </c>
      <c r="K87" s="8">
        <f>IF(COUNTBLANK(C87:E87)+COUNTBLANK(H87)=0,1,0)</f>
        <v/>
      </c>
    </row>
    <row r="88">
      <c r="A88" s="8" t="inlineStr">
        <is>
          <t>Colombia</t>
        </is>
      </c>
      <c r="B88" s="8" t="n">
        <v>1997</v>
      </c>
      <c r="C88" s="18">
        <f>IF(Categorias!C89="","",Categorias!C89)</f>
        <v/>
      </c>
      <c r="D88" s="18">
        <f>IF(Categorias!H89="","",Categorias!H89)</f>
        <v/>
      </c>
      <c r="E88" s="17">
        <f>IFERROR(IF(INDEX(Gini!$C$2:$C$377,MATCH($A88&amp;"|"&amp;$B88,Gini!$E$2:$E$377,0))="","",INDEX(Gini!$C$2:$C$377,MATCH($A88&amp;"|"&amp;$B88,Gini!$E$2:$E$377,0))),"")</f>
        <v/>
      </c>
      <c r="F88" s="19">
        <f>IFERROR(IF(INDEX(Corrupcion!$E$2:$E$377,MATCH($A88&amp;"|"&amp;$B88,Corrupcion!$H$2:$H$377,0))="","",INDEX(Corrupcion!$E$2:$E$377,MATCH($A88&amp;"|"&amp;$B88,Corrupcion!$H$2:$H$377,0))),"")</f>
        <v/>
      </c>
      <c r="G88" s="20">
        <f>IFERROR(IF(INDEX(Corrupcion!$F$2:$F$377,MATCH($A88&amp;"|"&amp;$B88,Corrupcion!$H$2:$H$377,0))="","",INDEX(Corrupcion!$F$2:$F$377,MATCH($A88&amp;"|"&amp;$B88,Corrupcion!$H$2:$H$377,0))),"")</f>
        <v/>
      </c>
      <c r="H88" s="17">
        <f>IFERROR(IF(INDEX(Corrupcion!$G$2:$G$377,MATCH($A88&amp;"|"&amp;$B88,Corrupcion!$H$2:$H$377,0))="","",INDEX(Corrupcion!$G$2:$G$377,MATCH($A88&amp;"|"&amp;$B88,Corrupcion!$H$2:$H$377,0))),"")</f>
        <v/>
      </c>
      <c r="I88" s="8">
        <f>IF(COUNTBLANK(C88:E88)+COUNTBLANK(F88)=0,1,0)</f>
        <v/>
      </c>
      <c r="J88" s="8">
        <f>IF(COUNTBLANK(C88:E88)+COUNTBLANK(G88)=0,1,0)</f>
        <v/>
      </c>
      <c r="K88" s="8">
        <f>IF(COUNTBLANK(C88:E88)+COUNTBLANK(H88)=0,1,0)</f>
        <v/>
      </c>
    </row>
    <row r="89">
      <c r="A89" s="8" t="inlineStr">
        <is>
          <t>Colombia</t>
        </is>
      </c>
      <c r="B89" s="8" t="n">
        <v>1998</v>
      </c>
      <c r="C89" s="18">
        <f>IF(Categorias!C90="","",Categorias!C90)</f>
        <v/>
      </c>
      <c r="D89" s="18">
        <f>IF(Categorias!H90="","",Categorias!H90)</f>
        <v/>
      </c>
      <c r="E89" s="17">
        <f>IFERROR(IF(INDEX(Gini!$C$2:$C$377,MATCH($A89&amp;"|"&amp;$B89,Gini!$E$2:$E$377,0))="","",INDEX(Gini!$C$2:$C$377,MATCH($A89&amp;"|"&amp;$B89,Gini!$E$2:$E$377,0))),"")</f>
        <v/>
      </c>
      <c r="F89" s="19">
        <f>IFERROR(IF(INDEX(Corrupcion!$E$2:$E$377,MATCH($A89&amp;"|"&amp;$B89,Corrupcion!$H$2:$H$377,0))="","",INDEX(Corrupcion!$E$2:$E$377,MATCH($A89&amp;"|"&amp;$B89,Corrupcion!$H$2:$H$377,0))),"")</f>
        <v/>
      </c>
      <c r="G89" s="20">
        <f>IFERROR(IF(INDEX(Corrupcion!$F$2:$F$377,MATCH($A89&amp;"|"&amp;$B89,Corrupcion!$H$2:$H$377,0))="","",INDEX(Corrupcion!$F$2:$F$377,MATCH($A89&amp;"|"&amp;$B89,Corrupcion!$H$2:$H$377,0))),"")</f>
        <v/>
      </c>
      <c r="H89" s="17">
        <f>IFERROR(IF(INDEX(Corrupcion!$G$2:$G$377,MATCH($A89&amp;"|"&amp;$B89,Corrupcion!$H$2:$H$377,0))="","",INDEX(Corrupcion!$G$2:$G$377,MATCH($A89&amp;"|"&amp;$B89,Corrupcion!$H$2:$H$377,0))),"")</f>
        <v/>
      </c>
      <c r="I89" s="8">
        <f>IF(COUNTBLANK(C89:E89)+COUNTBLANK(F89)=0,1,0)</f>
        <v/>
      </c>
      <c r="J89" s="8">
        <f>IF(COUNTBLANK(C89:E89)+COUNTBLANK(G89)=0,1,0)</f>
        <v/>
      </c>
      <c r="K89" s="8">
        <f>IF(COUNTBLANK(C89:E89)+COUNTBLANK(H89)=0,1,0)</f>
        <v/>
      </c>
    </row>
    <row r="90">
      <c r="A90" s="8" t="inlineStr">
        <is>
          <t>Colombia</t>
        </is>
      </c>
      <c r="B90" s="8" t="n">
        <v>2000</v>
      </c>
      <c r="C90" s="18">
        <f>IF(Categorias!C91="","",Categorias!C91)</f>
        <v/>
      </c>
      <c r="D90" s="18">
        <f>IF(Categorias!H91="","",Categorias!H91)</f>
        <v/>
      </c>
      <c r="E90" s="17">
        <f>IFERROR(IF(INDEX(Gini!$C$2:$C$377,MATCH($A90&amp;"|"&amp;$B90,Gini!$E$2:$E$377,0))="","",INDEX(Gini!$C$2:$C$377,MATCH($A90&amp;"|"&amp;$B90,Gini!$E$2:$E$377,0))),"")</f>
        <v/>
      </c>
      <c r="F90" s="19">
        <f>IFERROR(IF(INDEX(Corrupcion!$E$2:$E$377,MATCH($A90&amp;"|"&amp;$B90,Corrupcion!$H$2:$H$377,0))="","",INDEX(Corrupcion!$E$2:$E$377,MATCH($A90&amp;"|"&amp;$B90,Corrupcion!$H$2:$H$377,0))),"")</f>
        <v/>
      </c>
      <c r="G90" s="20">
        <f>IFERROR(IF(INDEX(Corrupcion!$F$2:$F$377,MATCH($A90&amp;"|"&amp;$B90,Corrupcion!$H$2:$H$377,0))="","",INDEX(Corrupcion!$F$2:$F$377,MATCH($A90&amp;"|"&amp;$B90,Corrupcion!$H$2:$H$377,0))),"")</f>
        <v/>
      </c>
      <c r="H90" s="17">
        <f>IFERROR(IF(INDEX(Corrupcion!$G$2:$G$377,MATCH($A90&amp;"|"&amp;$B90,Corrupcion!$H$2:$H$377,0))="","",INDEX(Corrupcion!$G$2:$G$377,MATCH($A90&amp;"|"&amp;$B90,Corrupcion!$H$2:$H$377,0))),"")</f>
        <v/>
      </c>
      <c r="I90" s="8">
        <f>IF(COUNTBLANK(C90:E90)+COUNTBLANK(F90)=0,1,0)</f>
        <v/>
      </c>
      <c r="J90" s="8">
        <f>IF(COUNTBLANK(C90:E90)+COUNTBLANK(G90)=0,1,0)</f>
        <v/>
      </c>
      <c r="K90" s="8">
        <f>IF(COUNTBLANK(C90:E90)+COUNTBLANK(H90)=0,1,0)</f>
        <v/>
      </c>
    </row>
    <row r="91">
      <c r="A91" s="8" t="inlineStr">
        <is>
          <t>Colombia</t>
        </is>
      </c>
      <c r="B91" s="8" t="n">
        <v>2001</v>
      </c>
      <c r="C91" s="18">
        <f>IF(Categorias!C92="","",Categorias!C92)</f>
        <v/>
      </c>
      <c r="D91" s="18">
        <f>IF(Categorias!H92="","",Categorias!H92)</f>
        <v/>
      </c>
      <c r="E91" s="17">
        <f>IFERROR(IF(INDEX(Gini!$C$2:$C$377,MATCH($A91&amp;"|"&amp;$B91,Gini!$E$2:$E$377,0))="","",INDEX(Gini!$C$2:$C$377,MATCH($A91&amp;"|"&amp;$B91,Gini!$E$2:$E$377,0))),"")</f>
        <v/>
      </c>
      <c r="F91" s="19">
        <f>IFERROR(IF(INDEX(Corrupcion!$E$2:$E$377,MATCH($A91&amp;"|"&amp;$B91,Corrupcion!$H$2:$H$377,0))="","",INDEX(Corrupcion!$E$2:$E$377,MATCH($A91&amp;"|"&amp;$B91,Corrupcion!$H$2:$H$377,0))),"")</f>
        <v/>
      </c>
      <c r="G91" s="20">
        <f>IFERROR(IF(INDEX(Corrupcion!$F$2:$F$377,MATCH($A91&amp;"|"&amp;$B91,Corrupcion!$H$2:$H$377,0))="","",INDEX(Corrupcion!$F$2:$F$377,MATCH($A91&amp;"|"&amp;$B91,Corrupcion!$H$2:$H$377,0))),"")</f>
        <v/>
      </c>
      <c r="H91" s="17">
        <f>IFERROR(IF(INDEX(Corrupcion!$G$2:$G$377,MATCH($A91&amp;"|"&amp;$B91,Corrupcion!$H$2:$H$377,0))="","",INDEX(Corrupcion!$G$2:$G$377,MATCH($A91&amp;"|"&amp;$B91,Corrupcion!$H$2:$H$377,0))),"")</f>
        <v/>
      </c>
      <c r="I91" s="8">
        <f>IF(COUNTBLANK(C91:E91)+COUNTBLANK(F91)=0,1,0)</f>
        <v/>
      </c>
      <c r="J91" s="8">
        <f>IF(COUNTBLANK(C91:E91)+COUNTBLANK(G91)=0,1,0)</f>
        <v/>
      </c>
      <c r="K91" s="8">
        <f>IF(COUNTBLANK(C91:E91)+COUNTBLANK(H91)=0,1,0)</f>
        <v/>
      </c>
    </row>
    <row r="92">
      <c r="A92" s="8" t="inlineStr">
        <is>
          <t>Colombia</t>
        </is>
      </c>
      <c r="B92" s="8" t="n">
        <v>2002</v>
      </c>
      <c r="C92" s="18">
        <f>IF(Categorias!C93="","",Categorias!C93)</f>
        <v/>
      </c>
      <c r="D92" s="18">
        <f>IF(Categorias!H93="","",Categorias!H93)</f>
        <v/>
      </c>
      <c r="E92" s="17">
        <f>IFERROR(IF(INDEX(Gini!$C$2:$C$377,MATCH($A92&amp;"|"&amp;$B92,Gini!$E$2:$E$377,0))="","",INDEX(Gini!$C$2:$C$377,MATCH($A92&amp;"|"&amp;$B92,Gini!$E$2:$E$377,0))),"")</f>
        <v/>
      </c>
      <c r="F92" s="19">
        <f>IFERROR(IF(INDEX(Corrupcion!$E$2:$E$377,MATCH($A92&amp;"|"&amp;$B92,Corrupcion!$H$2:$H$377,0))="","",INDEX(Corrupcion!$E$2:$E$377,MATCH($A92&amp;"|"&amp;$B92,Corrupcion!$H$2:$H$377,0))),"")</f>
        <v/>
      </c>
      <c r="G92" s="20">
        <f>IFERROR(IF(INDEX(Corrupcion!$F$2:$F$377,MATCH($A92&amp;"|"&amp;$B92,Corrupcion!$H$2:$H$377,0))="","",INDEX(Corrupcion!$F$2:$F$377,MATCH($A92&amp;"|"&amp;$B92,Corrupcion!$H$2:$H$377,0))),"")</f>
        <v/>
      </c>
      <c r="H92" s="17">
        <f>IFERROR(IF(INDEX(Corrupcion!$G$2:$G$377,MATCH($A92&amp;"|"&amp;$B92,Corrupcion!$H$2:$H$377,0))="","",INDEX(Corrupcion!$G$2:$G$377,MATCH($A92&amp;"|"&amp;$B92,Corrupcion!$H$2:$H$377,0))),"")</f>
        <v/>
      </c>
      <c r="I92" s="8">
        <f>IF(COUNTBLANK(C92:E92)+COUNTBLANK(F92)=0,1,0)</f>
        <v/>
      </c>
      <c r="J92" s="8">
        <f>IF(COUNTBLANK(C92:E92)+COUNTBLANK(G92)=0,1,0)</f>
        <v/>
      </c>
      <c r="K92" s="8">
        <f>IF(COUNTBLANK(C92:E92)+COUNTBLANK(H92)=0,1,0)</f>
        <v/>
      </c>
    </row>
    <row r="93">
      <c r="A93" s="8" t="inlineStr">
        <is>
          <t>Colombia</t>
        </is>
      </c>
      <c r="B93" s="8" t="n">
        <v>2003</v>
      </c>
      <c r="C93" s="18">
        <f>IF(Categorias!C94="","",Categorias!C94)</f>
        <v/>
      </c>
      <c r="D93" s="18">
        <f>IF(Categorias!H94="","",Categorias!H94)</f>
        <v/>
      </c>
      <c r="E93" s="17">
        <f>IFERROR(IF(INDEX(Gini!$C$2:$C$377,MATCH($A93&amp;"|"&amp;$B93,Gini!$E$2:$E$377,0))="","",INDEX(Gini!$C$2:$C$377,MATCH($A93&amp;"|"&amp;$B93,Gini!$E$2:$E$377,0))),"")</f>
        <v/>
      </c>
      <c r="F93" s="19">
        <f>IFERROR(IF(INDEX(Corrupcion!$E$2:$E$377,MATCH($A93&amp;"|"&amp;$B93,Corrupcion!$H$2:$H$377,0))="","",INDEX(Corrupcion!$E$2:$E$377,MATCH($A93&amp;"|"&amp;$B93,Corrupcion!$H$2:$H$377,0))),"")</f>
        <v/>
      </c>
      <c r="G93" s="20">
        <f>IFERROR(IF(INDEX(Corrupcion!$F$2:$F$377,MATCH($A93&amp;"|"&amp;$B93,Corrupcion!$H$2:$H$377,0))="","",INDEX(Corrupcion!$F$2:$F$377,MATCH($A93&amp;"|"&amp;$B93,Corrupcion!$H$2:$H$377,0))),"")</f>
        <v/>
      </c>
      <c r="H93" s="17">
        <f>IFERROR(IF(INDEX(Corrupcion!$G$2:$G$377,MATCH($A93&amp;"|"&amp;$B93,Corrupcion!$H$2:$H$377,0))="","",INDEX(Corrupcion!$G$2:$G$377,MATCH($A93&amp;"|"&amp;$B93,Corrupcion!$H$2:$H$377,0))),"")</f>
        <v/>
      </c>
      <c r="I93" s="8">
        <f>IF(COUNTBLANK(C93:E93)+COUNTBLANK(F93)=0,1,0)</f>
        <v/>
      </c>
      <c r="J93" s="8">
        <f>IF(COUNTBLANK(C93:E93)+COUNTBLANK(G93)=0,1,0)</f>
        <v/>
      </c>
      <c r="K93" s="8">
        <f>IF(COUNTBLANK(C93:E93)+COUNTBLANK(H93)=0,1,0)</f>
        <v/>
      </c>
    </row>
    <row r="94">
      <c r="A94" s="8" t="inlineStr">
        <is>
          <t>Colombia</t>
        </is>
      </c>
      <c r="B94" s="8" t="n">
        <v>2004</v>
      </c>
      <c r="C94" s="18">
        <f>IF(Categorias!C95="","",Categorias!C95)</f>
        <v/>
      </c>
      <c r="D94" s="18">
        <f>IF(Categorias!H95="","",Categorias!H95)</f>
        <v/>
      </c>
      <c r="E94" s="17">
        <f>IFERROR(IF(INDEX(Gini!$C$2:$C$377,MATCH($A94&amp;"|"&amp;$B94,Gini!$E$2:$E$377,0))="","",INDEX(Gini!$C$2:$C$377,MATCH($A94&amp;"|"&amp;$B94,Gini!$E$2:$E$377,0))),"")</f>
        <v/>
      </c>
      <c r="F94" s="19">
        <f>IFERROR(IF(INDEX(Corrupcion!$E$2:$E$377,MATCH($A94&amp;"|"&amp;$B94,Corrupcion!$H$2:$H$377,0))="","",INDEX(Corrupcion!$E$2:$E$377,MATCH($A94&amp;"|"&amp;$B94,Corrupcion!$H$2:$H$377,0))),"")</f>
        <v/>
      </c>
      <c r="G94" s="20">
        <f>IFERROR(IF(INDEX(Corrupcion!$F$2:$F$377,MATCH($A94&amp;"|"&amp;$B94,Corrupcion!$H$2:$H$377,0))="","",INDEX(Corrupcion!$F$2:$F$377,MATCH($A94&amp;"|"&amp;$B94,Corrupcion!$H$2:$H$377,0))),"")</f>
        <v/>
      </c>
      <c r="H94" s="17">
        <f>IFERROR(IF(INDEX(Corrupcion!$G$2:$G$377,MATCH($A94&amp;"|"&amp;$B94,Corrupcion!$H$2:$H$377,0))="","",INDEX(Corrupcion!$G$2:$G$377,MATCH($A94&amp;"|"&amp;$B94,Corrupcion!$H$2:$H$377,0))),"")</f>
        <v/>
      </c>
      <c r="I94" s="8">
        <f>IF(COUNTBLANK(C94:E94)+COUNTBLANK(F94)=0,1,0)</f>
        <v/>
      </c>
      <c r="J94" s="8">
        <f>IF(COUNTBLANK(C94:E94)+COUNTBLANK(G94)=0,1,0)</f>
        <v/>
      </c>
      <c r="K94" s="8">
        <f>IF(COUNTBLANK(C94:E94)+COUNTBLANK(H94)=0,1,0)</f>
        <v/>
      </c>
    </row>
    <row r="95">
      <c r="A95" s="8" t="inlineStr">
        <is>
          <t>Colombia</t>
        </is>
      </c>
      <c r="B95" s="8" t="n">
        <v>2005</v>
      </c>
      <c r="C95" s="18">
        <f>IF(Categorias!C96="","",Categorias!C96)</f>
        <v/>
      </c>
      <c r="D95" s="18">
        <f>IF(Categorias!H96="","",Categorias!H96)</f>
        <v/>
      </c>
      <c r="E95" s="17">
        <f>IFERROR(IF(INDEX(Gini!$C$2:$C$377,MATCH($A95&amp;"|"&amp;$B95,Gini!$E$2:$E$377,0))="","",INDEX(Gini!$C$2:$C$377,MATCH($A95&amp;"|"&amp;$B95,Gini!$E$2:$E$377,0))),"")</f>
        <v/>
      </c>
      <c r="F95" s="19">
        <f>IFERROR(IF(INDEX(Corrupcion!$E$2:$E$377,MATCH($A95&amp;"|"&amp;$B95,Corrupcion!$H$2:$H$377,0))="","",INDEX(Corrupcion!$E$2:$E$377,MATCH($A95&amp;"|"&amp;$B95,Corrupcion!$H$2:$H$377,0))),"")</f>
        <v/>
      </c>
      <c r="G95" s="20">
        <f>IFERROR(IF(INDEX(Corrupcion!$F$2:$F$377,MATCH($A95&amp;"|"&amp;$B95,Corrupcion!$H$2:$H$377,0))="","",INDEX(Corrupcion!$F$2:$F$377,MATCH($A95&amp;"|"&amp;$B95,Corrupcion!$H$2:$H$377,0))),"")</f>
        <v/>
      </c>
      <c r="H95" s="17">
        <f>IFERROR(IF(INDEX(Corrupcion!$G$2:$G$377,MATCH($A95&amp;"|"&amp;$B95,Corrupcion!$H$2:$H$377,0))="","",INDEX(Corrupcion!$G$2:$G$377,MATCH($A95&amp;"|"&amp;$B95,Corrupcion!$H$2:$H$377,0))),"")</f>
        <v/>
      </c>
      <c r="I95" s="8">
        <f>IF(COUNTBLANK(C95:E95)+COUNTBLANK(F95)=0,1,0)</f>
        <v/>
      </c>
      <c r="J95" s="8">
        <f>IF(COUNTBLANK(C95:E95)+COUNTBLANK(G95)=0,1,0)</f>
        <v/>
      </c>
      <c r="K95" s="8">
        <f>IF(COUNTBLANK(C95:E95)+COUNTBLANK(H95)=0,1,0)</f>
        <v/>
      </c>
    </row>
    <row r="96">
      <c r="A96" s="8" t="inlineStr">
        <is>
          <t>Colombia</t>
        </is>
      </c>
      <c r="B96" s="8" t="n">
        <v>2006</v>
      </c>
      <c r="C96" s="18">
        <f>IF(Categorias!C97="","",Categorias!C97)</f>
        <v/>
      </c>
      <c r="D96" s="18">
        <f>IF(Categorias!H97="","",Categorias!H97)</f>
        <v/>
      </c>
      <c r="E96" s="17">
        <f>IFERROR(IF(INDEX(Gini!$C$2:$C$377,MATCH($A96&amp;"|"&amp;$B96,Gini!$E$2:$E$377,0))="","",INDEX(Gini!$C$2:$C$377,MATCH($A96&amp;"|"&amp;$B96,Gini!$E$2:$E$377,0))),"")</f>
        <v/>
      </c>
      <c r="F96" s="19">
        <f>IFERROR(IF(INDEX(Corrupcion!$E$2:$E$377,MATCH($A96&amp;"|"&amp;$B96,Corrupcion!$H$2:$H$377,0))="","",INDEX(Corrupcion!$E$2:$E$377,MATCH($A96&amp;"|"&amp;$B96,Corrupcion!$H$2:$H$377,0))),"")</f>
        <v/>
      </c>
      <c r="G96" s="20">
        <f>IFERROR(IF(INDEX(Corrupcion!$F$2:$F$377,MATCH($A96&amp;"|"&amp;$B96,Corrupcion!$H$2:$H$377,0))="","",INDEX(Corrupcion!$F$2:$F$377,MATCH($A96&amp;"|"&amp;$B96,Corrupcion!$H$2:$H$377,0))),"")</f>
        <v/>
      </c>
      <c r="H96" s="17">
        <f>IFERROR(IF(INDEX(Corrupcion!$G$2:$G$377,MATCH($A96&amp;"|"&amp;$B96,Corrupcion!$H$2:$H$377,0))="","",INDEX(Corrupcion!$G$2:$G$377,MATCH($A96&amp;"|"&amp;$B96,Corrupcion!$H$2:$H$377,0))),"")</f>
        <v/>
      </c>
      <c r="I96" s="8">
        <f>IF(COUNTBLANK(C96:E96)+COUNTBLANK(F96)=0,1,0)</f>
        <v/>
      </c>
      <c r="J96" s="8">
        <f>IF(COUNTBLANK(C96:E96)+COUNTBLANK(G96)=0,1,0)</f>
        <v/>
      </c>
      <c r="K96" s="8">
        <f>IF(COUNTBLANK(C96:E96)+COUNTBLANK(H96)=0,1,0)</f>
        <v/>
      </c>
    </row>
    <row r="97">
      <c r="A97" s="8" t="inlineStr">
        <is>
          <t>Colombia</t>
        </is>
      </c>
      <c r="B97" s="8" t="n">
        <v>2007</v>
      </c>
      <c r="C97" s="18">
        <f>IF(Categorias!C98="","",Categorias!C98)</f>
        <v/>
      </c>
      <c r="D97" s="18">
        <f>IF(Categorias!H98="","",Categorias!H98)</f>
        <v/>
      </c>
      <c r="E97" s="17">
        <f>IFERROR(IF(INDEX(Gini!$C$2:$C$377,MATCH($A97&amp;"|"&amp;$B97,Gini!$E$2:$E$377,0))="","",INDEX(Gini!$C$2:$C$377,MATCH($A97&amp;"|"&amp;$B97,Gini!$E$2:$E$377,0))),"")</f>
        <v/>
      </c>
      <c r="F97" s="19">
        <f>IFERROR(IF(INDEX(Corrupcion!$E$2:$E$377,MATCH($A97&amp;"|"&amp;$B97,Corrupcion!$H$2:$H$377,0))="","",INDEX(Corrupcion!$E$2:$E$377,MATCH($A97&amp;"|"&amp;$B97,Corrupcion!$H$2:$H$377,0))),"")</f>
        <v/>
      </c>
      <c r="G97" s="20">
        <f>IFERROR(IF(INDEX(Corrupcion!$F$2:$F$377,MATCH($A97&amp;"|"&amp;$B97,Corrupcion!$H$2:$H$377,0))="","",INDEX(Corrupcion!$F$2:$F$377,MATCH($A97&amp;"|"&amp;$B97,Corrupcion!$H$2:$H$377,0))),"")</f>
        <v/>
      </c>
      <c r="H97" s="17">
        <f>IFERROR(IF(INDEX(Corrupcion!$G$2:$G$377,MATCH($A97&amp;"|"&amp;$B97,Corrupcion!$H$2:$H$377,0))="","",INDEX(Corrupcion!$G$2:$G$377,MATCH($A97&amp;"|"&amp;$B97,Corrupcion!$H$2:$H$377,0))),"")</f>
        <v/>
      </c>
      <c r="I97" s="8">
        <f>IF(COUNTBLANK(C97:E97)+COUNTBLANK(F97)=0,1,0)</f>
        <v/>
      </c>
      <c r="J97" s="8">
        <f>IF(COUNTBLANK(C97:E97)+COUNTBLANK(G97)=0,1,0)</f>
        <v/>
      </c>
      <c r="K97" s="8">
        <f>IF(COUNTBLANK(C97:E97)+COUNTBLANK(H97)=0,1,0)</f>
        <v/>
      </c>
    </row>
    <row r="98">
      <c r="A98" s="8" t="inlineStr">
        <is>
          <t>Colombia</t>
        </is>
      </c>
      <c r="B98" s="8" t="n">
        <v>2008</v>
      </c>
      <c r="C98" s="18">
        <f>IF(Categorias!C99="","",Categorias!C99)</f>
        <v/>
      </c>
      <c r="D98" s="18">
        <f>IF(Categorias!H99="","",Categorias!H99)</f>
        <v/>
      </c>
      <c r="E98" s="17">
        <f>IFERROR(IF(INDEX(Gini!$C$2:$C$377,MATCH($A98&amp;"|"&amp;$B98,Gini!$E$2:$E$377,0))="","",INDEX(Gini!$C$2:$C$377,MATCH($A98&amp;"|"&amp;$B98,Gini!$E$2:$E$377,0))),"")</f>
        <v/>
      </c>
      <c r="F98" s="19">
        <f>IFERROR(IF(INDEX(Corrupcion!$E$2:$E$377,MATCH($A98&amp;"|"&amp;$B98,Corrupcion!$H$2:$H$377,0))="","",INDEX(Corrupcion!$E$2:$E$377,MATCH($A98&amp;"|"&amp;$B98,Corrupcion!$H$2:$H$377,0))),"")</f>
        <v/>
      </c>
      <c r="G98" s="20">
        <f>IFERROR(IF(INDEX(Corrupcion!$F$2:$F$377,MATCH($A98&amp;"|"&amp;$B98,Corrupcion!$H$2:$H$377,0))="","",INDEX(Corrupcion!$F$2:$F$377,MATCH($A98&amp;"|"&amp;$B98,Corrupcion!$H$2:$H$377,0))),"")</f>
        <v/>
      </c>
      <c r="H98" s="17">
        <f>IFERROR(IF(INDEX(Corrupcion!$G$2:$G$377,MATCH($A98&amp;"|"&amp;$B98,Corrupcion!$H$2:$H$377,0))="","",INDEX(Corrupcion!$G$2:$G$377,MATCH($A98&amp;"|"&amp;$B98,Corrupcion!$H$2:$H$377,0))),"")</f>
        <v/>
      </c>
      <c r="I98" s="8">
        <f>IF(COUNTBLANK(C98:E98)+COUNTBLANK(F98)=0,1,0)</f>
        <v/>
      </c>
      <c r="J98" s="8">
        <f>IF(COUNTBLANK(C98:E98)+COUNTBLANK(G98)=0,1,0)</f>
        <v/>
      </c>
      <c r="K98" s="8">
        <f>IF(COUNTBLANK(C98:E98)+COUNTBLANK(H98)=0,1,0)</f>
        <v/>
      </c>
    </row>
    <row r="99">
      <c r="A99" s="8" t="inlineStr">
        <is>
          <t>Colombia</t>
        </is>
      </c>
      <c r="B99" s="8" t="n">
        <v>2009</v>
      </c>
      <c r="C99" s="18">
        <f>IF(Categorias!C100="","",Categorias!C100)</f>
        <v/>
      </c>
      <c r="D99" s="18">
        <f>IF(Categorias!H100="","",Categorias!H100)</f>
        <v/>
      </c>
      <c r="E99" s="17">
        <f>IFERROR(IF(INDEX(Gini!$C$2:$C$377,MATCH($A99&amp;"|"&amp;$B99,Gini!$E$2:$E$377,0))="","",INDEX(Gini!$C$2:$C$377,MATCH($A99&amp;"|"&amp;$B99,Gini!$E$2:$E$377,0))),"")</f>
        <v/>
      </c>
      <c r="F99" s="19">
        <f>IFERROR(IF(INDEX(Corrupcion!$E$2:$E$377,MATCH($A99&amp;"|"&amp;$B99,Corrupcion!$H$2:$H$377,0))="","",INDEX(Corrupcion!$E$2:$E$377,MATCH($A99&amp;"|"&amp;$B99,Corrupcion!$H$2:$H$377,0))),"")</f>
        <v/>
      </c>
      <c r="G99" s="20">
        <f>IFERROR(IF(INDEX(Corrupcion!$F$2:$F$377,MATCH($A99&amp;"|"&amp;$B99,Corrupcion!$H$2:$H$377,0))="","",INDEX(Corrupcion!$F$2:$F$377,MATCH($A99&amp;"|"&amp;$B99,Corrupcion!$H$2:$H$377,0))),"")</f>
        <v/>
      </c>
      <c r="H99" s="17">
        <f>IFERROR(IF(INDEX(Corrupcion!$G$2:$G$377,MATCH($A99&amp;"|"&amp;$B99,Corrupcion!$H$2:$H$377,0))="","",INDEX(Corrupcion!$G$2:$G$377,MATCH($A99&amp;"|"&amp;$B99,Corrupcion!$H$2:$H$377,0))),"")</f>
        <v/>
      </c>
      <c r="I99" s="8">
        <f>IF(COUNTBLANK(C99:E99)+COUNTBLANK(F99)=0,1,0)</f>
        <v/>
      </c>
      <c r="J99" s="8">
        <f>IF(COUNTBLANK(C99:E99)+COUNTBLANK(G99)=0,1,0)</f>
        <v/>
      </c>
      <c r="K99" s="8">
        <f>IF(COUNTBLANK(C99:E99)+COUNTBLANK(H99)=0,1,0)</f>
        <v/>
      </c>
    </row>
    <row r="100">
      <c r="A100" s="8" t="inlineStr">
        <is>
          <t>Colombia</t>
        </is>
      </c>
      <c r="B100" s="8" t="n">
        <v>2010</v>
      </c>
      <c r="C100" s="18">
        <f>IF(Categorias!C101="","",Categorias!C101)</f>
        <v/>
      </c>
      <c r="D100" s="18">
        <f>IF(Categorias!H101="","",Categorias!H101)</f>
        <v/>
      </c>
      <c r="E100" s="17">
        <f>IFERROR(IF(INDEX(Gini!$C$2:$C$377,MATCH($A100&amp;"|"&amp;$B100,Gini!$E$2:$E$377,0))="","",INDEX(Gini!$C$2:$C$377,MATCH($A100&amp;"|"&amp;$B100,Gini!$E$2:$E$377,0))),"")</f>
        <v/>
      </c>
      <c r="F100" s="19">
        <f>IFERROR(IF(INDEX(Corrupcion!$E$2:$E$377,MATCH($A100&amp;"|"&amp;$B100,Corrupcion!$H$2:$H$377,0))="","",INDEX(Corrupcion!$E$2:$E$377,MATCH($A100&amp;"|"&amp;$B100,Corrupcion!$H$2:$H$377,0))),"")</f>
        <v/>
      </c>
      <c r="G100" s="20">
        <f>IFERROR(IF(INDEX(Corrupcion!$F$2:$F$377,MATCH($A100&amp;"|"&amp;$B100,Corrupcion!$H$2:$H$377,0))="","",INDEX(Corrupcion!$F$2:$F$377,MATCH($A100&amp;"|"&amp;$B100,Corrupcion!$H$2:$H$377,0))),"")</f>
        <v/>
      </c>
      <c r="H100" s="17">
        <f>IFERROR(IF(INDEX(Corrupcion!$G$2:$G$377,MATCH($A100&amp;"|"&amp;$B100,Corrupcion!$H$2:$H$377,0))="","",INDEX(Corrupcion!$G$2:$G$377,MATCH($A100&amp;"|"&amp;$B100,Corrupcion!$H$2:$H$377,0))),"")</f>
        <v/>
      </c>
      <c r="I100" s="8">
        <f>IF(COUNTBLANK(C100:E100)+COUNTBLANK(F100)=0,1,0)</f>
        <v/>
      </c>
      <c r="J100" s="8">
        <f>IF(COUNTBLANK(C100:E100)+COUNTBLANK(G100)=0,1,0)</f>
        <v/>
      </c>
      <c r="K100" s="8">
        <f>IF(COUNTBLANK(C100:E100)+COUNTBLANK(H100)=0,1,0)</f>
        <v/>
      </c>
    </row>
    <row r="101">
      <c r="A101" s="8" t="inlineStr">
        <is>
          <t>Colombia</t>
        </is>
      </c>
      <c r="B101" s="8" t="n">
        <v>2011</v>
      </c>
      <c r="C101" s="18">
        <f>IF(Categorias!C102="","",Categorias!C102)</f>
        <v/>
      </c>
      <c r="D101" s="18">
        <f>IF(Categorias!H102="","",Categorias!H102)</f>
        <v/>
      </c>
      <c r="E101" s="17">
        <f>IFERROR(IF(INDEX(Gini!$C$2:$C$377,MATCH($A101&amp;"|"&amp;$B101,Gini!$E$2:$E$377,0))="","",INDEX(Gini!$C$2:$C$377,MATCH($A101&amp;"|"&amp;$B101,Gini!$E$2:$E$377,0))),"")</f>
        <v/>
      </c>
      <c r="F101" s="19">
        <f>IFERROR(IF(INDEX(Corrupcion!$E$2:$E$377,MATCH($A101&amp;"|"&amp;$B101,Corrupcion!$H$2:$H$377,0))="","",INDEX(Corrupcion!$E$2:$E$377,MATCH($A101&amp;"|"&amp;$B101,Corrupcion!$H$2:$H$377,0))),"")</f>
        <v/>
      </c>
      <c r="G101" s="20">
        <f>IFERROR(IF(INDEX(Corrupcion!$F$2:$F$377,MATCH($A101&amp;"|"&amp;$B101,Corrupcion!$H$2:$H$377,0))="","",INDEX(Corrupcion!$F$2:$F$377,MATCH($A101&amp;"|"&amp;$B101,Corrupcion!$H$2:$H$377,0))),"")</f>
        <v/>
      </c>
      <c r="H101" s="17">
        <f>IFERROR(IF(INDEX(Corrupcion!$G$2:$G$377,MATCH($A101&amp;"|"&amp;$B101,Corrupcion!$H$2:$H$377,0))="","",INDEX(Corrupcion!$G$2:$G$377,MATCH($A101&amp;"|"&amp;$B101,Corrupcion!$H$2:$H$377,0))),"")</f>
        <v/>
      </c>
      <c r="I101" s="8">
        <f>IF(COUNTBLANK(C101:E101)+COUNTBLANK(F101)=0,1,0)</f>
        <v/>
      </c>
      <c r="J101" s="8">
        <f>IF(COUNTBLANK(C101:E101)+COUNTBLANK(G101)=0,1,0)</f>
        <v/>
      </c>
      <c r="K101" s="8">
        <f>IF(COUNTBLANK(C101:E101)+COUNTBLANK(H101)=0,1,0)</f>
        <v/>
      </c>
    </row>
    <row r="102">
      <c r="A102" s="8" t="inlineStr">
        <is>
          <t>Colombia</t>
        </is>
      </c>
      <c r="B102" s="8" t="n">
        <v>2016</v>
      </c>
      <c r="C102" s="18">
        <f>IF(Categorias!C103="","",Categorias!C103)</f>
        <v/>
      </c>
      <c r="D102" s="18">
        <f>IF(Categorias!H103="","",Categorias!H103)</f>
        <v/>
      </c>
      <c r="E102" s="17">
        <f>IFERROR(IF(INDEX(Gini!$C$2:$C$377,MATCH($A102&amp;"|"&amp;$B102,Gini!$E$2:$E$377,0))="","",INDEX(Gini!$C$2:$C$377,MATCH($A102&amp;"|"&amp;$B102,Gini!$E$2:$E$377,0))),"")</f>
        <v/>
      </c>
      <c r="F102" s="19">
        <f>IFERROR(IF(INDEX(Corrupcion!$E$2:$E$377,MATCH($A102&amp;"|"&amp;$B102,Corrupcion!$H$2:$H$377,0))="","",INDEX(Corrupcion!$E$2:$E$377,MATCH($A102&amp;"|"&amp;$B102,Corrupcion!$H$2:$H$377,0))),"")</f>
        <v/>
      </c>
      <c r="G102" s="20">
        <f>IFERROR(IF(INDEX(Corrupcion!$F$2:$F$377,MATCH($A102&amp;"|"&amp;$B102,Corrupcion!$H$2:$H$377,0))="","",INDEX(Corrupcion!$F$2:$F$377,MATCH($A102&amp;"|"&amp;$B102,Corrupcion!$H$2:$H$377,0))),"")</f>
        <v/>
      </c>
      <c r="H102" s="17">
        <f>IFERROR(IF(INDEX(Corrupcion!$G$2:$G$377,MATCH($A102&amp;"|"&amp;$B102,Corrupcion!$H$2:$H$377,0))="","",INDEX(Corrupcion!$G$2:$G$377,MATCH($A102&amp;"|"&amp;$B102,Corrupcion!$H$2:$H$377,0))),"")</f>
        <v/>
      </c>
      <c r="I102" s="8">
        <f>IF(COUNTBLANK(C102:E102)+COUNTBLANK(F102)=0,1,0)</f>
        <v/>
      </c>
      <c r="J102" s="8">
        <f>IF(COUNTBLANK(C102:E102)+COUNTBLANK(G102)=0,1,0)</f>
        <v/>
      </c>
      <c r="K102" s="8">
        <f>IF(COUNTBLANK(C102:E102)+COUNTBLANK(H102)=0,1,0)</f>
        <v/>
      </c>
    </row>
    <row r="103">
      <c r="A103" s="8" t="inlineStr">
        <is>
          <t>Colombia</t>
        </is>
      </c>
      <c r="B103" s="8" t="n">
        <v>2017</v>
      </c>
      <c r="C103" s="18">
        <f>IF(Categorias!C104="","",Categorias!C104)</f>
        <v/>
      </c>
      <c r="D103" s="18">
        <f>IF(Categorias!H104="","",Categorias!H104)</f>
        <v/>
      </c>
      <c r="E103" s="17">
        <f>IFERROR(IF(INDEX(Gini!$C$2:$C$377,MATCH($A103&amp;"|"&amp;$B103,Gini!$E$2:$E$377,0))="","",INDEX(Gini!$C$2:$C$377,MATCH($A103&amp;"|"&amp;$B103,Gini!$E$2:$E$377,0))),"")</f>
        <v/>
      </c>
      <c r="F103" s="19">
        <f>IFERROR(IF(INDEX(Corrupcion!$E$2:$E$377,MATCH($A103&amp;"|"&amp;$B103,Corrupcion!$H$2:$H$377,0))="","",INDEX(Corrupcion!$E$2:$E$377,MATCH($A103&amp;"|"&amp;$B103,Corrupcion!$H$2:$H$377,0))),"")</f>
        <v/>
      </c>
      <c r="G103" s="20">
        <f>IFERROR(IF(INDEX(Corrupcion!$F$2:$F$377,MATCH($A103&amp;"|"&amp;$B103,Corrupcion!$H$2:$H$377,0))="","",INDEX(Corrupcion!$F$2:$F$377,MATCH($A103&amp;"|"&amp;$B103,Corrupcion!$H$2:$H$377,0))),"")</f>
        <v/>
      </c>
      <c r="H103" s="17">
        <f>IFERROR(IF(INDEX(Corrupcion!$G$2:$G$377,MATCH($A103&amp;"|"&amp;$B103,Corrupcion!$H$2:$H$377,0))="","",INDEX(Corrupcion!$G$2:$G$377,MATCH($A103&amp;"|"&amp;$B103,Corrupcion!$H$2:$H$377,0))),"")</f>
        <v/>
      </c>
      <c r="I103" s="8">
        <f>IF(COUNTBLANK(C103:E103)+COUNTBLANK(F103)=0,1,0)</f>
        <v/>
      </c>
      <c r="J103" s="8">
        <f>IF(COUNTBLANK(C103:E103)+COUNTBLANK(G103)=0,1,0)</f>
        <v/>
      </c>
      <c r="K103" s="8">
        <f>IF(COUNTBLANK(C103:E103)+COUNTBLANK(H103)=0,1,0)</f>
        <v/>
      </c>
    </row>
    <row r="104">
      <c r="A104" s="8" t="inlineStr">
        <is>
          <t>Colombia</t>
        </is>
      </c>
      <c r="B104" s="8" t="n">
        <v>2018</v>
      </c>
      <c r="C104" s="18">
        <f>IF(Categorias!C105="","",Categorias!C105)</f>
        <v/>
      </c>
      <c r="D104" s="18">
        <f>IF(Categorias!H105="","",Categorias!H105)</f>
        <v/>
      </c>
      <c r="E104" s="17">
        <f>IFERROR(IF(INDEX(Gini!$C$2:$C$377,MATCH($A104&amp;"|"&amp;$B104,Gini!$E$2:$E$377,0))="","",INDEX(Gini!$C$2:$C$377,MATCH($A104&amp;"|"&amp;$B104,Gini!$E$2:$E$377,0))),"")</f>
        <v/>
      </c>
      <c r="F104" s="19">
        <f>IFERROR(IF(INDEX(Corrupcion!$E$2:$E$377,MATCH($A104&amp;"|"&amp;$B104,Corrupcion!$H$2:$H$377,0))="","",INDEX(Corrupcion!$E$2:$E$377,MATCH($A104&amp;"|"&amp;$B104,Corrupcion!$H$2:$H$377,0))),"")</f>
        <v/>
      </c>
      <c r="G104" s="20">
        <f>IFERROR(IF(INDEX(Corrupcion!$F$2:$F$377,MATCH($A104&amp;"|"&amp;$B104,Corrupcion!$H$2:$H$377,0))="","",INDEX(Corrupcion!$F$2:$F$377,MATCH($A104&amp;"|"&amp;$B104,Corrupcion!$H$2:$H$377,0))),"")</f>
        <v/>
      </c>
      <c r="H104" s="17">
        <f>IFERROR(IF(INDEX(Corrupcion!$G$2:$G$377,MATCH($A104&amp;"|"&amp;$B104,Corrupcion!$H$2:$H$377,0))="","",INDEX(Corrupcion!$G$2:$G$377,MATCH($A104&amp;"|"&amp;$B104,Corrupcion!$H$2:$H$377,0))),"")</f>
        <v/>
      </c>
      <c r="I104" s="8">
        <f>IF(COUNTBLANK(C104:E104)+COUNTBLANK(F104)=0,1,0)</f>
        <v/>
      </c>
      <c r="J104" s="8">
        <f>IF(COUNTBLANK(C104:E104)+COUNTBLANK(G104)=0,1,0)</f>
        <v/>
      </c>
      <c r="K104" s="8">
        <f>IF(COUNTBLANK(C104:E104)+COUNTBLANK(H104)=0,1,0)</f>
        <v/>
      </c>
    </row>
    <row r="105">
      <c r="A105" s="8" t="inlineStr">
        <is>
          <t>Colombia</t>
        </is>
      </c>
      <c r="B105" s="8" t="n">
        <v>2020</v>
      </c>
      <c r="C105" s="18">
        <f>IF(Categorias!C106="","",Categorias!C106)</f>
        <v/>
      </c>
      <c r="D105" s="18">
        <f>IF(Categorias!H106="","",Categorias!H106)</f>
        <v/>
      </c>
      <c r="E105" s="17">
        <f>IFERROR(IF(INDEX(Gini!$C$2:$C$377,MATCH($A105&amp;"|"&amp;$B105,Gini!$E$2:$E$377,0))="","",INDEX(Gini!$C$2:$C$377,MATCH($A105&amp;"|"&amp;$B105,Gini!$E$2:$E$377,0))),"")</f>
        <v/>
      </c>
      <c r="F105" s="19">
        <f>IFERROR(IF(INDEX(Corrupcion!$E$2:$E$377,MATCH($A105&amp;"|"&amp;$B105,Corrupcion!$H$2:$H$377,0))="","",INDEX(Corrupcion!$E$2:$E$377,MATCH($A105&amp;"|"&amp;$B105,Corrupcion!$H$2:$H$377,0))),"")</f>
        <v/>
      </c>
      <c r="G105" s="20">
        <f>IFERROR(IF(INDEX(Corrupcion!$F$2:$F$377,MATCH($A105&amp;"|"&amp;$B105,Corrupcion!$H$2:$H$377,0))="","",INDEX(Corrupcion!$F$2:$F$377,MATCH($A105&amp;"|"&amp;$B105,Corrupcion!$H$2:$H$377,0))),"")</f>
        <v/>
      </c>
      <c r="H105" s="17">
        <f>IFERROR(IF(INDEX(Corrupcion!$G$2:$G$377,MATCH($A105&amp;"|"&amp;$B105,Corrupcion!$H$2:$H$377,0))="","",INDEX(Corrupcion!$G$2:$G$377,MATCH($A105&amp;"|"&amp;$B105,Corrupcion!$H$2:$H$377,0))),"")</f>
        <v/>
      </c>
      <c r="I105" s="8">
        <f>IF(COUNTBLANK(C105:E105)+COUNTBLANK(F105)=0,1,0)</f>
        <v/>
      </c>
      <c r="J105" s="8">
        <f>IF(COUNTBLANK(C105:E105)+COUNTBLANK(G105)=0,1,0)</f>
        <v/>
      </c>
      <c r="K105" s="8">
        <f>IF(COUNTBLANK(C105:E105)+COUNTBLANK(H105)=0,1,0)</f>
        <v/>
      </c>
    </row>
    <row r="106">
      <c r="A106" s="8" t="inlineStr">
        <is>
          <t>Colombia</t>
        </is>
      </c>
      <c r="B106" s="8" t="n">
        <v>2024</v>
      </c>
      <c r="C106" s="18">
        <f>IF(Categorias!C107="","",Categorias!C107)</f>
        <v/>
      </c>
      <c r="D106" s="18">
        <f>IF(Categorias!H107="","",Categorias!H107)</f>
        <v/>
      </c>
      <c r="E106" s="17">
        <f>IFERROR(IF(INDEX(Gini!$C$2:$C$377,MATCH($A106&amp;"|"&amp;$B106,Gini!$E$2:$E$377,0))="","",INDEX(Gini!$C$2:$C$377,MATCH($A106&amp;"|"&amp;$B106,Gini!$E$2:$E$377,0))),"")</f>
        <v/>
      </c>
      <c r="F106" s="19">
        <f>IFERROR(IF(INDEX(Corrupcion!$E$2:$E$377,MATCH($A106&amp;"|"&amp;$B106,Corrupcion!$H$2:$H$377,0))="","",INDEX(Corrupcion!$E$2:$E$377,MATCH($A106&amp;"|"&amp;$B106,Corrupcion!$H$2:$H$377,0))),"")</f>
        <v/>
      </c>
      <c r="G106" s="20">
        <f>IFERROR(IF(INDEX(Corrupcion!$F$2:$F$377,MATCH($A106&amp;"|"&amp;$B106,Corrupcion!$H$2:$H$377,0))="","",INDEX(Corrupcion!$F$2:$F$377,MATCH($A106&amp;"|"&amp;$B106,Corrupcion!$H$2:$H$377,0))),"")</f>
        <v/>
      </c>
      <c r="H106" s="17">
        <f>IFERROR(IF(INDEX(Corrupcion!$G$2:$G$377,MATCH($A106&amp;"|"&amp;$B106,Corrupcion!$H$2:$H$377,0))="","",INDEX(Corrupcion!$G$2:$G$377,MATCH($A106&amp;"|"&amp;$B106,Corrupcion!$H$2:$H$377,0))),"")</f>
        <v/>
      </c>
      <c r="I106" s="8">
        <f>IF(COUNTBLANK(C106:E106)+COUNTBLANK(F106)=0,1,0)</f>
        <v/>
      </c>
      <c r="J106" s="8">
        <f>IF(COUNTBLANK(C106:E106)+COUNTBLANK(G106)=0,1,0)</f>
        <v/>
      </c>
      <c r="K106" s="8">
        <f>IF(COUNTBLANK(C106:E106)+COUNTBLANK(H106)=0,1,0)</f>
        <v/>
      </c>
    </row>
    <row r="107">
      <c r="A107" s="8" t="inlineStr">
        <is>
          <t>Costa Rica</t>
        </is>
      </c>
      <c r="B107" s="8" t="n">
        <v>1996</v>
      </c>
      <c r="C107" s="18">
        <f>IF(Categorias!C108="","",Categorias!C108)</f>
        <v/>
      </c>
      <c r="D107" s="18">
        <f>IF(Categorias!H108="","",Categorias!H108)</f>
        <v/>
      </c>
      <c r="E107" s="17">
        <f>IFERROR(IF(INDEX(Gini!$C$2:$C$377,MATCH($A107&amp;"|"&amp;$B107,Gini!$E$2:$E$377,0))="","",INDEX(Gini!$C$2:$C$377,MATCH($A107&amp;"|"&amp;$B107,Gini!$E$2:$E$377,0))),"")</f>
        <v/>
      </c>
      <c r="F107" s="19">
        <f>IFERROR(IF(INDEX(Corrupcion!$E$2:$E$377,MATCH($A107&amp;"|"&amp;$B107,Corrupcion!$H$2:$H$377,0))="","",INDEX(Corrupcion!$E$2:$E$377,MATCH($A107&amp;"|"&amp;$B107,Corrupcion!$H$2:$H$377,0))),"")</f>
        <v/>
      </c>
      <c r="G107" s="20">
        <f>IFERROR(IF(INDEX(Corrupcion!$F$2:$F$377,MATCH($A107&amp;"|"&amp;$B107,Corrupcion!$H$2:$H$377,0))="","",INDEX(Corrupcion!$F$2:$F$377,MATCH($A107&amp;"|"&amp;$B107,Corrupcion!$H$2:$H$377,0))),"")</f>
        <v/>
      </c>
      <c r="H107" s="17">
        <f>IFERROR(IF(INDEX(Corrupcion!$G$2:$G$377,MATCH($A107&amp;"|"&amp;$B107,Corrupcion!$H$2:$H$377,0))="","",INDEX(Corrupcion!$G$2:$G$377,MATCH($A107&amp;"|"&amp;$B107,Corrupcion!$H$2:$H$377,0))),"")</f>
        <v/>
      </c>
      <c r="I107" s="8">
        <f>IF(COUNTBLANK(C107:E107)+COUNTBLANK(F107)=0,1,0)</f>
        <v/>
      </c>
      <c r="J107" s="8">
        <f>IF(COUNTBLANK(C107:E107)+COUNTBLANK(G107)=0,1,0)</f>
        <v/>
      </c>
      <c r="K107" s="8">
        <f>IF(COUNTBLANK(C107:E107)+COUNTBLANK(H107)=0,1,0)</f>
        <v/>
      </c>
    </row>
    <row r="108">
      <c r="A108" s="8" t="inlineStr">
        <is>
          <t>Costa Rica</t>
        </is>
      </c>
      <c r="B108" s="8" t="n">
        <v>1997</v>
      </c>
      <c r="C108" s="18">
        <f>IF(Categorias!C109="","",Categorias!C109)</f>
        <v/>
      </c>
      <c r="D108" s="18">
        <f>IF(Categorias!H109="","",Categorias!H109)</f>
        <v/>
      </c>
      <c r="E108" s="17">
        <f>IFERROR(IF(INDEX(Gini!$C$2:$C$377,MATCH($A108&amp;"|"&amp;$B108,Gini!$E$2:$E$377,0))="","",INDEX(Gini!$C$2:$C$377,MATCH($A108&amp;"|"&amp;$B108,Gini!$E$2:$E$377,0))),"")</f>
        <v/>
      </c>
      <c r="F108" s="19">
        <f>IFERROR(IF(INDEX(Corrupcion!$E$2:$E$377,MATCH($A108&amp;"|"&amp;$B108,Corrupcion!$H$2:$H$377,0))="","",INDEX(Corrupcion!$E$2:$E$377,MATCH($A108&amp;"|"&amp;$B108,Corrupcion!$H$2:$H$377,0))),"")</f>
        <v/>
      </c>
      <c r="G108" s="20">
        <f>IFERROR(IF(INDEX(Corrupcion!$F$2:$F$377,MATCH($A108&amp;"|"&amp;$B108,Corrupcion!$H$2:$H$377,0))="","",INDEX(Corrupcion!$F$2:$F$377,MATCH($A108&amp;"|"&amp;$B108,Corrupcion!$H$2:$H$377,0))),"")</f>
        <v/>
      </c>
      <c r="H108" s="17">
        <f>IFERROR(IF(INDEX(Corrupcion!$G$2:$G$377,MATCH($A108&amp;"|"&amp;$B108,Corrupcion!$H$2:$H$377,0))="","",INDEX(Corrupcion!$G$2:$G$377,MATCH($A108&amp;"|"&amp;$B108,Corrupcion!$H$2:$H$377,0))),"")</f>
        <v/>
      </c>
      <c r="I108" s="8">
        <f>IF(COUNTBLANK(C108:E108)+COUNTBLANK(F108)=0,1,0)</f>
        <v/>
      </c>
      <c r="J108" s="8">
        <f>IF(COUNTBLANK(C108:E108)+COUNTBLANK(G108)=0,1,0)</f>
        <v/>
      </c>
      <c r="K108" s="8">
        <f>IF(COUNTBLANK(C108:E108)+COUNTBLANK(H108)=0,1,0)</f>
        <v/>
      </c>
    </row>
    <row r="109">
      <c r="A109" s="8" t="inlineStr">
        <is>
          <t>Costa Rica</t>
        </is>
      </c>
      <c r="B109" s="8" t="n">
        <v>1998</v>
      </c>
      <c r="C109" s="18">
        <f>IF(Categorias!C110="","",Categorias!C110)</f>
        <v/>
      </c>
      <c r="D109" s="18">
        <f>IF(Categorias!H110="","",Categorias!H110)</f>
        <v/>
      </c>
      <c r="E109" s="17">
        <f>IFERROR(IF(INDEX(Gini!$C$2:$C$377,MATCH($A109&amp;"|"&amp;$B109,Gini!$E$2:$E$377,0))="","",INDEX(Gini!$C$2:$C$377,MATCH($A109&amp;"|"&amp;$B109,Gini!$E$2:$E$377,0))),"")</f>
        <v/>
      </c>
      <c r="F109" s="19">
        <f>IFERROR(IF(INDEX(Corrupcion!$E$2:$E$377,MATCH($A109&amp;"|"&amp;$B109,Corrupcion!$H$2:$H$377,0))="","",INDEX(Corrupcion!$E$2:$E$377,MATCH($A109&amp;"|"&amp;$B109,Corrupcion!$H$2:$H$377,0))),"")</f>
        <v/>
      </c>
      <c r="G109" s="20">
        <f>IFERROR(IF(INDEX(Corrupcion!$F$2:$F$377,MATCH($A109&amp;"|"&amp;$B109,Corrupcion!$H$2:$H$377,0))="","",INDEX(Corrupcion!$F$2:$F$377,MATCH($A109&amp;"|"&amp;$B109,Corrupcion!$H$2:$H$377,0))),"")</f>
        <v/>
      </c>
      <c r="H109" s="17">
        <f>IFERROR(IF(INDEX(Corrupcion!$G$2:$G$377,MATCH($A109&amp;"|"&amp;$B109,Corrupcion!$H$2:$H$377,0))="","",INDEX(Corrupcion!$G$2:$G$377,MATCH($A109&amp;"|"&amp;$B109,Corrupcion!$H$2:$H$377,0))),"")</f>
        <v/>
      </c>
      <c r="I109" s="8">
        <f>IF(COUNTBLANK(C109:E109)+COUNTBLANK(F109)=0,1,0)</f>
        <v/>
      </c>
      <c r="J109" s="8">
        <f>IF(COUNTBLANK(C109:E109)+COUNTBLANK(G109)=0,1,0)</f>
        <v/>
      </c>
      <c r="K109" s="8">
        <f>IF(COUNTBLANK(C109:E109)+COUNTBLANK(H109)=0,1,0)</f>
        <v/>
      </c>
    </row>
    <row r="110">
      <c r="A110" s="8" t="inlineStr">
        <is>
          <t>Costa Rica</t>
        </is>
      </c>
      <c r="B110" s="8" t="n">
        <v>2000</v>
      </c>
      <c r="C110" s="18">
        <f>IF(Categorias!C111="","",Categorias!C111)</f>
        <v/>
      </c>
      <c r="D110" s="18">
        <f>IF(Categorias!H111="","",Categorias!H111)</f>
        <v/>
      </c>
      <c r="E110" s="17">
        <f>IFERROR(IF(INDEX(Gini!$C$2:$C$377,MATCH($A110&amp;"|"&amp;$B110,Gini!$E$2:$E$377,0))="","",INDEX(Gini!$C$2:$C$377,MATCH($A110&amp;"|"&amp;$B110,Gini!$E$2:$E$377,0))),"")</f>
        <v/>
      </c>
      <c r="F110" s="19">
        <f>IFERROR(IF(INDEX(Corrupcion!$E$2:$E$377,MATCH($A110&amp;"|"&amp;$B110,Corrupcion!$H$2:$H$377,0))="","",INDEX(Corrupcion!$E$2:$E$377,MATCH($A110&amp;"|"&amp;$B110,Corrupcion!$H$2:$H$377,0))),"")</f>
        <v/>
      </c>
      <c r="G110" s="20">
        <f>IFERROR(IF(INDEX(Corrupcion!$F$2:$F$377,MATCH($A110&amp;"|"&amp;$B110,Corrupcion!$H$2:$H$377,0))="","",INDEX(Corrupcion!$F$2:$F$377,MATCH($A110&amp;"|"&amp;$B110,Corrupcion!$H$2:$H$377,0))),"")</f>
        <v/>
      </c>
      <c r="H110" s="17">
        <f>IFERROR(IF(INDEX(Corrupcion!$G$2:$G$377,MATCH($A110&amp;"|"&amp;$B110,Corrupcion!$H$2:$H$377,0))="","",INDEX(Corrupcion!$G$2:$G$377,MATCH($A110&amp;"|"&amp;$B110,Corrupcion!$H$2:$H$377,0))),"")</f>
        <v/>
      </c>
      <c r="I110" s="8">
        <f>IF(COUNTBLANK(C110:E110)+COUNTBLANK(F110)=0,1,0)</f>
        <v/>
      </c>
      <c r="J110" s="8">
        <f>IF(COUNTBLANK(C110:E110)+COUNTBLANK(G110)=0,1,0)</f>
        <v/>
      </c>
      <c r="K110" s="8">
        <f>IF(COUNTBLANK(C110:E110)+COUNTBLANK(H110)=0,1,0)</f>
        <v/>
      </c>
    </row>
    <row r="111">
      <c r="A111" s="8" t="inlineStr">
        <is>
          <t>Costa Rica</t>
        </is>
      </c>
      <c r="B111" s="8" t="n">
        <v>2001</v>
      </c>
      <c r="C111" s="18">
        <f>IF(Categorias!C112="","",Categorias!C112)</f>
        <v/>
      </c>
      <c r="D111" s="18">
        <f>IF(Categorias!H112="","",Categorias!H112)</f>
        <v/>
      </c>
      <c r="E111" s="17">
        <f>IFERROR(IF(INDEX(Gini!$C$2:$C$377,MATCH($A111&amp;"|"&amp;$B111,Gini!$E$2:$E$377,0))="","",INDEX(Gini!$C$2:$C$377,MATCH($A111&amp;"|"&amp;$B111,Gini!$E$2:$E$377,0))),"")</f>
        <v/>
      </c>
      <c r="F111" s="19">
        <f>IFERROR(IF(INDEX(Corrupcion!$E$2:$E$377,MATCH($A111&amp;"|"&amp;$B111,Corrupcion!$H$2:$H$377,0))="","",INDEX(Corrupcion!$E$2:$E$377,MATCH($A111&amp;"|"&amp;$B111,Corrupcion!$H$2:$H$377,0))),"")</f>
        <v/>
      </c>
      <c r="G111" s="20">
        <f>IFERROR(IF(INDEX(Corrupcion!$F$2:$F$377,MATCH($A111&amp;"|"&amp;$B111,Corrupcion!$H$2:$H$377,0))="","",INDEX(Corrupcion!$F$2:$F$377,MATCH($A111&amp;"|"&amp;$B111,Corrupcion!$H$2:$H$377,0))),"")</f>
        <v/>
      </c>
      <c r="H111" s="17">
        <f>IFERROR(IF(INDEX(Corrupcion!$G$2:$G$377,MATCH($A111&amp;"|"&amp;$B111,Corrupcion!$H$2:$H$377,0))="","",INDEX(Corrupcion!$G$2:$G$377,MATCH($A111&amp;"|"&amp;$B111,Corrupcion!$H$2:$H$377,0))),"")</f>
        <v/>
      </c>
      <c r="I111" s="8">
        <f>IF(COUNTBLANK(C111:E111)+COUNTBLANK(F111)=0,1,0)</f>
        <v/>
      </c>
      <c r="J111" s="8">
        <f>IF(COUNTBLANK(C111:E111)+COUNTBLANK(G111)=0,1,0)</f>
        <v/>
      </c>
      <c r="K111" s="8">
        <f>IF(COUNTBLANK(C111:E111)+COUNTBLANK(H111)=0,1,0)</f>
        <v/>
      </c>
    </row>
    <row r="112">
      <c r="A112" s="8" t="inlineStr">
        <is>
          <t>Costa Rica</t>
        </is>
      </c>
      <c r="B112" s="8" t="n">
        <v>2002</v>
      </c>
      <c r="C112" s="18">
        <f>IF(Categorias!C113="","",Categorias!C113)</f>
        <v/>
      </c>
      <c r="D112" s="18">
        <f>IF(Categorias!H113="","",Categorias!H113)</f>
        <v/>
      </c>
      <c r="E112" s="17">
        <f>IFERROR(IF(INDEX(Gini!$C$2:$C$377,MATCH($A112&amp;"|"&amp;$B112,Gini!$E$2:$E$377,0))="","",INDEX(Gini!$C$2:$C$377,MATCH($A112&amp;"|"&amp;$B112,Gini!$E$2:$E$377,0))),"")</f>
        <v/>
      </c>
      <c r="F112" s="19">
        <f>IFERROR(IF(INDEX(Corrupcion!$E$2:$E$377,MATCH($A112&amp;"|"&amp;$B112,Corrupcion!$H$2:$H$377,0))="","",INDEX(Corrupcion!$E$2:$E$377,MATCH($A112&amp;"|"&amp;$B112,Corrupcion!$H$2:$H$377,0))),"")</f>
        <v/>
      </c>
      <c r="G112" s="20">
        <f>IFERROR(IF(INDEX(Corrupcion!$F$2:$F$377,MATCH($A112&amp;"|"&amp;$B112,Corrupcion!$H$2:$H$377,0))="","",INDEX(Corrupcion!$F$2:$F$377,MATCH($A112&amp;"|"&amp;$B112,Corrupcion!$H$2:$H$377,0))),"")</f>
        <v/>
      </c>
      <c r="H112" s="17">
        <f>IFERROR(IF(INDEX(Corrupcion!$G$2:$G$377,MATCH($A112&amp;"|"&amp;$B112,Corrupcion!$H$2:$H$377,0))="","",INDEX(Corrupcion!$G$2:$G$377,MATCH($A112&amp;"|"&amp;$B112,Corrupcion!$H$2:$H$377,0))),"")</f>
        <v/>
      </c>
      <c r="I112" s="8">
        <f>IF(COUNTBLANK(C112:E112)+COUNTBLANK(F112)=0,1,0)</f>
        <v/>
      </c>
      <c r="J112" s="8">
        <f>IF(COUNTBLANK(C112:E112)+COUNTBLANK(G112)=0,1,0)</f>
        <v/>
      </c>
      <c r="K112" s="8">
        <f>IF(COUNTBLANK(C112:E112)+COUNTBLANK(H112)=0,1,0)</f>
        <v/>
      </c>
    </row>
    <row r="113">
      <c r="A113" s="8" t="inlineStr">
        <is>
          <t>Costa Rica</t>
        </is>
      </c>
      <c r="B113" s="8" t="n">
        <v>2003</v>
      </c>
      <c r="C113" s="18">
        <f>IF(Categorias!C114="","",Categorias!C114)</f>
        <v/>
      </c>
      <c r="D113" s="18">
        <f>IF(Categorias!H114="","",Categorias!H114)</f>
        <v/>
      </c>
      <c r="E113" s="17">
        <f>IFERROR(IF(INDEX(Gini!$C$2:$C$377,MATCH($A113&amp;"|"&amp;$B113,Gini!$E$2:$E$377,0))="","",INDEX(Gini!$C$2:$C$377,MATCH($A113&amp;"|"&amp;$B113,Gini!$E$2:$E$377,0))),"")</f>
        <v/>
      </c>
      <c r="F113" s="19">
        <f>IFERROR(IF(INDEX(Corrupcion!$E$2:$E$377,MATCH($A113&amp;"|"&amp;$B113,Corrupcion!$H$2:$H$377,0))="","",INDEX(Corrupcion!$E$2:$E$377,MATCH($A113&amp;"|"&amp;$B113,Corrupcion!$H$2:$H$377,0))),"")</f>
        <v/>
      </c>
      <c r="G113" s="20">
        <f>IFERROR(IF(INDEX(Corrupcion!$F$2:$F$377,MATCH($A113&amp;"|"&amp;$B113,Corrupcion!$H$2:$H$377,0))="","",INDEX(Corrupcion!$F$2:$F$377,MATCH($A113&amp;"|"&amp;$B113,Corrupcion!$H$2:$H$377,0))),"")</f>
        <v/>
      </c>
      <c r="H113" s="17">
        <f>IFERROR(IF(INDEX(Corrupcion!$G$2:$G$377,MATCH($A113&amp;"|"&amp;$B113,Corrupcion!$H$2:$H$377,0))="","",INDEX(Corrupcion!$G$2:$G$377,MATCH($A113&amp;"|"&amp;$B113,Corrupcion!$H$2:$H$377,0))),"")</f>
        <v/>
      </c>
      <c r="I113" s="8">
        <f>IF(COUNTBLANK(C113:E113)+COUNTBLANK(F113)=0,1,0)</f>
        <v/>
      </c>
      <c r="J113" s="8">
        <f>IF(COUNTBLANK(C113:E113)+COUNTBLANK(G113)=0,1,0)</f>
        <v/>
      </c>
      <c r="K113" s="8">
        <f>IF(COUNTBLANK(C113:E113)+COUNTBLANK(H113)=0,1,0)</f>
        <v/>
      </c>
    </row>
    <row r="114">
      <c r="A114" s="8" t="inlineStr">
        <is>
          <t>Costa Rica</t>
        </is>
      </c>
      <c r="B114" s="8" t="n">
        <v>2004</v>
      </c>
      <c r="C114" s="18">
        <f>IF(Categorias!C115="","",Categorias!C115)</f>
        <v/>
      </c>
      <c r="D114" s="18">
        <f>IF(Categorias!H115="","",Categorias!H115)</f>
        <v/>
      </c>
      <c r="E114" s="17">
        <f>IFERROR(IF(INDEX(Gini!$C$2:$C$377,MATCH($A114&amp;"|"&amp;$B114,Gini!$E$2:$E$377,0))="","",INDEX(Gini!$C$2:$C$377,MATCH($A114&amp;"|"&amp;$B114,Gini!$E$2:$E$377,0))),"")</f>
        <v/>
      </c>
      <c r="F114" s="19">
        <f>IFERROR(IF(INDEX(Corrupcion!$E$2:$E$377,MATCH($A114&amp;"|"&amp;$B114,Corrupcion!$H$2:$H$377,0))="","",INDEX(Corrupcion!$E$2:$E$377,MATCH($A114&amp;"|"&amp;$B114,Corrupcion!$H$2:$H$377,0))),"")</f>
        <v/>
      </c>
      <c r="G114" s="20">
        <f>IFERROR(IF(INDEX(Corrupcion!$F$2:$F$377,MATCH($A114&amp;"|"&amp;$B114,Corrupcion!$H$2:$H$377,0))="","",INDEX(Corrupcion!$F$2:$F$377,MATCH($A114&amp;"|"&amp;$B114,Corrupcion!$H$2:$H$377,0))),"")</f>
        <v/>
      </c>
      <c r="H114" s="17">
        <f>IFERROR(IF(INDEX(Corrupcion!$G$2:$G$377,MATCH($A114&amp;"|"&amp;$B114,Corrupcion!$H$2:$H$377,0))="","",INDEX(Corrupcion!$G$2:$G$377,MATCH($A114&amp;"|"&amp;$B114,Corrupcion!$H$2:$H$377,0))),"")</f>
        <v/>
      </c>
      <c r="I114" s="8">
        <f>IF(COUNTBLANK(C114:E114)+COUNTBLANK(F114)=0,1,0)</f>
        <v/>
      </c>
      <c r="J114" s="8">
        <f>IF(COUNTBLANK(C114:E114)+COUNTBLANK(G114)=0,1,0)</f>
        <v/>
      </c>
      <c r="K114" s="8">
        <f>IF(COUNTBLANK(C114:E114)+COUNTBLANK(H114)=0,1,0)</f>
        <v/>
      </c>
    </row>
    <row r="115">
      <c r="A115" s="8" t="inlineStr">
        <is>
          <t>Costa Rica</t>
        </is>
      </c>
      <c r="B115" s="8" t="n">
        <v>2005</v>
      </c>
      <c r="C115" s="18">
        <f>IF(Categorias!C116="","",Categorias!C116)</f>
        <v/>
      </c>
      <c r="D115" s="18">
        <f>IF(Categorias!H116="","",Categorias!H116)</f>
        <v/>
      </c>
      <c r="E115" s="17">
        <f>IFERROR(IF(INDEX(Gini!$C$2:$C$377,MATCH($A115&amp;"|"&amp;$B115,Gini!$E$2:$E$377,0))="","",INDEX(Gini!$C$2:$C$377,MATCH($A115&amp;"|"&amp;$B115,Gini!$E$2:$E$377,0))),"")</f>
        <v/>
      </c>
      <c r="F115" s="19">
        <f>IFERROR(IF(INDEX(Corrupcion!$E$2:$E$377,MATCH($A115&amp;"|"&amp;$B115,Corrupcion!$H$2:$H$377,0))="","",INDEX(Corrupcion!$E$2:$E$377,MATCH($A115&amp;"|"&amp;$B115,Corrupcion!$H$2:$H$377,0))),"")</f>
        <v/>
      </c>
      <c r="G115" s="20">
        <f>IFERROR(IF(INDEX(Corrupcion!$F$2:$F$377,MATCH($A115&amp;"|"&amp;$B115,Corrupcion!$H$2:$H$377,0))="","",INDEX(Corrupcion!$F$2:$F$377,MATCH($A115&amp;"|"&amp;$B115,Corrupcion!$H$2:$H$377,0))),"")</f>
        <v/>
      </c>
      <c r="H115" s="17">
        <f>IFERROR(IF(INDEX(Corrupcion!$G$2:$G$377,MATCH($A115&amp;"|"&amp;$B115,Corrupcion!$H$2:$H$377,0))="","",INDEX(Corrupcion!$G$2:$G$377,MATCH($A115&amp;"|"&amp;$B115,Corrupcion!$H$2:$H$377,0))),"")</f>
        <v/>
      </c>
      <c r="I115" s="8">
        <f>IF(COUNTBLANK(C115:E115)+COUNTBLANK(F115)=0,1,0)</f>
        <v/>
      </c>
      <c r="J115" s="8">
        <f>IF(COUNTBLANK(C115:E115)+COUNTBLANK(G115)=0,1,0)</f>
        <v/>
      </c>
      <c r="K115" s="8">
        <f>IF(COUNTBLANK(C115:E115)+COUNTBLANK(H115)=0,1,0)</f>
        <v/>
      </c>
    </row>
    <row r="116">
      <c r="A116" s="8" t="inlineStr">
        <is>
          <t>Costa Rica</t>
        </is>
      </c>
      <c r="B116" s="8" t="n">
        <v>2006</v>
      </c>
      <c r="C116" s="18">
        <f>IF(Categorias!C117="","",Categorias!C117)</f>
        <v/>
      </c>
      <c r="D116" s="18">
        <f>IF(Categorias!H117="","",Categorias!H117)</f>
        <v/>
      </c>
      <c r="E116" s="17">
        <f>IFERROR(IF(INDEX(Gini!$C$2:$C$377,MATCH($A116&amp;"|"&amp;$B116,Gini!$E$2:$E$377,0))="","",INDEX(Gini!$C$2:$C$377,MATCH($A116&amp;"|"&amp;$B116,Gini!$E$2:$E$377,0))),"")</f>
        <v/>
      </c>
      <c r="F116" s="19">
        <f>IFERROR(IF(INDEX(Corrupcion!$E$2:$E$377,MATCH($A116&amp;"|"&amp;$B116,Corrupcion!$H$2:$H$377,0))="","",INDEX(Corrupcion!$E$2:$E$377,MATCH($A116&amp;"|"&amp;$B116,Corrupcion!$H$2:$H$377,0))),"")</f>
        <v/>
      </c>
      <c r="G116" s="20">
        <f>IFERROR(IF(INDEX(Corrupcion!$F$2:$F$377,MATCH($A116&amp;"|"&amp;$B116,Corrupcion!$H$2:$H$377,0))="","",INDEX(Corrupcion!$F$2:$F$377,MATCH($A116&amp;"|"&amp;$B116,Corrupcion!$H$2:$H$377,0))),"")</f>
        <v/>
      </c>
      <c r="H116" s="17">
        <f>IFERROR(IF(INDEX(Corrupcion!$G$2:$G$377,MATCH($A116&amp;"|"&amp;$B116,Corrupcion!$H$2:$H$377,0))="","",INDEX(Corrupcion!$G$2:$G$377,MATCH($A116&amp;"|"&amp;$B116,Corrupcion!$H$2:$H$377,0))),"")</f>
        <v/>
      </c>
      <c r="I116" s="8">
        <f>IF(COUNTBLANK(C116:E116)+COUNTBLANK(F116)=0,1,0)</f>
        <v/>
      </c>
      <c r="J116" s="8">
        <f>IF(COUNTBLANK(C116:E116)+COUNTBLANK(G116)=0,1,0)</f>
        <v/>
      </c>
      <c r="K116" s="8">
        <f>IF(COUNTBLANK(C116:E116)+COUNTBLANK(H116)=0,1,0)</f>
        <v/>
      </c>
    </row>
    <row r="117">
      <c r="A117" s="8" t="inlineStr">
        <is>
          <t>Costa Rica</t>
        </is>
      </c>
      <c r="B117" s="8" t="n">
        <v>2007</v>
      </c>
      <c r="C117" s="18">
        <f>IF(Categorias!C118="","",Categorias!C118)</f>
        <v/>
      </c>
      <c r="D117" s="18">
        <f>IF(Categorias!H118="","",Categorias!H118)</f>
        <v/>
      </c>
      <c r="E117" s="17">
        <f>IFERROR(IF(INDEX(Gini!$C$2:$C$377,MATCH($A117&amp;"|"&amp;$B117,Gini!$E$2:$E$377,0))="","",INDEX(Gini!$C$2:$C$377,MATCH($A117&amp;"|"&amp;$B117,Gini!$E$2:$E$377,0))),"")</f>
        <v/>
      </c>
      <c r="F117" s="19">
        <f>IFERROR(IF(INDEX(Corrupcion!$E$2:$E$377,MATCH($A117&amp;"|"&amp;$B117,Corrupcion!$H$2:$H$377,0))="","",INDEX(Corrupcion!$E$2:$E$377,MATCH($A117&amp;"|"&amp;$B117,Corrupcion!$H$2:$H$377,0))),"")</f>
        <v/>
      </c>
      <c r="G117" s="20">
        <f>IFERROR(IF(INDEX(Corrupcion!$F$2:$F$377,MATCH($A117&amp;"|"&amp;$B117,Corrupcion!$H$2:$H$377,0))="","",INDEX(Corrupcion!$F$2:$F$377,MATCH($A117&amp;"|"&amp;$B117,Corrupcion!$H$2:$H$377,0))),"")</f>
        <v/>
      </c>
      <c r="H117" s="17">
        <f>IFERROR(IF(INDEX(Corrupcion!$G$2:$G$377,MATCH($A117&amp;"|"&amp;$B117,Corrupcion!$H$2:$H$377,0))="","",INDEX(Corrupcion!$G$2:$G$377,MATCH($A117&amp;"|"&amp;$B117,Corrupcion!$H$2:$H$377,0))),"")</f>
        <v/>
      </c>
      <c r="I117" s="8">
        <f>IF(COUNTBLANK(C117:E117)+COUNTBLANK(F117)=0,1,0)</f>
        <v/>
      </c>
      <c r="J117" s="8">
        <f>IF(COUNTBLANK(C117:E117)+COUNTBLANK(G117)=0,1,0)</f>
        <v/>
      </c>
      <c r="K117" s="8">
        <f>IF(COUNTBLANK(C117:E117)+COUNTBLANK(H117)=0,1,0)</f>
        <v/>
      </c>
    </row>
    <row r="118">
      <c r="A118" s="8" t="inlineStr">
        <is>
          <t>Costa Rica</t>
        </is>
      </c>
      <c r="B118" s="8" t="n">
        <v>2008</v>
      </c>
      <c r="C118" s="18">
        <f>IF(Categorias!C119="","",Categorias!C119)</f>
        <v/>
      </c>
      <c r="D118" s="18">
        <f>IF(Categorias!H119="","",Categorias!H119)</f>
        <v/>
      </c>
      <c r="E118" s="17">
        <f>IFERROR(IF(INDEX(Gini!$C$2:$C$377,MATCH($A118&amp;"|"&amp;$B118,Gini!$E$2:$E$377,0))="","",INDEX(Gini!$C$2:$C$377,MATCH($A118&amp;"|"&amp;$B118,Gini!$E$2:$E$377,0))),"")</f>
        <v/>
      </c>
      <c r="F118" s="19">
        <f>IFERROR(IF(INDEX(Corrupcion!$E$2:$E$377,MATCH($A118&amp;"|"&amp;$B118,Corrupcion!$H$2:$H$377,0))="","",INDEX(Corrupcion!$E$2:$E$377,MATCH($A118&amp;"|"&amp;$B118,Corrupcion!$H$2:$H$377,0))),"")</f>
        <v/>
      </c>
      <c r="G118" s="20">
        <f>IFERROR(IF(INDEX(Corrupcion!$F$2:$F$377,MATCH($A118&amp;"|"&amp;$B118,Corrupcion!$H$2:$H$377,0))="","",INDEX(Corrupcion!$F$2:$F$377,MATCH($A118&amp;"|"&amp;$B118,Corrupcion!$H$2:$H$377,0))),"")</f>
        <v/>
      </c>
      <c r="H118" s="17">
        <f>IFERROR(IF(INDEX(Corrupcion!$G$2:$G$377,MATCH($A118&amp;"|"&amp;$B118,Corrupcion!$H$2:$H$377,0))="","",INDEX(Corrupcion!$G$2:$G$377,MATCH($A118&amp;"|"&amp;$B118,Corrupcion!$H$2:$H$377,0))),"")</f>
        <v/>
      </c>
      <c r="I118" s="8">
        <f>IF(COUNTBLANK(C118:E118)+COUNTBLANK(F118)=0,1,0)</f>
        <v/>
      </c>
      <c r="J118" s="8">
        <f>IF(COUNTBLANK(C118:E118)+COUNTBLANK(G118)=0,1,0)</f>
        <v/>
      </c>
      <c r="K118" s="8">
        <f>IF(COUNTBLANK(C118:E118)+COUNTBLANK(H118)=0,1,0)</f>
        <v/>
      </c>
    </row>
    <row r="119">
      <c r="A119" s="8" t="inlineStr">
        <is>
          <t>Costa Rica</t>
        </is>
      </c>
      <c r="B119" s="8" t="n">
        <v>2009</v>
      </c>
      <c r="C119" s="18">
        <f>IF(Categorias!C120="","",Categorias!C120)</f>
        <v/>
      </c>
      <c r="D119" s="18">
        <f>IF(Categorias!H120="","",Categorias!H120)</f>
        <v/>
      </c>
      <c r="E119" s="17">
        <f>IFERROR(IF(INDEX(Gini!$C$2:$C$377,MATCH($A119&amp;"|"&amp;$B119,Gini!$E$2:$E$377,0))="","",INDEX(Gini!$C$2:$C$377,MATCH($A119&amp;"|"&amp;$B119,Gini!$E$2:$E$377,0))),"")</f>
        <v/>
      </c>
      <c r="F119" s="19">
        <f>IFERROR(IF(INDEX(Corrupcion!$E$2:$E$377,MATCH($A119&amp;"|"&amp;$B119,Corrupcion!$H$2:$H$377,0))="","",INDEX(Corrupcion!$E$2:$E$377,MATCH($A119&amp;"|"&amp;$B119,Corrupcion!$H$2:$H$377,0))),"")</f>
        <v/>
      </c>
      <c r="G119" s="20">
        <f>IFERROR(IF(INDEX(Corrupcion!$F$2:$F$377,MATCH($A119&amp;"|"&amp;$B119,Corrupcion!$H$2:$H$377,0))="","",INDEX(Corrupcion!$F$2:$F$377,MATCH($A119&amp;"|"&amp;$B119,Corrupcion!$H$2:$H$377,0))),"")</f>
        <v/>
      </c>
      <c r="H119" s="17">
        <f>IFERROR(IF(INDEX(Corrupcion!$G$2:$G$377,MATCH($A119&amp;"|"&amp;$B119,Corrupcion!$H$2:$H$377,0))="","",INDEX(Corrupcion!$G$2:$G$377,MATCH($A119&amp;"|"&amp;$B119,Corrupcion!$H$2:$H$377,0))),"")</f>
        <v/>
      </c>
      <c r="I119" s="8">
        <f>IF(COUNTBLANK(C119:E119)+COUNTBLANK(F119)=0,1,0)</f>
        <v/>
      </c>
      <c r="J119" s="8">
        <f>IF(COUNTBLANK(C119:E119)+COUNTBLANK(G119)=0,1,0)</f>
        <v/>
      </c>
      <c r="K119" s="8">
        <f>IF(COUNTBLANK(C119:E119)+COUNTBLANK(H119)=0,1,0)</f>
        <v/>
      </c>
    </row>
    <row r="120">
      <c r="A120" s="8" t="inlineStr">
        <is>
          <t>Costa Rica</t>
        </is>
      </c>
      <c r="B120" s="8" t="n">
        <v>2010</v>
      </c>
      <c r="C120" s="18">
        <f>IF(Categorias!C121="","",Categorias!C121)</f>
        <v/>
      </c>
      <c r="D120" s="18">
        <f>IF(Categorias!H121="","",Categorias!H121)</f>
        <v/>
      </c>
      <c r="E120" s="17">
        <f>IFERROR(IF(INDEX(Gini!$C$2:$C$377,MATCH($A120&amp;"|"&amp;$B120,Gini!$E$2:$E$377,0))="","",INDEX(Gini!$C$2:$C$377,MATCH($A120&amp;"|"&amp;$B120,Gini!$E$2:$E$377,0))),"")</f>
        <v/>
      </c>
      <c r="F120" s="19">
        <f>IFERROR(IF(INDEX(Corrupcion!$E$2:$E$377,MATCH($A120&amp;"|"&amp;$B120,Corrupcion!$H$2:$H$377,0))="","",INDEX(Corrupcion!$E$2:$E$377,MATCH($A120&amp;"|"&amp;$B120,Corrupcion!$H$2:$H$377,0))),"")</f>
        <v/>
      </c>
      <c r="G120" s="20">
        <f>IFERROR(IF(INDEX(Corrupcion!$F$2:$F$377,MATCH($A120&amp;"|"&amp;$B120,Corrupcion!$H$2:$H$377,0))="","",INDEX(Corrupcion!$F$2:$F$377,MATCH($A120&amp;"|"&amp;$B120,Corrupcion!$H$2:$H$377,0))),"")</f>
        <v/>
      </c>
      <c r="H120" s="17">
        <f>IFERROR(IF(INDEX(Corrupcion!$G$2:$G$377,MATCH($A120&amp;"|"&amp;$B120,Corrupcion!$H$2:$H$377,0))="","",INDEX(Corrupcion!$G$2:$G$377,MATCH($A120&amp;"|"&amp;$B120,Corrupcion!$H$2:$H$377,0))),"")</f>
        <v/>
      </c>
      <c r="I120" s="8">
        <f>IF(COUNTBLANK(C120:E120)+COUNTBLANK(F120)=0,1,0)</f>
        <v/>
      </c>
      <c r="J120" s="8">
        <f>IF(COUNTBLANK(C120:E120)+COUNTBLANK(G120)=0,1,0)</f>
        <v/>
      </c>
      <c r="K120" s="8">
        <f>IF(COUNTBLANK(C120:E120)+COUNTBLANK(H120)=0,1,0)</f>
        <v/>
      </c>
    </row>
    <row r="121">
      <c r="A121" s="8" t="inlineStr">
        <is>
          <t>Costa Rica</t>
        </is>
      </c>
      <c r="B121" s="8" t="n">
        <v>2011</v>
      </c>
      <c r="C121" s="18">
        <f>IF(Categorias!C122="","",Categorias!C122)</f>
        <v/>
      </c>
      <c r="D121" s="18">
        <f>IF(Categorias!H122="","",Categorias!H122)</f>
        <v/>
      </c>
      <c r="E121" s="17">
        <f>IFERROR(IF(INDEX(Gini!$C$2:$C$377,MATCH($A121&amp;"|"&amp;$B121,Gini!$E$2:$E$377,0))="","",INDEX(Gini!$C$2:$C$377,MATCH($A121&amp;"|"&amp;$B121,Gini!$E$2:$E$377,0))),"")</f>
        <v/>
      </c>
      <c r="F121" s="19">
        <f>IFERROR(IF(INDEX(Corrupcion!$E$2:$E$377,MATCH($A121&amp;"|"&amp;$B121,Corrupcion!$H$2:$H$377,0))="","",INDEX(Corrupcion!$E$2:$E$377,MATCH($A121&amp;"|"&amp;$B121,Corrupcion!$H$2:$H$377,0))),"")</f>
        <v/>
      </c>
      <c r="G121" s="20">
        <f>IFERROR(IF(INDEX(Corrupcion!$F$2:$F$377,MATCH($A121&amp;"|"&amp;$B121,Corrupcion!$H$2:$H$377,0))="","",INDEX(Corrupcion!$F$2:$F$377,MATCH($A121&amp;"|"&amp;$B121,Corrupcion!$H$2:$H$377,0))),"")</f>
        <v/>
      </c>
      <c r="H121" s="17">
        <f>IFERROR(IF(INDEX(Corrupcion!$G$2:$G$377,MATCH($A121&amp;"|"&amp;$B121,Corrupcion!$H$2:$H$377,0))="","",INDEX(Corrupcion!$G$2:$G$377,MATCH($A121&amp;"|"&amp;$B121,Corrupcion!$H$2:$H$377,0))),"")</f>
        <v/>
      </c>
      <c r="I121" s="8">
        <f>IF(COUNTBLANK(C121:E121)+COUNTBLANK(F121)=0,1,0)</f>
        <v/>
      </c>
      <c r="J121" s="8">
        <f>IF(COUNTBLANK(C121:E121)+COUNTBLANK(G121)=0,1,0)</f>
        <v/>
      </c>
      <c r="K121" s="8">
        <f>IF(COUNTBLANK(C121:E121)+COUNTBLANK(H121)=0,1,0)</f>
        <v/>
      </c>
    </row>
    <row r="122">
      <c r="A122" s="8" t="inlineStr">
        <is>
          <t>Costa Rica</t>
        </is>
      </c>
      <c r="B122" s="8" t="n">
        <v>2016</v>
      </c>
      <c r="C122" s="18">
        <f>IF(Categorias!C123="","",Categorias!C123)</f>
        <v/>
      </c>
      <c r="D122" s="18">
        <f>IF(Categorias!H123="","",Categorias!H123)</f>
        <v/>
      </c>
      <c r="E122" s="17">
        <f>IFERROR(IF(INDEX(Gini!$C$2:$C$377,MATCH($A122&amp;"|"&amp;$B122,Gini!$E$2:$E$377,0))="","",INDEX(Gini!$C$2:$C$377,MATCH($A122&amp;"|"&amp;$B122,Gini!$E$2:$E$377,0))),"")</f>
        <v/>
      </c>
      <c r="F122" s="19">
        <f>IFERROR(IF(INDEX(Corrupcion!$E$2:$E$377,MATCH($A122&amp;"|"&amp;$B122,Corrupcion!$H$2:$H$377,0))="","",INDEX(Corrupcion!$E$2:$E$377,MATCH($A122&amp;"|"&amp;$B122,Corrupcion!$H$2:$H$377,0))),"")</f>
        <v/>
      </c>
      <c r="G122" s="20">
        <f>IFERROR(IF(INDEX(Corrupcion!$F$2:$F$377,MATCH($A122&amp;"|"&amp;$B122,Corrupcion!$H$2:$H$377,0))="","",INDEX(Corrupcion!$F$2:$F$377,MATCH($A122&amp;"|"&amp;$B122,Corrupcion!$H$2:$H$377,0))),"")</f>
        <v/>
      </c>
      <c r="H122" s="17">
        <f>IFERROR(IF(INDEX(Corrupcion!$G$2:$G$377,MATCH($A122&amp;"|"&amp;$B122,Corrupcion!$H$2:$H$377,0))="","",INDEX(Corrupcion!$G$2:$G$377,MATCH($A122&amp;"|"&amp;$B122,Corrupcion!$H$2:$H$377,0))),"")</f>
        <v/>
      </c>
      <c r="I122" s="8">
        <f>IF(COUNTBLANK(C122:E122)+COUNTBLANK(F122)=0,1,0)</f>
        <v/>
      </c>
      <c r="J122" s="8">
        <f>IF(COUNTBLANK(C122:E122)+COUNTBLANK(G122)=0,1,0)</f>
        <v/>
      </c>
      <c r="K122" s="8">
        <f>IF(COUNTBLANK(C122:E122)+COUNTBLANK(H122)=0,1,0)</f>
        <v/>
      </c>
    </row>
    <row r="123">
      <c r="A123" s="8" t="inlineStr">
        <is>
          <t>Costa Rica</t>
        </is>
      </c>
      <c r="B123" s="8" t="n">
        <v>2017</v>
      </c>
      <c r="C123" s="18">
        <f>IF(Categorias!C124="","",Categorias!C124)</f>
        <v/>
      </c>
      <c r="D123" s="18">
        <f>IF(Categorias!H124="","",Categorias!H124)</f>
        <v/>
      </c>
      <c r="E123" s="17">
        <f>IFERROR(IF(INDEX(Gini!$C$2:$C$377,MATCH($A123&amp;"|"&amp;$B123,Gini!$E$2:$E$377,0))="","",INDEX(Gini!$C$2:$C$377,MATCH($A123&amp;"|"&amp;$B123,Gini!$E$2:$E$377,0))),"")</f>
        <v/>
      </c>
      <c r="F123" s="19">
        <f>IFERROR(IF(INDEX(Corrupcion!$E$2:$E$377,MATCH($A123&amp;"|"&amp;$B123,Corrupcion!$H$2:$H$377,0))="","",INDEX(Corrupcion!$E$2:$E$377,MATCH($A123&amp;"|"&amp;$B123,Corrupcion!$H$2:$H$377,0))),"")</f>
        <v/>
      </c>
      <c r="G123" s="20">
        <f>IFERROR(IF(INDEX(Corrupcion!$F$2:$F$377,MATCH($A123&amp;"|"&amp;$B123,Corrupcion!$H$2:$H$377,0))="","",INDEX(Corrupcion!$F$2:$F$377,MATCH($A123&amp;"|"&amp;$B123,Corrupcion!$H$2:$H$377,0))),"")</f>
        <v/>
      </c>
      <c r="H123" s="17">
        <f>IFERROR(IF(INDEX(Corrupcion!$G$2:$G$377,MATCH($A123&amp;"|"&amp;$B123,Corrupcion!$H$2:$H$377,0))="","",INDEX(Corrupcion!$G$2:$G$377,MATCH($A123&amp;"|"&amp;$B123,Corrupcion!$H$2:$H$377,0))),"")</f>
        <v/>
      </c>
      <c r="I123" s="8">
        <f>IF(COUNTBLANK(C123:E123)+COUNTBLANK(F123)=0,1,0)</f>
        <v/>
      </c>
      <c r="J123" s="8">
        <f>IF(COUNTBLANK(C123:E123)+COUNTBLANK(G123)=0,1,0)</f>
        <v/>
      </c>
      <c r="K123" s="8">
        <f>IF(COUNTBLANK(C123:E123)+COUNTBLANK(H123)=0,1,0)</f>
        <v/>
      </c>
    </row>
    <row r="124">
      <c r="A124" s="8" t="inlineStr">
        <is>
          <t>Costa Rica</t>
        </is>
      </c>
      <c r="B124" s="8" t="n">
        <v>2018</v>
      </c>
      <c r="C124" s="18">
        <f>IF(Categorias!C125="","",Categorias!C125)</f>
        <v/>
      </c>
      <c r="D124" s="18">
        <f>IF(Categorias!H125="","",Categorias!H125)</f>
        <v/>
      </c>
      <c r="E124" s="17">
        <f>IFERROR(IF(INDEX(Gini!$C$2:$C$377,MATCH($A124&amp;"|"&amp;$B124,Gini!$E$2:$E$377,0))="","",INDEX(Gini!$C$2:$C$377,MATCH($A124&amp;"|"&amp;$B124,Gini!$E$2:$E$377,0))),"")</f>
        <v/>
      </c>
      <c r="F124" s="19">
        <f>IFERROR(IF(INDEX(Corrupcion!$E$2:$E$377,MATCH($A124&amp;"|"&amp;$B124,Corrupcion!$H$2:$H$377,0))="","",INDEX(Corrupcion!$E$2:$E$377,MATCH($A124&amp;"|"&amp;$B124,Corrupcion!$H$2:$H$377,0))),"")</f>
        <v/>
      </c>
      <c r="G124" s="20">
        <f>IFERROR(IF(INDEX(Corrupcion!$F$2:$F$377,MATCH($A124&amp;"|"&amp;$B124,Corrupcion!$H$2:$H$377,0))="","",INDEX(Corrupcion!$F$2:$F$377,MATCH($A124&amp;"|"&amp;$B124,Corrupcion!$H$2:$H$377,0))),"")</f>
        <v/>
      </c>
      <c r="H124" s="17">
        <f>IFERROR(IF(INDEX(Corrupcion!$G$2:$G$377,MATCH($A124&amp;"|"&amp;$B124,Corrupcion!$H$2:$H$377,0))="","",INDEX(Corrupcion!$G$2:$G$377,MATCH($A124&amp;"|"&amp;$B124,Corrupcion!$H$2:$H$377,0))),"")</f>
        <v/>
      </c>
      <c r="I124" s="8">
        <f>IF(COUNTBLANK(C124:E124)+COUNTBLANK(F124)=0,1,0)</f>
        <v/>
      </c>
      <c r="J124" s="8">
        <f>IF(COUNTBLANK(C124:E124)+COUNTBLANK(G124)=0,1,0)</f>
        <v/>
      </c>
      <c r="K124" s="8">
        <f>IF(COUNTBLANK(C124:E124)+COUNTBLANK(H124)=0,1,0)</f>
        <v/>
      </c>
    </row>
    <row r="125">
      <c r="A125" s="8" t="inlineStr">
        <is>
          <t>Costa Rica</t>
        </is>
      </c>
      <c r="B125" s="8" t="n">
        <v>2020</v>
      </c>
      <c r="C125" s="18">
        <f>IF(Categorias!C126="","",Categorias!C126)</f>
        <v/>
      </c>
      <c r="D125" s="18">
        <f>IF(Categorias!H126="","",Categorias!H126)</f>
        <v/>
      </c>
      <c r="E125" s="17">
        <f>IFERROR(IF(INDEX(Gini!$C$2:$C$377,MATCH($A125&amp;"|"&amp;$B125,Gini!$E$2:$E$377,0))="","",INDEX(Gini!$C$2:$C$377,MATCH($A125&amp;"|"&amp;$B125,Gini!$E$2:$E$377,0))),"")</f>
        <v/>
      </c>
      <c r="F125" s="19">
        <f>IFERROR(IF(INDEX(Corrupcion!$E$2:$E$377,MATCH($A125&amp;"|"&amp;$B125,Corrupcion!$H$2:$H$377,0))="","",INDEX(Corrupcion!$E$2:$E$377,MATCH($A125&amp;"|"&amp;$B125,Corrupcion!$H$2:$H$377,0))),"")</f>
        <v/>
      </c>
      <c r="G125" s="20">
        <f>IFERROR(IF(INDEX(Corrupcion!$F$2:$F$377,MATCH($A125&amp;"|"&amp;$B125,Corrupcion!$H$2:$H$377,0))="","",INDEX(Corrupcion!$F$2:$F$377,MATCH($A125&amp;"|"&amp;$B125,Corrupcion!$H$2:$H$377,0))),"")</f>
        <v/>
      </c>
      <c r="H125" s="17">
        <f>IFERROR(IF(INDEX(Corrupcion!$G$2:$G$377,MATCH($A125&amp;"|"&amp;$B125,Corrupcion!$H$2:$H$377,0))="","",INDEX(Corrupcion!$G$2:$G$377,MATCH($A125&amp;"|"&amp;$B125,Corrupcion!$H$2:$H$377,0))),"")</f>
        <v/>
      </c>
      <c r="I125" s="8">
        <f>IF(COUNTBLANK(C125:E125)+COUNTBLANK(F125)=0,1,0)</f>
        <v/>
      </c>
      <c r="J125" s="8">
        <f>IF(COUNTBLANK(C125:E125)+COUNTBLANK(G125)=0,1,0)</f>
        <v/>
      </c>
      <c r="K125" s="8">
        <f>IF(COUNTBLANK(C125:E125)+COUNTBLANK(H125)=0,1,0)</f>
        <v/>
      </c>
    </row>
    <row r="126">
      <c r="A126" s="8" t="inlineStr">
        <is>
          <t>Costa Rica</t>
        </is>
      </c>
      <c r="B126" s="8" t="n">
        <v>2024</v>
      </c>
      <c r="C126" s="18">
        <f>IF(Categorias!C127="","",Categorias!C127)</f>
        <v/>
      </c>
      <c r="D126" s="18">
        <f>IF(Categorias!H127="","",Categorias!H127)</f>
        <v/>
      </c>
      <c r="E126" s="17">
        <f>IFERROR(IF(INDEX(Gini!$C$2:$C$377,MATCH($A126&amp;"|"&amp;$B126,Gini!$E$2:$E$377,0))="","",INDEX(Gini!$C$2:$C$377,MATCH($A126&amp;"|"&amp;$B126,Gini!$E$2:$E$377,0))),"")</f>
        <v/>
      </c>
      <c r="F126" s="19">
        <f>IFERROR(IF(INDEX(Corrupcion!$E$2:$E$377,MATCH($A126&amp;"|"&amp;$B126,Corrupcion!$H$2:$H$377,0))="","",INDEX(Corrupcion!$E$2:$E$377,MATCH($A126&amp;"|"&amp;$B126,Corrupcion!$H$2:$H$377,0))),"")</f>
        <v/>
      </c>
      <c r="G126" s="20">
        <f>IFERROR(IF(INDEX(Corrupcion!$F$2:$F$377,MATCH($A126&amp;"|"&amp;$B126,Corrupcion!$H$2:$H$377,0))="","",INDEX(Corrupcion!$F$2:$F$377,MATCH($A126&amp;"|"&amp;$B126,Corrupcion!$H$2:$H$377,0))),"")</f>
        <v/>
      </c>
      <c r="H126" s="17">
        <f>IFERROR(IF(INDEX(Corrupcion!$G$2:$G$377,MATCH($A126&amp;"|"&amp;$B126,Corrupcion!$H$2:$H$377,0))="","",INDEX(Corrupcion!$G$2:$G$377,MATCH($A126&amp;"|"&amp;$B126,Corrupcion!$H$2:$H$377,0))),"")</f>
        <v/>
      </c>
      <c r="I126" s="8">
        <f>IF(COUNTBLANK(C126:E126)+COUNTBLANK(F126)=0,1,0)</f>
        <v/>
      </c>
      <c r="J126" s="8">
        <f>IF(COUNTBLANK(C126:E126)+COUNTBLANK(G126)=0,1,0)</f>
        <v/>
      </c>
      <c r="K126" s="8">
        <f>IF(COUNTBLANK(C126:E126)+COUNTBLANK(H126)=0,1,0)</f>
        <v/>
      </c>
    </row>
    <row r="127">
      <c r="A127" s="8" t="inlineStr">
        <is>
          <t>Rep. Dominicana</t>
        </is>
      </c>
      <c r="B127" s="8" t="n">
        <v>2004</v>
      </c>
      <c r="C127" s="18">
        <f>IF(Categorias!C128="","",Categorias!C128)</f>
        <v/>
      </c>
      <c r="D127" s="18">
        <f>IF(Categorias!H128="","",Categorias!H128)</f>
        <v/>
      </c>
      <c r="E127" s="17">
        <f>IFERROR(IF(INDEX(Gini!$C$2:$C$377,MATCH($A127&amp;"|"&amp;$B127,Gini!$E$2:$E$377,0))="","",INDEX(Gini!$C$2:$C$377,MATCH($A127&amp;"|"&amp;$B127,Gini!$E$2:$E$377,0))),"")</f>
        <v/>
      </c>
      <c r="F127" s="19">
        <f>IFERROR(IF(INDEX(Corrupcion!$E$2:$E$377,MATCH($A127&amp;"|"&amp;$B127,Corrupcion!$H$2:$H$377,0))="","",INDEX(Corrupcion!$E$2:$E$377,MATCH($A127&amp;"|"&amp;$B127,Corrupcion!$H$2:$H$377,0))),"")</f>
        <v/>
      </c>
      <c r="G127" s="20">
        <f>IFERROR(IF(INDEX(Corrupcion!$F$2:$F$377,MATCH($A127&amp;"|"&amp;$B127,Corrupcion!$H$2:$H$377,0))="","",INDEX(Corrupcion!$F$2:$F$377,MATCH($A127&amp;"|"&amp;$B127,Corrupcion!$H$2:$H$377,0))),"")</f>
        <v/>
      </c>
      <c r="H127" s="17">
        <f>IFERROR(IF(INDEX(Corrupcion!$G$2:$G$377,MATCH($A127&amp;"|"&amp;$B127,Corrupcion!$H$2:$H$377,0))="","",INDEX(Corrupcion!$G$2:$G$377,MATCH($A127&amp;"|"&amp;$B127,Corrupcion!$H$2:$H$377,0))),"")</f>
        <v/>
      </c>
      <c r="I127" s="8">
        <f>IF(COUNTBLANK(C127:E127)+COUNTBLANK(F127)=0,1,0)</f>
        <v/>
      </c>
      <c r="J127" s="8">
        <f>IF(COUNTBLANK(C127:E127)+COUNTBLANK(G127)=0,1,0)</f>
        <v/>
      </c>
      <c r="K127" s="8">
        <f>IF(COUNTBLANK(C127:E127)+COUNTBLANK(H127)=0,1,0)</f>
        <v/>
      </c>
    </row>
    <row r="128">
      <c r="A128" s="8" t="inlineStr">
        <is>
          <t>Rep. Dominicana</t>
        </is>
      </c>
      <c r="B128" s="8" t="n">
        <v>2005</v>
      </c>
      <c r="C128" s="18">
        <f>IF(Categorias!C129="","",Categorias!C129)</f>
        <v/>
      </c>
      <c r="D128" s="18">
        <f>IF(Categorias!H129="","",Categorias!H129)</f>
        <v/>
      </c>
      <c r="E128" s="17">
        <f>IFERROR(IF(INDEX(Gini!$C$2:$C$377,MATCH($A128&amp;"|"&amp;$B128,Gini!$E$2:$E$377,0))="","",INDEX(Gini!$C$2:$C$377,MATCH($A128&amp;"|"&amp;$B128,Gini!$E$2:$E$377,0))),"")</f>
        <v/>
      </c>
      <c r="F128" s="19">
        <f>IFERROR(IF(INDEX(Corrupcion!$E$2:$E$377,MATCH($A128&amp;"|"&amp;$B128,Corrupcion!$H$2:$H$377,0))="","",INDEX(Corrupcion!$E$2:$E$377,MATCH($A128&amp;"|"&amp;$B128,Corrupcion!$H$2:$H$377,0))),"")</f>
        <v/>
      </c>
      <c r="G128" s="20">
        <f>IFERROR(IF(INDEX(Corrupcion!$F$2:$F$377,MATCH($A128&amp;"|"&amp;$B128,Corrupcion!$H$2:$H$377,0))="","",INDEX(Corrupcion!$F$2:$F$377,MATCH($A128&amp;"|"&amp;$B128,Corrupcion!$H$2:$H$377,0))),"")</f>
        <v/>
      </c>
      <c r="H128" s="17">
        <f>IFERROR(IF(INDEX(Corrupcion!$G$2:$G$377,MATCH($A128&amp;"|"&amp;$B128,Corrupcion!$H$2:$H$377,0))="","",INDEX(Corrupcion!$G$2:$G$377,MATCH($A128&amp;"|"&amp;$B128,Corrupcion!$H$2:$H$377,0))),"")</f>
        <v/>
      </c>
      <c r="I128" s="8">
        <f>IF(COUNTBLANK(C128:E128)+COUNTBLANK(F128)=0,1,0)</f>
        <v/>
      </c>
      <c r="J128" s="8">
        <f>IF(COUNTBLANK(C128:E128)+COUNTBLANK(G128)=0,1,0)</f>
        <v/>
      </c>
      <c r="K128" s="8">
        <f>IF(COUNTBLANK(C128:E128)+COUNTBLANK(H128)=0,1,0)</f>
        <v/>
      </c>
    </row>
    <row r="129">
      <c r="A129" s="8" t="inlineStr">
        <is>
          <t>Rep. Dominicana</t>
        </is>
      </c>
      <c r="B129" s="8" t="n">
        <v>2006</v>
      </c>
      <c r="C129" s="18">
        <f>IF(Categorias!C130="","",Categorias!C130)</f>
        <v/>
      </c>
      <c r="D129" s="18">
        <f>IF(Categorias!H130="","",Categorias!H130)</f>
        <v/>
      </c>
      <c r="E129" s="17">
        <f>IFERROR(IF(INDEX(Gini!$C$2:$C$377,MATCH($A129&amp;"|"&amp;$B129,Gini!$E$2:$E$377,0))="","",INDEX(Gini!$C$2:$C$377,MATCH($A129&amp;"|"&amp;$B129,Gini!$E$2:$E$377,0))),"")</f>
        <v/>
      </c>
      <c r="F129" s="19">
        <f>IFERROR(IF(INDEX(Corrupcion!$E$2:$E$377,MATCH($A129&amp;"|"&amp;$B129,Corrupcion!$H$2:$H$377,0))="","",INDEX(Corrupcion!$E$2:$E$377,MATCH($A129&amp;"|"&amp;$B129,Corrupcion!$H$2:$H$377,0))),"")</f>
        <v/>
      </c>
      <c r="G129" s="20">
        <f>IFERROR(IF(INDEX(Corrupcion!$F$2:$F$377,MATCH($A129&amp;"|"&amp;$B129,Corrupcion!$H$2:$H$377,0))="","",INDEX(Corrupcion!$F$2:$F$377,MATCH($A129&amp;"|"&amp;$B129,Corrupcion!$H$2:$H$377,0))),"")</f>
        <v/>
      </c>
      <c r="H129" s="17">
        <f>IFERROR(IF(INDEX(Corrupcion!$G$2:$G$377,MATCH($A129&amp;"|"&amp;$B129,Corrupcion!$H$2:$H$377,0))="","",INDEX(Corrupcion!$G$2:$G$377,MATCH($A129&amp;"|"&amp;$B129,Corrupcion!$H$2:$H$377,0))),"")</f>
        <v/>
      </c>
      <c r="I129" s="8">
        <f>IF(COUNTBLANK(C129:E129)+COUNTBLANK(F129)=0,1,0)</f>
        <v/>
      </c>
      <c r="J129" s="8">
        <f>IF(COUNTBLANK(C129:E129)+COUNTBLANK(G129)=0,1,0)</f>
        <v/>
      </c>
      <c r="K129" s="8">
        <f>IF(COUNTBLANK(C129:E129)+COUNTBLANK(H129)=0,1,0)</f>
        <v/>
      </c>
    </row>
    <row r="130">
      <c r="A130" s="8" t="inlineStr">
        <is>
          <t>Rep. Dominicana</t>
        </is>
      </c>
      <c r="B130" s="8" t="n">
        <v>2007</v>
      </c>
      <c r="C130" s="18">
        <f>IF(Categorias!C131="","",Categorias!C131)</f>
        <v/>
      </c>
      <c r="D130" s="18">
        <f>IF(Categorias!H131="","",Categorias!H131)</f>
        <v/>
      </c>
      <c r="E130" s="17">
        <f>IFERROR(IF(INDEX(Gini!$C$2:$C$377,MATCH($A130&amp;"|"&amp;$B130,Gini!$E$2:$E$377,0))="","",INDEX(Gini!$C$2:$C$377,MATCH($A130&amp;"|"&amp;$B130,Gini!$E$2:$E$377,0))),"")</f>
        <v/>
      </c>
      <c r="F130" s="19">
        <f>IFERROR(IF(INDEX(Corrupcion!$E$2:$E$377,MATCH($A130&amp;"|"&amp;$B130,Corrupcion!$H$2:$H$377,0))="","",INDEX(Corrupcion!$E$2:$E$377,MATCH($A130&amp;"|"&amp;$B130,Corrupcion!$H$2:$H$377,0))),"")</f>
        <v/>
      </c>
      <c r="G130" s="20">
        <f>IFERROR(IF(INDEX(Corrupcion!$F$2:$F$377,MATCH($A130&amp;"|"&amp;$B130,Corrupcion!$H$2:$H$377,0))="","",INDEX(Corrupcion!$F$2:$F$377,MATCH($A130&amp;"|"&amp;$B130,Corrupcion!$H$2:$H$377,0))),"")</f>
        <v/>
      </c>
      <c r="H130" s="17">
        <f>IFERROR(IF(INDEX(Corrupcion!$G$2:$G$377,MATCH($A130&amp;"|"&amp;$B130,Corrupcion!$H$2:$H$377,0))="","",INDEX(Corrupcion!$G$2:$G$377,MATCH($A130&amp;"|"&amp;$B130,Corrupcion!$H$2:$H$377,0))),"")</f>
        <v/>
      </c>
      <c r="I130" s="8">
        <f>IF(COUNTBLANK(C130:E130)+COUNTBLANK(F130)=0,1,0)</f>
        <v/>
      </c>
      <c r="J130" s="8">
        <f>IF(COUNTBLANK(C130:E130)+COUNTBLANK(G130)=0,1,0)</f>
        <v/>
      </c>
      <c r="K130" s="8">
        <f>IF(COUNTBLANK(C130:E130)+COUNTBLANK(H130)=0,1,0)</f>
        <v/>
      </c>
    </row>
    <row r="131">
      <c r="A131" s="8" t="inlineStr">
        <is>
          <t>Rep. Dominicana</t>
        </is>
      </c>
      <c r="B131" s="8" t="n">
        <v>2008</v>
      </c>
      <c r="C131" s="18">
        <f>IF(Categorias!C132="","",Categorias!C132)</f>
        <v/>
      </c>
      <c r="D131" s="18">
        <f>IF(Categorias!H132="","",Categorias!H132)</f>
        <v/>
      </c>
      <c r="E131" s="17">
        <f>IFERROR(IF(INDEX(Gini!$C$2:$C$377,MATCH($A131&amp;"|"&amp;$B131,Gini!$E$2:$E$377,0))="","",INDEX(Gini!$C$2:$C$377,MATCH($A131&amp;"|"&amp;$B131,Gini!$E$2:$E$377,0))),"")</f>
        <v/>
      </c>
      <c r="F131" s="19">
        <f>IFERROR(IF(INDEX(Corrupcion!$E$2:$E$377,MATCH($A131&amp;"|"&amp;$B131,Corrupcion!$H$2:$H$377,0))="","",INDEX(Corrupcion!$E$2:$E$377,MATCH($A131&amp;"|"&amp;$B131,Corrupcion!$H$2:$H$377,0))),"")</f>
        <v/>
      </c>
      <c r="G131" s="20">
        <f>IFERROR(IF(INDEX(Corrupcion!$F$2:$F$377,MATCH($A131&amp;"|"&amp;$B131,Corrupcion!$H$2:$H$377,0))="","",INDEX(Corrupcion!$F$2:$F$377,MATCH($A131&amp;"|"&amp;$B131,Corrupcion!$H$2:$H$377,0))),"")</f>
        <v/>
      </c>
      <c r="H131" s="17">
        <f>IFERROR(IF(INDEX(Corrupcion!$G$2:$G$377,MATCH($A131&amp;"|"&amp;$B131,Corrupcion!$H$2:$H$377,0))="","",INDEX(Corrupcion!$G$2:$G$377,MATCH($A131&amp;"|"&amp;$B131,Corrupcion!$H$2:$H$377,0))),"")</f>
        <v/>
      </c>
      <c r="I131" s="8">
        <f>IF(COUNTBLANK(C131:E131)+COUNTBLANK(F131)=0,1,0)</f>
        <v/>
      </c>
      <c r="J131" s="8">
        <f>IF(COUNTBLANK(C131:E131)+COUNTBLANK(G131)=0,1,0)</f>
        <v/>
      </c>
      <c r="K131" s="8">
        <f>IF(COUNTBLANK(C131:E131)+COUNTBLANK(H131)=0,1,0)</f>
        <v/>
      </c>
    </row>
    <row r="132">
      <c r="A132" s="8" t="inlineStr">
        <is>
          <t>Rep. Dominicana</t>
        </is>
      </c>
      <c r="B132" s="8" t="n">
        <v>2009</v>
      </c>
      <c r="C132" s="18">
        <f>IF(Categorias!C133="","",Categorias!C133)</f>
        <v/>
      </c>
      <c r="D132" s="18">
        <f>IF(Categorias!H133="","",Categorias!H133)</f>
        <v/>
      </c>
      <c r="E132" s="17">
        <f>IFERROR(IF(INDEX(Gini!$C$2:$C$377,MATCH($A132&amp;"|"&amp;$B132,Gini!$E$2:$E$377,0))="","",INDEX(Gini!$C$2:$C$377,MATCH($A132&amp;"|"&amp;$B132,Gini!$E$2:$E$377,0))),"")</f>
        <v/>
      </c>
      <c r="F132" s="19">
        <f>IFERROR(IF(INDEX(Corrupcion!$E$2:$E$377,MATCH($A132&amp;"|"&amp;$B132,Corrupcion!$H$2:$H$377,0))="","",INDEX(Corrupcion!$E$2:$E$377,MATCH($A132&amp;"|"&amp;$B132,Corrupcion!$H$2:$H$377,0))),"")</f>
        <v/>
      </c>
      <c r="G132" s="20">
        <f>IFERROR(IF(INDEX(Corrupcion!$F$2:$F$377,MATCH($A132&amp;"|"&amp;$B132,Corrupcion!$H$2:$H$377,0))="","",INDEX(Corrupcion!$F$2:$F$377,MATCH($A132&amp;"|"&amp;$B132,Corrupcion!$H$2:$H$377,0))),"")</f>
        <v/>
      </c>
      <c r="H132" s="17">
        <f>IFERROR(IF(INDEX(Corrupcion!$G$2:$G$377,MATCH($A132&amp;"|"&amp;$B132,Corrupcion!$H$2:$H$377,0))="","",INDEX(Corrupcion!$G$2:$G$377,MATCH($A132&amp;"|"&amp;$B132,Corrupcion!$H$2:$H$377,0))),"")</f>
        <v/>
      </c>
      <c r="I132" s="8">
        <f>IF(COUNTBLANK(C132:E132)+COUNTBLANK(F132)=0,1,0)</f>
        <v/>
      </c>
      <c r="J132" s="8">
        <f>IF(COUNTBLANK(C132:E132)+COUNTBLANK(G132)=0,1,0)</f>
        <v/>
      </c>
      <c r="K132" s="8">
        <f>IF(COUNTBLANK(C132:E132)+COUNTBLANK(H132)=0,1,0)</f>
        <v/>
      </c>
    </row>
    <row r="133">
      <c r="A133" s="8" t="inlineStr">
        <is>
          <t>Rep. Dominicana</t>
        </is>
      </c>
      <c r="B133" s="8" t="n">
        <v>2010</v>
      </c>
      <c r="C133" s="18">
        <f>IF(Categorias!C134="","",Categorias!C134)</f>
        <v/>
      </c>
      <c r="D133" s="18">
        <f>IF(Categorias!H134="","",Categorias!H134)</f>
        <v/>
      </c>
      <c r="E133" s="17">
        <f>IFERROR(IF(INDEX(Gini!$C$2:$C$377,MATCH($A133&amp;"|"&amp;$B133,Gini!$E$2:$E$377,0))="","",INDEX(Gini!$C$2:$C$377,MATCH($A133&amp;"|"&amp;$B133,Gini!$E$2:$E$377,0))),"")</f>
        <v/>
      </c>
      <c r="F133" s="19">
        <f>IFERROR(IF(INDEX(Corrupcion!$E$2:$E$377,MATCH($A133&amp;"|"&amp;$B133,Corrupcion!$H$2:$H$377,0))="","",INDEX(Corrupcion!$E$2:$E$377,MATCH($A133&amp;"|"&amp;$B133,Corrupcion!$H$2:$H$377,0))),"")</f>
        <v/>
      </c>
      <c r="G133" s="20">
        <f>IFERROR(IF(INDEX(Corrupcion!$F$2:$F$377,MATCH($A133&amp;"|"&amp;$B133,Corrupcion!$H$2:$H$377,0))="","",INDEX(Corrupcion!$F$2:$F$377,MATCH($A133&amp;"|"&amp;$B133,Corrupcion!$H$2:$H$377,0))),"")</f>
        <v/>
      </c>
      <c r="H133" s="17">
        <f>IFERROR(IF(INDEX(Corrupcion!$G$2:$G$377,MATCH($A133&amp;"|"&amp;$B133,Corrupcion!$H$2:$H$377,0))="","",INDEX(Corrupcion!$G$2:$G$377,MATCH($A133&amp;"|"&amp;$B133,Corrupcion!$H$2:$H$377,0))),"")</f>
        <v/>
      </c>
      <c r="I133" s="8">
        <f>IF(COUNTBLANK(C133:E133)+COUNTBLANK(F133)=0,1,0)</f>
        <v/>
      </c>
      <c r="J133" s="8">
        <f>IF(COUNTBLANK(C133:E133)+COUNTBLANK(G133)=0,1,0)</f>
        <v/>
      </c>
      <c r="K133" s="8">
        <f>IF(COUNTBLANK(C133:E133)+COUNTBLANK(H133)=0,1,0)</f>
        <v/>
      </c>
    </row>
    <row r="134">
      <c r="A134" s="8" t="inlineStr">
        <is>
          <t>Rep. Dominicana</t>
        </is>
      </c>
      <c r="B134" s="8" t="n">
        <v>2011</v>
      </c>
      <c r="C134" s="18">
        <f>IF(Categorias!C135="","",Categorias!C135)</f>
        <v/>
      </c>
      <c r="D134" s="18">
        <f>IF(Categorias!H135="","",Categorias!H135)</f>
        <v/>
      </c>
      <c r="E134" s="17">
        <f>IFERROR(IF(INDEX(Gini!$C$2:$C$377,MATCH($A134&amp;"|"&amp;$B134,Gini!$E$2:$E$377,0))="","",INDEX(Gini!$C$2:$C$377,MATCH($A134&amp;"|"&amp;$B134,Gini!$E$2:$E$377,0))),"")</f>
        <v/>
      </c>
      <c r="F134" s="19">
        <f>IFERROR(IF(INDEX(Corrupcion!$E$2:$E$377,MATCH($A134&amp;"|"&amp;$B134,Corrupcion!$H$2:$H$377,0))="","",INDEX(Corrupcion!$E$2:$E$377,MATCH($A134&amp;"|"&amp;$B134,Corrupcion!$H$2:$H$377,0))),"")</f>
        <v/>
      </c>
      <c r="G134" s="20">
        <f>IFERROR(IF(INDEX(Corrupcion!$F$2:$F$377,MATCH($A134&amp;"|"&amp;$B134,Corrupcion!$H$2:$H$377,0))="","",INDEX(Corrupcion!$F$2:$F$377,MATCH($A134&amp;"|"&amp;$B134,Corrupcion!$H$2:$H$377,0))),"")</f>
        <v/>
      </c>
      <c r="H134" s="17">
        <f>IFERROR(IF(INDEX(Corrupcion!$G$2:$G$377,MATCH($A134&amp;"|"&amp;$B134,Corrupcion!$H$2:$H$377,0))="","",INDEX(Corrupcion!$G$2:$G$377,MATCH($A134&amp;"|"&amp;$B134,Corrupcion!$H$2:$H$377,0))),"")</f>
        <v/>
      </c>
      <c r="I134" s="8">
        <f>IF(COUNTBLANK(C134:E134)+COUNTBLANK(F134)=0,1,0)</f>
        <v/>
      </c>
      <c r="J134" s="8">
        <f>IF(COUNTBLANK(C134:E134)+COUNTBLANK(G134)=0,1,0)</f>
        <v/>
      </c>
      <c r="K134" s="8">
        <f>IF(COUNTBLANK(C134:E134)+COUNTBLANK(H134)=0,1,0)</f>
        <v/>
      </c>
    </row>
    <row r="135">
      <c r="A135" s="8" t="inlineStr">
        <is>
          <t>Rep. Dominicana</t>
        </is>
      </c>
      <c r="B135" s="8" t="n">
        <v>2016</v>
      </c>
      <c r="C135" s="18">
        <f>IF(Categorias!C136="","",Categorias!C136)</f>
        <v/>
      </c>
      <c r="D135" s="18">
        <f>IF(Categorias!H136="","",Categorias!H136)</f>
        <v/>
      </c>
      <c r="E135" s="17">
        <f>IFERROR(IF(INDEX(Gini!$C$2:$C$377,MATCH($A135&amp;"|"&amp;$B135,Gini!$E$2:$E$377,0))="","",INDEX(Gini!$C$2:$C$377,MATCH($A135&amp;"|"&amp;$B135,Gini!$E$2:$E$377,0))),"")</f>
        <v/>
      </c>
      <c r="F135" s="19">
        <f>IFERROR(IF(INDEX(Corrupcion!$E$2:$E$377,MATCH($A135&amp;"|"&amp;$B135,Corrupcion!$H$2:$H$377,0))="","",INDEX(Corrupcion!$E$2:$E$377,MATCH($A135&amp;"|"&amp;$B135,Corrupcion!$H$2:$H$377,0))),"")</f>
        <v/>
      </c>
      <c r="G135" s="20">
        <f>IFERROR(IF(INDEX(Corrupcion!$F$2:$F$377,MATCH($A135&amp;"|"&amp;$B135,Corrupcion!$H$2:$H$377,0))="","",INDEX(Corrupcion!$F$2:$F$377,MATCH($A135&amp;"|"&amp;$B135,Corrupcion!$H$2:$H$377,0))),"")</f>
        <v/>
      </c>
      <c r="H135" s="17">
        <f>IFERROR(IF(INDEX(Corrupcion!$G$2:$G$377,MATCH($A135&amp;"|"&amp;$B135,Corrupcion!$H$2:$H$377,0))="","",INDEX(Corrupcion!$G$2:$G$377,MATCH($A135&amp;"|"&amp;$B135,Corrupcion!$H$2:$H$377,0))),"")</f>
        <v/>
      </c>
      <c r="I135" s="8">
        <f>IF(COUNTBLANK(C135:E135)+COUNTBLANK(F135)=0,1,0)</f>
        <v/>
      </c>
      <c r="J135" s="8">
        <f>IF(COUNTBLANK(C135:E135)+COUNTBLANK(G135)=0,1,0)</f>
        <v/>
      </c>
      <c r="K135" s="8">
        <f>IF(COUNTBLANK(C135:E135)+COUNTBLANK(H135)=0,1,0)</f>
        <v/>
      </c>
    </row>
    <row r="136">
      <c r="A136" s="8" t="inlineStr">
        <is>
          <t>Rep. Dominicana</t>
        </is>
      </c>
      <c r="B136" s="8" t="n">
        <v>2017</v>
      </c>
      <c r="C136" s="18">
        <f>IF(Categorias!C137="","",Categorias!C137)</f>
        <v/>
      </c>
      <c r="D136" s="18">
        <f>IF(Categorias!H137="","",Categorias!H137)</f>
        <v/>
      </c>
      <c r="E136" s="17">
        <f>IFERROR(IF(INDEX(Gini!$C$2:$C$377,MATCH($A136&amp;"|"&amp;$B136,Gini!$E$2:$E$377,0))="","",INDEX(Gini!$C$2:$C$377,MATCH($A136&amp;"|"&amp;$B136,Gini!$E$2:$E$377,0))),"")</f>
        <v/>
      </c>
      <c r="F136" s="19">
        <f>IFERROR(IF(INDEX(Corrupcion!$E$2:$E$377,MATCH($A136&amp;"|"&amp;$B136,Corrupcion!$H$2:$H$377,0))="","",INDEX(Corrupcion!$E$2:$E$377,MATCH($A136&amp;"|"&amp;$B136,Corrupcion!$H$2:$H$377,0))),"")</f>
        <v/>
      </c>
      <c r="G136" s="20">
        <f>IFERROR(IF(INDEX(Corrupcion!$F$2:$F$377,MATCH($A136&amp;"|"&amp;$B136,Corrupcion!$H$2:$H$377,0))="","",INDEX(Corrupcion!$F$2:$F$377,MATCH($A136&amp;"|"&amp;$B136,Corrupcion!$H$2:$H$377,0))),"")</f>
        <v/>
      </c>
      <c r="H136" s="17">
        <f>IFERROR(IF(INDEX(Corrupcion!$G$2:$G$377,MATCH($A136&amp;"|"&amp;$B136,Corrupcion!$H$2:$H$377,0))="","",INDEX(Corrupcion!$G$2:$G$377,MATCH($A136&amp;"|"&amp;$B136,Corrupcion!$H$2:$H$377,0))),"")</f>
        <v/>
      </c>
      <c r="I136" s="8">
        <f>IF(COUNTBLANK(C136:E136)+COUNTBLANK(F136)=0,1,0)</f>
        <v/>
      </c>
      <c r="J136" s="8">
        <f>IF(COUNTBLANK(C136:E136)+COUNTBLANK(G136)=0,1,0)</f>
        <v/>
      </c>
      <c r="K136" s="8">
        <f>IF(COUNTBLANK(C136:E136)+COUNTBLANK(H136)=0,1,0)</f>
        <v/>
      </c>
    </row>
    <row r="137">
      <c r="A137" s="8" t="inlineStr">
        <is>
          <t>Rep. Dominicana</t>
        </is>
      </c>
      <c r="B137" s="8" t="n">
        <v>2018</v>
      </c>
      <c r="C137" s="18">
        <f>IF(Categorias!C138="","",Categorias!C138)</f>
        <v/>
      </c>
      <c r="D137" s="18">
        <f>IF(Categorias!H138="","",Categorias!H138)</f>
        <v/>
      </c>
      <c r="E137" s="17">
        <f>IFERROR(IF(INDEX(Gini!$C$2:$C$377,MATCH($A137&amp;"|"&amp;$B137,Gini!$E$2:$E$377,0))="","",INDEX(Gini!$C$2:$C$377,MATCH($A137&amp;"|"&amp;$B137,Gini!$E$2:$E$377,0))),"")</f>
        <v/>
      </c>
      <c r="F137" s="19">
        <f>IFERROR(IF(INDEX(Corrupcion!$E$2:$E$377,MATCH($A137&amp;"|"&amp;$B137,Corrupcion!$H$2:$H$377,0))="","",INDEX(Corrupcion!$E$2:$E$377,MATCH($A137&amp;"|"&amp;$B137,Corrupcion!$H$2:$H$377,0))),"")</f>
        <v/>
      </c>
      <c r="G137" s="20">
        <f>IFERROR(IF(INDEX(Corrupcion!$F$2:$F$377,MATCH($A137&amp;"|"&amp;$B137,Corrupcion!$H$2:$H$377,0))="","",INDEX(Corrupcion!$F$2:$F$377,MATCH($A137&amp;"|"&amp;$B137,Corrupcion!$H$2:$H$377,0))),"")</f>
        <v/>
      </c>
      <c r="H137" s="17">
        <f>IFERROR(IF(INDEX(Corrupcion!$G$2:$G$377,MATCH($A137&amp;"|"&amp;$B137,Corrupcion!$H$2:$H$377,0))="","",INDEX(Corrupcion!$G$2:$G$377,MATCH($A137&amp;"|"&amp;$B137,Corrupcion!$H$2:$H$377,0))),"")</f>
        <v/>
      </c>
      <c r="I137" s="8">
        <f>IF(COUNTBLANK(C137:E137)+COUNTBLANK(F137)=0,1,0)</f>
        <v/>
      </c>
      <c r="J137" s="8">
        <f>IF(COUNTBLANK(C137:E137)+COUNTBLANK(G137)=0,1,0)</f>
        <v/>
      </c>
      <c r="K137" s="8">
        <f>IF(COUNTBLANK(C137:E137)+COUNTBLANK(H137)=0,1,0)</f>
        <v/>
      </c>
    </row>
    <row r="138">
      <c r="A138" s="8" t="inlineStr">
        <is>
          <t>Rep. Dominicana</t>
        </is>
      </c>
      <c r="B138" s="8" t="n">
        <v>2020</v>
      </c>
      <c r="C138" s="18">
        <f>IF(Categorias!C139="","",Categorias!C139)</f>
        <v/>
      </c>
      <c r="D138" s="18">
        <f>IF(Categorias!H139="","",Categorias!H139)</f>
        <v/>
      </c>
      <c r="E138" s="17">
        <f>IFERROR(IF(INDEX(Gini!$C$2:$C$377,MATCH($A138&amp;"|"&amp;$B138,Gini!$E$2:$E$377,0))="","",INDEX(Gini!$C$2:$C$377,MATCH($A138&amp;"|"&amp;$B138,Gini!$E$2:$E$377,0))),"")</f>
        <v/>
      </c>
      <c r="F138" s="19">
        <f>IFERROR(IF(INDEX(Corrupcion!$E$2:$E$377,MATCH($A138&amp;"|"&amp;$B138,Corrupcion!$H$2:$H$377,0))="","",INDEX(Corrupcion!$E$2:$E$377,MATCH($A138&amp;"|"&amp;$B138,Corrupcion!$H$2:$H$377,0))),"")</f>
        <v/>
      </c>
      <c r="G138" s="20">
        <f>IFERROR(IF(INDEX(Corrupcion!$F$2:$F$377,MATCH($A138&amp;"|"&amp;$B138,Corrupcion!$H$2:$H$377,0))="","",INDEX(Corrupcion!$F$2:$F$377,MATCH($A138&amp;"|"&amp;$B138,Corrupcion!$H$2:$H$377,0))),"")</f>
        <v/>
      </c>
      <c r="H138" s="17">
        <f>IFERROR(IF(INDEX(Corrupcion!$G$2:$G$377,MATCH($A138&amp;"|"&amp;$B138,Corrupcion!$H$2:$H$377,0))="","",INDEX(Corrupcion!$G$2:$G$377,MATCH($A138&amp;"|"&amp;$B138,Corrupcion!$H$2:$H$377,0))),"")</f>
        <v/>
      </c>
      <c r="I138" s="8">
        <f>IF(COUNTBLANK(C138:E138)+COUNTBLANK(F138)=0,1,0)</f>
        <v/>
      </c>
      <c r="J138" s="8">
        <f>IF(COUNTBLANK(C138:E138)+COUNTBLANK(G138)=0,1,0)</f>
        <v/>
      </c>
      <c r="K138" s="8">
        <f>IF(COUNTBLANK(C138:E138)+COUNTBLANK(H138)=0,1,0)</f>
        <v/>
      </c>
    </row>
    <row r="139">
      <c r="A139" s="8" t="inlineStr">
        <is>
          <t>Rep. Dominicana</t>
        </is>
      </c>
      <c r="B139" s="8" t="n">
        <v>2024</v>
      </c>
      <c r="C139" s="18">
        <f>IF(Categorias!C140="","",Categorias!C140)</f>
        <v/>
      </c>
      <c r="D139" s="18">
        <f>IF(Categorias!H140="","",Categorias!H140)</f>
        <v/>
      </c>
      <c r="E139" s="17">
        <f>IFERROR(IF(INDEX(Gini!$C$2:$C$377,MATCH($A139&amp;"|"&amp;$B139,Gini!$E$2:$E$377,0))="","",INDEX(Gini!$C$2:$C$377,MATCH($A139&amp;"|"&amp;$B139,Gini!$E$2:$E$377,0))),"")</f>
        <v/>
      </c>
      <c r="F139" s="19">
        <f>IFERROR(IF(INDEX(Corrupcion!$E$2:$E$377,MATCH($A139&amp;"|"&amp;$B139,Corrupcion!$H$2:$H$377,0))="","",INDEX(Corrupcion!$E$2:$E$377,MATCH($A139&amp;"|"&amp;$B139,Corrupcion!$H$2:$H$377,0))),"")</f>
        <v/>
      </c>
      <c r="G139" s="20">
        <f>IFERROR(IF(INDEX(Corrupcion!$F$2:$F$377,MATCH($A139&amp;"|"&amp;$B139,Corrupcion!$H$2:$H$377,0))="","",INDEX(Corrupcion!$F$2:$F$377,MATCH($A139&amp;"|"&amp;$B139,Corrupcion!$H$2:$H$377,0))),"")</f>
        <v/>
      </c>
      <c r="H139" s="17">
        <f>IFERROR(IF(INDEX(Corrupcion!$G$2:$G$377,MATCH($A139&amp;"|"&amp;$B139,Corrupcion!$H$2:$H$377,0))="","",INDEX(Corrupcion!$G$2:$G$377,MATCH($A139&amp;"|"&amp;$B139,Corrupcion!$H$2:$H$377,0))),"")</f>
        <v/>
      </c>
      <c r="I139" s="8">
        <f>IF(COUNTBLANK(C139:E139)+COUNTBLANK(F139)=0,1,0)</f>
        <v/>
      </c>
      <c r="J139" s="8">
        <f>IF(COUNTBLANK(C139:E139)+COUNTBLANK(G139)=0,1,0)</f>
        <v/>
      </c>
      <c r="K139" s="8">
        <f>IF(COUNTBLANK(C139:E139)+COUNTBLANK(H139)=0,1,0)</f>
        <v/>
      </c>
    </row>
    <row r="140">
      <c r="A140" s="8" t="inlineStr">
        <is>
          <t>Ecuador</t>
        </is>
      </c>
      <c r="B140" s="8" t="n">
        <v>1996</v>
      </c>
      <c r="C140" s="18">
        <f>IF(Categorias!C141="","",Categorias!C141)</f>
        <v/>
      </c>
      <c r="D140" s="18">
        <f>IF(Categorias!H141="","",Categorias!H141)</f>
        <v/>
      </c>
      <c r="E140" s="17">
        <f>IFERROR(IF(INDEX(Gini!$C$2:$C$377,MATCH($A140&amp;"|"&amp;$B140,Gini!$E$2:$E$377,0))="","",INDEX(Gini!$C$2:$C$377,MATCH($A140&amp;"|"&amp;$B140,Gini!$E$2:$E$377,0))),"")</f>
        <v/>
      </c>
      <c r="F140" s="19">
        <f>IFERROR(IF(INDEX(Corrupcion!$E$2:$E$377,MATCH($A140&amp;"|"&amp;$B140,Corrupcion!$H$2:$H$377,0))="","",INDEX(Corrupcion!$E$2:$E$377,MATCH($A140&amp;"|"&amp;$B140,Corrupcion!$H$2:$H$377,0))),"")</f>
        <v/>
      </c>
      <c r="G140" s="20">
        <f>IFERROR(IF(INDEX(Corrupcion!$F$2:$F$377,MATCH($A140&amp;"|"&amp;$B140,Corrupcion!$H$2:$H$377,0))="","",INDEX(Corrupcion!$F$2:$F$377,MATCH($A140&amp;"|"&amp;$B140,Corrupcion!$H$2:$H$377,0))),"")</f>
        <v/>
      </c>
      <c r="H140" s="17">
        <f>IFERROR(IF(INDEX(Corrupcion!$G$2:$G$377,MATCH($A140&amp;"|"&amp;$B140,Corrupcion!$H$2:$H$377,0))="","",INDEX(Corrupcion!$G$2:$G$377,MATCH($A140&amp;"|"&amp;$B140,Corrupcion!$H$2:$H$377,0))),"")</f>
        <v/>
      </c>
      <c r="I140" s="8">
        <f>IF(COUNTBLANK(C140:E140)+COUNTBLANK(F140)=0,1,0)</f>
        <v/>
      </c>
      <c r="J140" s="8">
        <f>IF(COUNTBLANK(C140:E140)+COUNTBLANK(G140)=0,1,0)</f>
        <v/>
      </c>
      <c r="K140" s="8">
        <f>IF(COUNTBLANK(C140:E140)+COUNTBLANK(H140)=0,1,0)</f>
        <v/>
      </c>
    </row>
    <row r="141">
      <c r="A141" s="8" t="inlineStr">
        <is>
          <t>Ecuador</t>
        </is>
      </c>
      <c r="B141" s="8" t="n">
        <v>1997</v>
      </c>
      <c r="C141" s="18">
        <f>IF(Categorias!C142="","",Categorias!C142)</f>
        <v/>
      </c>
      <c r="D141" s="18">
        <f>IF(Categorias!H142="","",Categorias!H142)</f>
        <v/>
      </c>
      <c r="E141" s="17">
        <f>IFERROR(IF(INDEX(Gini!$C$2:$C$377,MATCH($A141&amp;"|"&amp;$B141,Gini!$E$2:$E$377,0))="","",INDEX(Gini!$C$2:$C$377,MATCH($A141&amp;"|"&amp;$B141,Gini!$E$2:$E$377,0))),"")</f>
        <v/>
      </c>
      <c r="F141" s="19">
        <f>IFERROR(IF(INDEX(Corrupcion!$E$2:$E$377,MATCH($A141&amp;"|"&amp;$B141,Corrupcion!$H$2:$H$377,0))="","",INDEX(Corrupcion!$E$2:$E$377,MATCH($A141&amp;"|"&amp;$B141,Corrupcion!$H$2:$H$377,0))),"")</f>
        <v/>
      </c>
      <c r="G141" s="20">
        <f>IFERROR(IF(INDEX(Corrupcion!$F$2:$F$377,MATCH($A141&amp;"|"&amp;$B141,Corrupcion!$H$2:$H$377,0))="","",INDEX(Corrupcion!$F$2:$F$377,MATCH($A141&amp;"|"&amp;$B141,Corrupcion!$H$2:$H$377,0))),"")</f>
        <v/>
      </c>
      <c r="H141" s="17">
        <f>IFERROR(IF(INDEX(Corrupcion!$G$2:$G$377,MATCH($A141&amp;"|"&amp;$B141,Corrupcion!$H$2:$H$377,0))="","",INDEX(Corrupcion!$G$2:$G$377,MATCH($A141&amp;"|"&amp;$B141,Corrupcion!$H$2:$H$377,0))),"")</f>
        <v/>
      </c>
      <c r="I141" s="8">
        <f>IF(COUNTBLANK(C141:E141)+COUNTBLANK(F141)=0,1,0)</f>
        <v/>
      </c>
      <c r="J141" s="8">
        <f>IF(COUNTBLANK(C141:E141)+COUNTBLANK(G141)=0,1,0)</f>
        <v/>
      </c>
      <c r="K141" s="8">
        <f>IF(COUNTBLANK(C141:E141)+COUNTBLANK(H141)=0,1,0)</f>
        <v/>
      </c>
    </row>
    <row r="142">
      <c r="A142" s="8" t="inlineStr">
        <is>
          <t>Ecuador</t>
        </is>
      </c>
      <c r="B142" s="8" t="n">
        <v>1998</v>
      </c>
      <c r="C142" s="18">
        <f>IF(Categorias!C143="","",Categorias!C143)</f>
        <v/>
      </c>
      <c r="D142" s="18">
        <f>IF(Categorias!H143="","",Categorias!H143)</f>
        <v/>
      </c>
      <c r="E142" s="17">
        <f>IFERROR(IF(INDEX(Gini!$C$2:$C$377,MATCH($A142&amp;"|"&amp;$B142,Gini!$E$2:$E$377,0))="","",INDEX(Gini!$C$2:$C$377,MATCH($A142&amp;"|"&amp;$B142,Gini!$E$2:$E$377,0))),"")</f>
        <v/>
      </c>
      <c r="F142" s="19">
        <f>IFERROR(IF(INDEX(Corrupcion!$E$2:$E$377,MATCH($A142&amp;"|"&amp;$B142,Corrupcion!$H$2:$H$377,0))="","",INDEX(Corrupcion!$E$2:$E$377,MATCH($A142&amp;"|"&amp;$B142,Corrupcion!$H$2:$H$377,0))),"")</f>
        <v/>
      </c>
      <c r="G142" s="20">
        <f>IFERROR(IF(INDEX(Corrupcion!$F$2:$F$377,MATCH($A142&amp;"|"&amp;$B142,Corrupcion!$H$2:$H$377,0))="","",INDEX(Corrupcion!$F$2:$F$377,MATCH($A142&amp;"|"&amp;$B142,Corrupcion!$H$2:$H$377,0))),"")</f>
        <v/>
      </c>
      <c r="H142" s="17">
        <f>IFERROR(IF(INDEX(Corrupcion!$G$2:$G$377,MATCH($A142&amp;"|"&amp;$B142,Corrupcion!$H$2:$H$377,0))="","",INDEX(Corrupcion!$G$2:$G$377,MATCH($A142&amp;"|"&amp;$B142,Corrupcion!$H$2:$H$377,0))),"")</f>
        <v/>
      </c>
      <c r="I142" s="8">
        <f>IF(COUNTBLANK(C142:E142)+COUNTBLANK(F142)=0,1,0)</f>
        <v/>
      </c>
      <c r="J142" s="8">
        <f>IF(COUNTBLANK(C142:E142)+COUNTBLANK(G142)=0,1,0)</f>
        <v/>
      </c>
      <c r="K142" s="8">
        <f>IF(COUNTBLANK(C142:E142)+COUNTBLANK(H142)=0,1,0)</f>
        <v/>
      </c>
    </row>
    <row r="143">
      <c r="A143" s="8" t="inlineStr">
        <is>
          <t>Ecuador</t>
        </is>
      </c>
      <c r="B143" s="8" t="n">
        <v>2000</v>
      </c>
      <c r="C143" s="18">
        <f>IF(Categorias!C144="","",Categorias!C144)</f>
        <v/>
      </c>
      <c r="D143" s="18">
        <f>IF(Categorias!H144="","",Categorias!H144)</f>
        <v/>
      </c>
      <c r="E143" s="17">
        <f>IFERROR(IF(INDEX(Gini!$C$2:$C$377,MATCH($A143&amp;"|"&amp;$B143,Gini!$E$2:$E$377,0))="","",INDEX(Gini!$C$2:$C$377,MATCH($A143&amp;"|"&amp;$B143,Gini!$E$2:$E$377,0))),"")</f>
        <v/>
      </c>
      <c r="F143" s="19">
        <f>IFERROR(IF(INDEX(Corrupcion!$E$2:$E$377,MATCH($A143&amp;"|"&amp;$B143,Corrupcion!$H$2:$H$377,0))="","",INDEX(Corrupcion!$E$2:$E$377,MATCH($A143&amp;"|"&amp;$B143,Corrupcion!$H$2:$H$377,0))),"")</f>
        <v/>
      </c>
      <c r="G143" s="20">
        <f>IFERROR(IF(INDEX(Corrupcion!$F$2:$F$377,MATCH($A143&amp;"|"&amp;$B143,Corrupcion!$H$2:$H$377,0))="","",INDEX(Corrupcion!$F$2:$F$377,MATCH($A143&amp;"|"&amp;$B143,Corrupcion!$H$2:$H$377,0))),"")</f>
        <v/>
      </c>
      <c r="H143" s="17">
        <f>IFERROR(IF(INDEX(Corrupcion!$G$2:$G$377,MATCH($A143&amp;"|"&amp;$B143,Corrupcion!$H$2:$H$377,0))="","",INDEX(Corrupcion!$G$2:$G$377,MATCH($A143&amp;"|"&amp;$B143,Corrupcion!$H$2:$H$377,0))),"")</f>
        <v/>
      </c>
      <c r="I143" s="8">
        <f>IF(COUNTBLANK(C143:E143)+COUNTBLANK(F143)=0,1,0)</f>
        <v/>
      </c>
      <c r="J143" s="8">
        <f>IF(COUNTBLANK(C143:E143)+COUNTBLANK(G143)=0,1,0)</f>
        <v/>
      </c>
      <c r="K143" s="8">
        <f>IF(COUNTBLANK(C143:E143)+COUNTBLANK(H143)=0,1,0)</f>
        <v/>
      </c>
    </row>
    <row r="144">
      <c r="A144" s="8" t="inlineStr">
        <is>
          <t>Ecuador</t>
        </is>
      </c>
      <c r="B144" s="8" t="n">
        <v>2001</v>
      </c>
      <c r="C144" s="18">
        <f>IF(Categorias!C145="","",Categorias!C145)</f>
        <v/>
      </c>
      <c r="D144" s="18">
        <f>IF(Categorias!H145="","",Categorias!H145)</f>
        <v/>
      </c>
      <c r="E144" s="17">
        <f>IFERROR(IF(INDEX(Gini!$C$2:$C$377,MATCH($A144&amp;"|"&amp;$B144,Gini!$E$2:$E$377,0))="","",INDEX(Gini!$C$2:$C$377,MATCH($A144&amp;"|"&amp;$B144,Gini!$E$2:$E$377,0))),"")</f>
        <v/>
      </c>
      <c r="F144" s="19">
        <f>IFERROR(IF(INDEX(Corrupcion!$E$2:$E$377,MATCH($A144&amp;"|"&amp;$B144,Corrupcion!$H$2:$H$377,0))="","",INDEX(Corrupcion!$E$2:$E$377,MATCH($A144&amp;"|"&amp;$B144,Corrupcion!$H$2:$H$377,0))),"")</f>
        <v/>
      </c>
      <c r="G144" s="20">
        <f>IFERROR(IF(INDEX(Corrupcion!$F$2:$F$377,MATCH($A144&amp;"|"&amp;$B144,Corrupcion!$H$2:$H$377,0))="","",INDEX(Corrupcion!$F$2:$F$377,MATCH($A144&amp;"|"&amp;$B144,Corrupcion!$H$2:$H$377,0))),"")</f>
        <v/>
      </c>
      <c r="H144" s="17">
        <f>IFERROR(IF(INDEX(Corrupcion!$G$2:$G$377,MATCH($A144&amp;"|"&amp;$B144,Corrupcion!$H$2:$H$377,0))="","",INDEX(Corrupcion!$G$2:$G$377,MATCH($A144&amp;"|"&amp;$B144,Corrupcion!$H$2:$H$377,0))),"")</f>
        <v/>
      </c>
      <c r="I144" s="8">
        <f>IF(COUNTBLANK(C144:E144)+COUNTBLANK(F144)=0,1,0)</f>
        <v/>
      </c>
      <c r="J144" s="8">
        <f>IF(COUNTBLANK(C144:E144)+COUNTBLANK(G144)=0,1,0)</f>
        <v/>
      </c>
      <c r="K144" s="8">
        <f>IF(COUNTBLANK(C144:E144)+COUNTBLANK(H144)=0,1,0)</f>
        <v/>
      </c>
    </row>
    <row r="145">
      <c r="A145" s="8" t="inlineStr">
        <is>
          <t>Ecuador</t>
        </is>
      </c>
      <c r="B145" s="8" t="n">
        <v>2002</v>
      </c>
      <c r="C145" s="18">
        <f>IF(Categorias!C146="","",Categorias!C146)</f>
        <v/>
      </c>
      <c r="D145" s="18">
        <f>IF(Categorias!H146="","",Categorias!H146)</f>
        <v/>
      </c>
      <c r="E145" s="17">
        <f>IFERROR(IF(INDEX(Gini!$C$2:$C$377,MATCH($A145&amp;"|"&amp;$B145,Gini!$E$2:$E$377,0))="","",INDEX(Gini!$C$2:$C$377,MATCH($A145&amp;"|"&amp;$B145,Gini!$E$2:$E$377,0))),"")</f>
        <v/>
      </c>
      <c r="F145" s="19">
        <f>IFERROR(IF(INDEX(Corrupcion!$E$2:$E$377,MATCH($A145&amp;"|"&amp;$B145,Corrupcion!$H$2:$H$377,0))="","",INDEX(Corrupcion!$E$2:$E$377,MATCH($A145&amp;"|"&amp;$B145,Corrupcion!$H$2:$H$377,0))),"")</f>
        <v/>
      </c>
      <c r="G145" s="20">
        <f>IFERROR(IF(INDEX(Corrupcion!$F$2:$F$377,MATCH($A145&amp;"|"&amp;$B145,Corrupcion!$H$2:$H$377,0))="","",INDEX(Corrupcion!$F$2:$F$377,MATCH($A145&amp;"|"&amp;$B145,Corrupcion!$H$2:$H$377,0))),"")</f>
        <v/>
      </c>
      <c r="H145" s="17">
        <f>IFERROR(IF(INDEX(Corrupcion!$G$2:$G$377,MATCH($A145&amp;"|"&amp;$B145,Corrupcion!$H$2:$H$377,0))="","",INDEX(Corrupcion!$G$2:$G$377,MATCH($A145&amp;"|"&amp;$B145,Corrupcion!$H$2:$H$377,0))),"")</f>
        <v/>
      </c>
      <c r="I145" s="8">
        <f>IF(COUNTBLANK(C145:E145)+COUNTBLANK(F145)=0,1,0)</f>
        <v/>
      </c>
      <c r="J145" s="8">
        <f>IF(COUNTBLANK(C145:E145)+COUNTBLANK(G145)=0,1,0)</f>
        <v/>
      </c>
      <c r="K145" s="8">
        <f>IF(COUNTBLANK(C145:E145)+COUNTBLANK(H145)=0,1,0)</f>
        <v/>
      </c>
    </row>
    <row r="146">
      <c r="A146" s="8" t="inlineStr">
        <is>
          <t>Ecuador</t>
        </is>
      </c>
      <c r="B146" s="8" t="n">
        <v>2003</v>
      </c>
      <c r="C146" s="18">
        <f>IF(Categorias!C147="","",Categorias!C147)</f>
        <v/>
      </c>
      <c r="D146" s="18">
        <f>IF(Categorias!H147="","",Categorias!H147)</f>
        <v/>
      </c>
      <c r="E146" s="17">
        <f>IFERROR(IF(INDEX(Gini!$C$2:$C$377,MATCH($A146&amp;"|"&amp;$B146,Gini!$E$2:$E$377,0))="","",INDEX(Gini!$C$2:$C$377,MATCH($A146&amp;"|"&amp;$B146,Gini!$E$2:$E$377,0))),"")</f>
        <v/>
      </c>
      <c r="F146" s="19">
        <f>IFERROR(IF(INDEX(Corrupcion!$E$2:$E$377,MATCH($A146&amp;"|"&amp;$B146,Corrupcion!$H$2:$H$377,0))="","",INDEX(Corrupcion!$E$2:$E$377,MATCH($A146&amp;"|"&amp;$B146,Corrupcion!$H$2:$H$377,0))),"")</f>
        <v/>
      </c>
      <c r="G146" s="20">
        <f>IFERROR(IF(INDEX(Corrupcion!$F$2:$F$377,MATCH($A146&amp;"|"&amp;$B146,Corrupcion!$H$2:$H$377,0))="","",INDEX(Corrupcion!$F$2:$F$377,MATCH($A146&amp;"|"&amp;$B146,Corrupcion!$H$2:$H$377,0))),"")</f>
        <v/>
      </c>
      <c r="H146" s="17">
        <f>IFERROR(IF(INDEX(Corrupcion!$G$2:$G$377,MATCH($A146&amp;"|"&amp;$B146,Corrupcion!$H$2:$H$377,0))="","",INDEX(Corrupcion!$G$2:$G$377,MATCH($A146&amp;"|"&amp;$B146,Corrupcion!$H$2:$H$377,0))),"")</f>
        <v/>
      </c>
      <c r="I146" s="8">
        <f>IF(COUNTBLANK(C146:E146)+COUNTBLANK(F146)=0,1,0)</f>
        <v/>
      </c>
      <c r="J146" s="8">
        <f>IF(COUNTBLANK(C146:E146)+COUNTBLANK(G146)=0,1,0)</f>
        <v/>
      </c>
      <c r="K146" s="8">
        <f>IF(COUNTBLANK(C146:E146)+COUNTBLANK(H146)=0,1,0)</f>
        <v/>
      </c>
    </row>
    <row r="147">
      <c r="A147" s="8" t="inlineStr">
        <is>
          <t>Ecuador</t>
        </is>
      </c>
      <c r="B147" s="8" t="n">
        <v>2004</v>
      </c>
      <c r="C147" s="18">
        <f>IF(Categorias!C148="","",Categorias!C148)</f>
        <v/>
      </c>
      <c r="D147" s="18">
        <f>IF(Categorias!H148="","",Categorias!H148)</f>
        <v/>
      </c>
      <c r="E147" s="17">
        <f>IFERROR(IF(INDEX(Gini!$C$2:$C$377,MATCH($A147&amp;"|"&amp;$B147,Gini!$E$2:$E$377,0))="","",INDEX(Gini!$C$2:$C$377,MATCH($A147&amp;"|"&amp;$B147,Gini!$E$2:$E$377,0))),"")</f>
        <v/>
      </c>
      <c r="F147" s="19">
        <f>IFERROR(IF(INDEX(Corrupcion!$E$2:$E$377,MATCH($A147&amp;"|"&amp;$B147,Corrupcion!$H$2:$H$377,0))="","",INDEX(Corrupcion!$E$2:$E$377,MATCH($A147&amp;"|"&amp;$B147,Corrupcion!$H$2:$H$377,0))),"")</f>
        <v/>
      </c>
      <c r="G147" s="20">
        <f>IFERROR(IF(INDEX(Corrupcion!$F$2:$F$377,MATCH($A147&amp;"|"&amp;$B147,Corrupcion!$H$2:$H$377,0))="","",INDEX(Corrupcion!$F$2:$F$377,MATCH($A147&amp;"|"&amp;$B147,Corrupcion!$H$2:$H$377,0))),"")</f>
        <v/>
      </c>
      <c r="H147" s="17">
        <f>IFERROR(IF(INDEX(Corrupcion!$G$2:$G$377,MATCH($A147&amp;"|"&amp;$B147,Corrupcion!$H$2:$H$377,0))="","",INDEX(Corrupcion!$G$2:$G$377,MATCH($A147&amp;"|"&amp;$B147,Corrupcion!$H$2:$H$377,0))),"")</f>
        <v/>
      </c>
      <c r="I147" s="8">
        <f>IF(COUNTBLANK(C147:E147)+COUNTBLANK(F147)=0,1,0)</f>
        <v/>
      </c>
      <c r="J147" s="8">
        <f>IF(COUNTBLANK(C147:E147)+COUNTBLANK(G147)=0,1,0)</f>
        <v/>
      </c>
      <c r="K147" s="8">
        <f>IF(COUNTBLANK(C147:E147)+COUNTBLANK(H147)=0,1,0)</f>
        <v/>
      </c>
    </row>
    <row r="148">
      <c r="A148" s="8" t="inlineStr">
        <is>
          <t>Ecuador</t>
        </is>
      </c>
      <c r="B148" s="8" t="n">
        <v>2005</v>
      </c>
      <c r="C148" s="18">
        <f>IF(Categorias!C149="","",Categorias!C149)</f>
        <v/>
      </c>
      <c r="D148" s="18">
        <f>IF(Categorias!H149="","",Categorias!H149)</f>
        <v/>
      </c>
      <c r="E148" s="17">
        <f>IFERROR(IF(INDEX(Gini!$C$2:$C$377,MATCH($A148&amp;"|"&amp;$B148,Gini!$E$2:$E$377,0))="","",INDEX(Gini!$C$2:$C$377,MATCH($A148&amp;"|"&amp;$B148,Gini!$E$2:$E$377,0))),"")</f>
        <v/>
      </c>
      <c r="F148" s="19">
        <f>IFERROR(IF(INDEX(Corrupcion!$E$2:$E$377,MATCH($A148&amp;"|"&amp;$B148,Corrupcion!$H$2:$H$377,0))="","",INDEX(Corrupcion!$E$2:$E$377,MATCH($A148&amp;"|"&amp;$B148,Corrupcion!$H$2:$H$377,0))),"")</f>
        <v/>
      </c>
      <c r="G148" s="20">
        <f>IFERROR(IF(INDEX(Corrupcion!$F$2:$F$377,MATCH($A148&amp;"|"&amp;$B148,Corrupcion!$H$2:$H$377,0))="","",INDEX(Corrupcion!$F$2:$F$377,MATCH($A148&amp;"|"&amp;$B148,Corrupcion!$H$2:$H$377,0))),"")</f>
        <v/>
      </c>
      <c r="H148" s="17">
        <f>IFERROR(IF(INDEX(Corrupcion!$G$2:$G$377,MATCH($A148&amp;"|"&amp;$B148,Corrupcion!$H$2:$H$377,0))="","",INDEX(Corrupcion!$G$2:$G$377,MATCH($A148&amp;"|"&amp;$B148,Corrupcion!$H$2:$H$377,0))),"")</f>
        <v/>
      </c>
      <c r="I148" s="8">
        <f>IF(COUNTBLANK(C148:E148)+COUNTBLANK(F148)=0,1,0)</f>
        <v/>
      </c>
      <c r="J148" s="8">
        <f>IF(COUNTBLANK(C148:E148)+COUNTBLANK(G148)=0,1,0)</f>
        <v/>
      </c>
      <c r="K148" s="8">
        <f>IF(COUNTBLANK(C148:E148)+COUNTBLANK(H148)=0,1,0)</f>
        <v/>
      </c>
    </row>
    <row r="149">
      <c r="A149" s="8" t="inlineStr">
        <is>
          <t>Ecuador</t>
        </is>
      </c>
      <c r="B149" s="8" t="n">
        <v>2006</v>
      </c>
      <c r="C149" s="18">
        <f>IF(Categorias!C150="","",Categorias!C150)</f>
        <v/>
      </c>
      <c r="D149" s="18">
        <f>IF(Categorias!H150="","",Categorias!H150)</f>
        <v/>
      </c>
      <c r="E149" s="17">
        <f>IFERROR(IF(INDEX(Gini!$C$2:$C$377,MATCH($A149&amp;"|"&amp;$B149,Gini!$E$2:$E$377,0))="","",INDEX(Gini!$C$2:$C$377,MATCH($A149&amp;"|"&amp;$B149,Gini!$E$2:$E$377,0))),"")</f>
        <v/>
      </c>
      <c r="F149" s="19">
        <f>IFERROR(IF(INDEX(Corrupcion!$E$2:$E$377,MATCH($A149&amp;"|"&amp;$B149,Corrupcion!$H$2:$H$377,0))="","",INDEX(Corrupcion!$E$2:$E$377,MATCH($A149&amp;"|"&amp;$B149,Corrupcion!$H$2:$H$377,0))),"")</f>
        <v/>
      </c>
      <c r="G149" s="20">
        <f>IFERROR(IF(INDEX(Corrupcion!$F$2:$F$377,MATCH($A149&amp;"|"&amp;$B149,Corrupcion!$H$2:$H$377,0))="","",INDEX(Corrupcion!$F$2:$F$377,MATCH($A149&amp;"|"&amp;$B149,Corrupcion!$H$2:$H$377,0))),"")</f>
        <v/>
      </c>
      <c r="H149" s="17">
        <f>IFERROR(IF(INDEX(Corrupcion!$G$2:$G$377,MATCH($A149&amp;"|"&amp;$B149,Corrupcion!$H$2:$H$377,0))="","",INDEX(Corrupcion!$G$2:$G$377,MATCH($A149&amp;"|"&amp;$B149,Corrupcion!$H$2:$H$377,0))),"")</f>
        <v/>
      </c>
      <c r="I149" s="8">
        <f>IF(COUNTBLANK(C149:E149)+COUNTBLANK(F149)=0,1,0)</f>
        <v/>
      </c>
      <c r="J149" s="8">
        <f>IF(COUNTBLANK(C149:E149)+COUNTBLANK(G149)=0,1,0)</f>
        <v/>
      </c>
      <c r="K149" s="8">
        <f>IF(COUNTBLANK(C149:E149)+COUNTBLANK(H149)=0,1,0)</f>
        <v/>
      </c>
    </row>
    <row r="150">
      <c r="A150" s="8" t="inlineStr">
        <is>
          <t>Ecuador</t>
        </is>
      </c>
      <c r="B150" s="8" t="n">
        <v>2007</v>
      </c>
      <c r="C150" s="18">
        <f>IF(Categorias!C151="","",Categorias!C151)</f>
        <v/>
      </c>
      <c r="D150" s="18">
        <f>IF(Categorias!H151="","",Categorias!H151)</f>
        <v/>
      </c>
      <c r="E150" s="17">
        <f>IFERROR(IF(INDEX(Gini!$C$2:$C$377,MATCH($A150&amp;"|"&amp;$B150,Gini!$E$2:$E$377,0))="","",INDEX(Gini!$C$2:$C$377,MATCH($A150&amp;"|"&amp;$B150,Gini!$E$2:$E$377,0))),"")</f>
        <v/>
      </c>
      <c r="F150" s="19">
        <f>IFERROR(IF(INDEX(Corrupcion!$E$2:$E$377,MATCH($A150&amp;"|"&amp;$B150,Corrupcion!$H$2:$H$377,0))="","",INDEX(Corrupcion!$E$2:$E$377,MATCH($A150&amp;"|"&amp;$B150,Corrupcion!$H$2:$H$377,0))),"")</f>
        <v/>
      </c>
      <c r="G150" s="20">
        <f>IFERROR(IF(INDEX(Corrupcion!$F$2:$F$377,MATCH($A150&amp;"|"&amp;$B150,Corrupcion!$H$2:$H$377,0))="","",INDEX(Corrupcion!$F$2:$F$377,MATCH($A150&amp;"|"&amp;$B150,Corrupcion!$H$2:$H$377,0))),"")</f>
        <v/>
      </c>
      <c r="H150" s="17">
        <f>IFERROR(IF(INDEX(Corrupcion!$G$2:$G$377,MATCH($A150&amp;"|"&amp;$B150,Corrupcion!$H$2:$H$377,0))="","",INDEX(Corrupcion!$G$2:$G$377,MATCH($A150&amp;"|"&amp;$B150,Corrupcion!$H$2:$H$377,0))),"")</f>
        <v/>
      </c>
      <c r="I150" s="8">
        <f>IF(COUNTBLANK(C150:E150)+COUNTBLANK(F150)=0,1,0)</f>
        <v/>
      </c>
      <c r="J150" s="8">
        <f>IF(COUNTBLANK(C150:E150)+COUNTBLANK(G150)=0,1,0)</f>
        <v/>
      </c>
      <c r="K150" s="8">
        <f>IF(COUNTBLANK(C150:E150)+COUNTBLANK(H150)=0,1,0)</f>
        <v/>
      </c>
    </row>
    <row r="151">
      <c r="A151" s="8" t="inlineStr">
        <is>
          <t>Ecuador</t>
        </is>
      </c>
      <c r="B151" s="8" t="n">
        <v>2008</v>
      </c>
      <c r="C151" s="18">
        <f>IF(Categorias!C152="","",Categorias!C152)</f>
        <v/>
      </c>
      <c r="D151" s="18">
        <f>IF(Categorias!H152="","",Categorias!H152)</f>
        <v/>
      </c>
      <c r="E151" s="17">
        <f>IFERROR(IF(INDEX(Gini!$C$2:$C$377,MATCH($A151&amp;"|"&amp;$B151,Gini!$E$2:$E$377,0))="","",INDEX(Gini!$C$2:$C$377,MATCH($A151&amp;"|"&amp;$B151,Gini!$E$2:$E$377,0))),"")</f>
        <v/>
      </c>
      <c r="F151" s="19">
        <f>IFERROR(IF(INDEX(Corrupcion!$E$2:$E$377,MATCH($A151&amp;"|"&amp;$B151,Corrupcion!$H$2:$H$377,0))="","",INDEX(Corrupcion!$E$2:$E$377,MATCH($A151&amp;"|"&amp;$B151,Corrupcion!$H$2:$H$377,0))),"")</f>
        <v/>
      </c>
      <c r="G151" s="20">
        <f>IFERROR(IF(INDEX(Corrupcion!$F$2:$F$377,MATCH($A151&amp;"|"&amp;$B151,Corrupcion!$H$2:$H$377,0))="","",INDEX(Corrupcion!$F$2:$F$377,MATCH($A151&amp;"|"&amp;$B151,Corrupcion!$H$2:$H$377,0))),"")</f>
        <v/>
      </c>
      <c r="H151" s="17">
        <f>IFERROR(IF(INDEX(Corrupcion!$G$2:$G$377,MATCH($A151&amp;"|"&amp;$B151,Corrupcion!$H$2:$H$377,0))="","",INDEX(Corrupcion!$G$2:$G$377,MATCH($A151&amp;"|"&amp;$B151,Corrupcion!$H$2:$H$377,0))),"")</f>
        <v/>
      </c>
      <c r="I151" s="8">
        <f>IF(COUNTBLANK(C151:E151)+COUNTBLANK(F151)=0,1,0)</f>
        <v/>
      </c>
      <c r="J151" s="8">
        <f>IF(COUNTBLANK(C151:E151)+COUNTBLANK(G151)=0,1,0)</f>
        <v/>
      </c>
      <c r="K151" s="8">
        <f>IF(COUNTBLANK(C151:E151)+COUNTBLANK(H151)=0,1,0)</f>
        <v/>
      </c>
    </row>
    <row r="152">
      <c r="A152" s="8" t="inlineStr">
        <is>
          <t>Ecuador</t>
        </is>
      </c>
      <c r="B152" s="8" t="n">
        <v>2009</v>
      </c>
      <c r="C152" s="18">
        <f>IF(Categorias!C153="","",Categorias!C153)</f>
        <v/>
      </c>
      <c r="D152" s="18">
        <f>IF(Categorias!H153="","",Categorias!H153)</f>
        <v/>
      </c>
      <c r="E152" s="17">
        <f>IFERROR(IF(INDEX(Gini!$C$2:$C$377,MATCH($A152&amp;"|"&amp;$B152,Gini!$E$2:$E$377,0))="","",INDEX(Gini!$C$2:$C$377,MATCH($A152&amp;"|"&amp;$B152,Gini!$E$2:$E$377,0))),"")</f>
        <v/>
      </c>
      <c r="F152" s="19">
        <f>IFERROR(IF(INDEX(Corrupcion!$E$2:$E$377,MATCH($A152&amp;"|"&amp;$B152,Corrupcion!$H$2:$H$377,0))="","",INDEX(Corrupcion!$E$2:$E$377,MATCH($A152&amp;"|"&amp;$B152,Corrupcion!$H$2:$H$377,0))),"")</f>
        <v/>
      </c>
      <c r="G152" s="20">
        <f>IFERROR(IF(INDEX(Corrupcion!$F$2:$F$377,MATCH($A152&amp;"|"&amp;$B152,Corrupcion!$H$2:$H$377,0))="","",INDEX(Corrupcion!$F$2:$F$377,MATCH($A152&amp;"|"&amp;$B152,Corrupcion!$H$2:$H$377,0))),"")</f>
        <v/>
      </c>
      <c r="H152" s="17">
        <f>IFERROR(IF(INDEX(Corrupcion!$G$2:$G$377,MATCH($A152&amp;"|"&amp;$B152,Corrupcion!$H$2:$H$377,0))="","",INDEX(Corrupcion!$G$2:$G$377,MATCH($A152&amp;"|"&amp;$B152,Corrupcion!$H$2:$H$377,0))),"")</f>
        <v/>
      </c>
      <c r="I152" s="8">
        <f>IF(COUNTBLANK(C152:E152)+COUNTBLANK(F152)=0,1,0)</f>
        <v/>
      </c>
      <c r="J152" s="8">
        <f>IF(COUNTBLANK(C152:E152)+COUNTBLANK(G152)=0,1,0)</f>
        <v/>
      </c>
      <c r="K152" s="8">
        <f>IF(COUNTBLANK(C152:E152)+COUNTBLANK(H152)=0,1,0)</f>
        <v/>
      </c>
    </row>
    <row r="153">
      <c r="A153" s="8" t="inlineStr">
        <is>
          <t>Ecuador</t>
        </is>
      </c>
      <c r="B153" s="8" t="n">
        <v>2010</v>
      </c>
      <c r="C153" s="18">
        <f>IF(Categorias!C154="","",Categorias!C154)</f>
        <v/>
      </c>
      <c r="D153" s="18">
        <f>IF(Categorias!H154="","",Categorias!H154)</f>
        <v/>
      </c>
      <c r="E153" s="17">
        <f>IFERROR(IF(INDEX(Gini!$C$2:$C$377,MATCH($A153&amp;"|"&amp;$B153,Gini!$E$2:$E$377,0))="","",INDEX(Gini!$C$2:$C$377,MATCH($A153&amp;"|"&amp;$B153,Gini!$E$2:$E$377,0))),"")</f>
        <v/>
      </c>
      <c r="F153" s="19">
        <f>IFERROR(IF(INDEX(Corrupcion!$E$2:$E$377,MATCH($A153&amp;"|"&amp;$B153,Corrupcion!$H$2:$H$377,0))="","",INDEX(Corrupcion!$E$2:$E$377,MATCH($A153&amp;"|"&amp;$B153,Corrupcion!$H$2:$H$377,0))),"")</f>
        <v/>
      </c>
      <c r="G153" s="20">
        <f>IFERROR(IF(INDEX(Corrupcion!$F$2:$F$377,MATCH($A153&amp;"|"&amp;$B153,Corrupcion!$H$2:$H$377,0))="","",INDEX(Corrupcion!$F$2:$F$377,MATCH($A153&amp;"|"&amp;$B153,Corrupcion!$H$2:$H$377,0))),"")</f>
        <v/>
      </c>
      <c r="H153" s="17">
        <f>IFERROR(IF(INDEX(Corrupcion!$G$2:$G$377,MATCH($A153&amp;"|"&amp;$B153,Corrupcion!$H$2:$H$377,0))="","",INDEX(Corrupcion!$G$2:$G$377,MATCH($A153&amp;"|"&amp;$B153,Corrupcion!$H$2:$H$377,0))),"")</f>
        <v/>
      </c>
      <c r="I153" s="8">
        <f>IF(COUNTBLANK(C153:E153)+COUNTBLANK(F153)=0,1,0)</f>
        <v/>
      </c>
      <c r="J153" s="8">
        <f>IF(COUNTBLANK(C153:E153)+COUNTBLANK(G153)=0,1,0)</f>
        <v/>
      </c>
      <c r="K153" s="8">
        <f>IF(COUNTBLANK(C153:E153)+COUNTBLANK(H153)=0,1,0)</f>
        <v/>
      </c>
    </row>
    <row r="154">
      <c r="A154" s="8" t="inlineStr">
        <is>
          <t>Ecuador</t>
        </is>
      </c>
      <c r="B154" s="8" t="n">
        <v>2011</v>
      </c>
      <c r="C154" s="18">
        <f>IF(Categorias!C155="","",Categorias!C155)</f>
        <v/>
      </c>
      <c r="D154" s="18">
        <f>IF(Categorias!H155="","",Categorias!H155)</f>
        <v/>
      </c>
      <c r="E154" s="17">
        <f>IFERROR(IF(INDEX(Gini!$C$2:$C$377,MATCH($A154&amp;"|"&amp;$B154,Gini!$E$2:$E$377,0))="","",INDEX(Gini!$C$2:$C$377,MATCH($A154&amp;"|"&amp;$B154,Gini!$E$2:$E$377,0))),"")</f>
        <v/>
      </c>
      <c r="F154" s="19">
        <f>IFERROR(IF(INDEX(Corrupcion!$E$2:$E$377,MATCH($A154&amp;"|"&amp;$B154,Corrupcion!$H$2:$H$377,0))="","",INDEX(Corrupcion!$E$2:$E$377,MATCH($A154&amp;"|"&amp;$B154,Corrupcion!$H$2:$H$377,0))),"")</f>
        <v/>
      </c>
      <c r="G154" s="20">
        <f>IFERROR(IF(INDEX(Corrupcion!$F$2:$F$377,MATCH($A154&amp;"|"&amp;$B154,Corrupcion!$H$2:$H$377,0))="","",INDEX(Corrupcion!$F$2:$F$377,MATCH($A154&amp;"|"&amp;$B154,Corrupcion!$H$2:$H$377,0))),"")</f>
        <v/>
      </c>
      <c r="H154" s="17">
        <f>IFERROR(IF(INDEX(Corrupcion!$G$2:$G$377,MATCH($A154&amp;"|"&amp;$B154,Corrupcion!$H$2:$H$377,0))="","",INDEX(Corrupcion!$G$2:$G$377,MATCH($A154&amp;"|"&amp;$B154,Corrupcion!$H$2:$H$377,0))),"")</f>
        <v/>
      </c>
      <c r="I154" s="8">
        <f>IF(COUNTBLANK(C154:E154)+COUNTBLANK(F154)=0,1,0)</f>
        <v/>
      </c>
      <c r="J154" s="8">
        <f>IF(COUNTBLANK(C154:E154)+COUNTBLANK(G154)=0,1,0)</f>
        <v/>
      </c>
      <c r="K154" s="8">
        <f>IF(COUNTBLANK(C154:E154)+COUNTBLANK(H154)=0,1,0)</f>
        <v/>
      </c>
    </row>
    <row r="155">
      <c r="A155" s="8" t="inlineStr">
        <is>
          <t>Ecuador</t>
        </is>
      </c>
      <c r="B155" s="8" t="n">
        <v>2016</v>
      </c>
      <c r="C155" s="18">
        <f>IF(Categorias!C156="","",Categorias!C156)</f>
        <v/>
      </c>
      <c r="D155" s="18">
        <f>IF(Categorias!H156="","",Categorias!H156)</f>
        <v/>
      </c>
      <c r="E155" s="17">
        <f>IFERROR(IF(INDEX(Gini!$C$2:$C$377,MATCH($A155&amp;"|"&amp;$B155,Gini!$E$2:$E$377,0))="","",INDEX(Gini!$C$2:$C$377,MATCH($A155&amp;"|"&amp;$B155,Gini!$E$2:$E$377,0))),"")</f>
        <v/>
      </c>
      <c r="F155" s="19">
        <f>IFERROR(IF(INDEX(Corrupcion!$E$2:$E$377,MATCH($A155&amp;"|"&amp;$B155,Corrupcion!$H$2:$H$377,0))="","",INDEX(Corrupcion!$E$2:$E$377,MATCH($A155&amp;"|"&amp;$B155,Corrupcion!$H$2:$H$377,0))),"")</f>
        <v/>
      </c>
      <c r="G155" s="20">
        <f>IFERROR(IF(INDEX(Corrupcion!$F$2:$F$377,MATCH($A155&amp;"|"&amp;$B155,Corrupcion!$H$2:$H$377,0))="","",INDEX(Corrupcion!$F$2:$F$377,MATCH($A155&amp;"|"&amp;$B155,Corrupcion!$H$2:$H$377,0))),"")</f>
        <v/>
      </c>
      <c r="H155" s="17">
        <f>IFERROR(IF(INDEX(Corrupcion!$G$2:$G$377,MATCH($A155&amp;"|"&amp;$B155,Corrupcion!$H$2:$H$377,0))="","",INDEX(Corrupcion!$G$2:$G$377,MATCH($A155&amp;"|"&amp;$B155,Corrupcion!$H$2:$H$377,0))),"")</f>
        <v/>
      </c>
      <c r="I155" s="8">
        <f>IF(COUNTBLANK(C155:E155)+COUNTBLANK(F155)=0,1,0)</f>
        <v/>
      </c>
      <c r="J155" s="8">
        <f>IF(COUNTBLANK(C155:E155)+COUNTBLANK(G155)=0,1,0)</f>
        <v/>
      </c>
      <c r="K155" s="8">
        <f>IF(COUNTBLANK(C155:E155)+COUNTBLANK(H155)=0,1,0)</f>
        <v/>
      </c>
    </row>
    <row r="156">
      <c r="A156" s="8" t="inlineStr">
        <is>
          <t>Ecuador</t>
        </is>
      </c>
      <c r="B156" s="8" t="n">
        <v>2017</v>
      </c>
      <c r="C156" s="18">
        <f>IF(Categorias!C157="","",Categorias!C157)</f>
        <v/>
      </c>
      <c r="D156" s="18">
        <f>IF(Categorias!H157="","",Categorias!H157)</f>
        <v/>
      </c>
      <c r="E156" s="17">
        <f>IFERROR(IF(INDEX(Gini!$C$2:$C$377,MATCH($A156&amp;"|"&amp;$B156,Gini!$E$2:$E$377,0))="","",INDEX(Gini!$C$2:$C$377,MATCH($A156&amp;"|"&amp;$B156,Gini!$E$2:$E$377,0))),"")</f>
        <v/>
      </c>
      <c r="F156" s="19">
        <f>IFERROR(IF(INDEX(Corrupcion!$E$2:$E$377,MATCH($A156&amp;"|"&amp;$B156,Corrupcion!$H$2:$H$377,0))="","",INDEX(Corrupcion!$E$2:$E$377,MATCH($A156&amp;"|"&amp;$B156,Corrupcion!$H$2:$H$377,0))),"")</f>
        <v/>
      </c>
      <c r="G156" s="20">
        <f>IFERROR(IF(INDEX(Corrupcion!$F$2:$F$377,MATCH($A156&amp;"|"&amp;$B156,Corrupcion!$H$2:$H$377,0))="","",INDEX(Corrupcion!$F$2:$F$377,MATCH($A156&amp;"|"&amp;$B156,Corrupcion!$H$2:$H$377,0))),"")</f>
        <v/>
      </c>
      <c r="H156" s="17">
        <f>IFERROR(IF(INDEX(Corrupcion!$G$2:$G$377,MATCH($A156&amp;"|"&amp;$B156,Corrupcion!$H$2:$H$377,0))="","",INDEX(Corrupcion!$G$2:$G$377,MATCH($A156&amp;"|"&amp;$B156,Corrupcion!$H$2:$H$377,0))),"")</f>
        <v/>
      </c>
      <c r="I156" s="8">
        <f>IF(COUNTBLANK(C156:E156)+COUNTBLANK(F156)=0,1,0)</f>
        <v/>
      </c>
      <c r="J156" s="8">
        <f>IF(COUNTBLANK(C156:E156)+COUNTBLANK(G156)=0,1,0)</f>
        <v/>
      </c>
      <c r="K156" s="8">
        <f>IF(COUNTBLANK(C156:E156)+COUNTBLANK(H156)=0,1,0)</f>
        <v/>
      </c>
    </row>
    <row r="157">
      <c r="A157" s="8" t="inlineStr">
        <is>
          <t>Ecuador</t>
        </is>
      </c>
      <c r="B157" s="8" t="n">
        <v>2018</v>
      </c>
      <c r="C157" s="18">
        <f>IF(Categorias!C158="","",Categorias!C158)</f>
        <v/>
      </c>
      <c r="D157" s="18">
        <f>IF(Categorias!H158="","",Categorias!H158)</f>
        <v/>
      </c>
      <c r="E157" s="17">
        <f>IFERROR(IF(INDEX(Gini!$C$2:$C$377,MATCH($A157&amp;"|"&amp;$B157,Gini!$E$2:$E$377,0))="","",INDEX(Gini!$C$2:$C$377,MATCH($A157&amp;"|"&amp;$B157,Gini!$E$2:$E$377,0))),"")</f>
        <v/>
      </c>
      <c r="F157" s="19">
        <f>IFERROR(IF(INDEX(Corrupcion!$E$2:$E$377,MATCH($A157&amp;"|"&amp;$B157,Corrupcion!$H$2:$H$377,0))="","",INDEX(Corrupcion!$E$2:$E$377,MATCH($A157&amp;"|"&amp;$B157,Corrupcion!$H$2:$H$377,0))),"")</f>
        <v/>
      </c>
      <c r="G157" s="20">
        <f>IFERROR(IF(INDEX(Corrupcion!$F$2:$F$377,MATCH($A157&amp;"|"&amp;$B157,Corrupcion!$H$2:$H$377,0))="","",INDEX(Corrupcion!$F$2:$F$377,MATCH($A157&amp;"|"&amp;$B157,Corrupcion!$H$2:$H$377,0))),"")</f>
        <v/>
      </c>
      <c r="H157" s="17">
        <f>IFERROR(IF(INDEX(Corrupcion!$G$2:$G$377,MATCH($A157&amp;"|"&amp;$B157,Corrupcion!$H$2:$H$377,0))="","",INDEX(Corrupcion!$G$2:$G$377,MATCH($A157&amp;"|"&amp;$B157,Corrupcion!$H$2:$H$377,0))),"")</f>
        <v/>
      </c>
      <c r="I157" s="8">
        <f>IF(COUNTBLANK(C157:E157)+COUNTBLANK(F157)=0,1,0)</f>
        <v/>
      </c>
      <c r="J157" s="8">
        <f>IF(COUNTBLANK(C157:E157)+COUNTBLANK(G157)=0,1,0)</f>
        <v/>
      </c>
      <c r="K157" s="8">
        <f>IF(COUNTBLANK(C157:E157)+COUNTBLANK(H157)=0,1,0)</f>
        <v/>
      </c>
    </row>
    <row r="158">
      <c r="A158" s="8" t="inlineStr">
        <is>
          <t>Ecuador</t>
        </is>
      </c>
      <c r="B158" s="8" t="n">
        <v>2020</v>
      </c>
      <c r="C158" s="18">
        <f>IF(Categorias!C159="","",Categorias!C159)</f>
        <v/>
      </c>
      <c r="D158" s="18">
        <f>IF(Categorias!H159="","",Categorias!H159)</f>
        <v/>
      </c>
      <c r="E158" s="17">
        <f>IFERROR(IF(INDEX(Gini!$C$2:$C$377,MATCH($A158&amp;"|"&amp;$B158,Gini!$E$2:$E$377,0))="","",INDEX(Gini!$C$2:$C$377,MATCH($A158&amp;"|"&amp;$B158,Gini!$E$2:$E$377,0))),"")</f>
        <v/>
      </c>
      <c r="F158" s="19">
        <f>IFERROR(IF(INDEX(Corrupcion!$E$2:$E$377,MATCH($A158&amp;"|"&amp;$B158,Corrupcion!$H$2:$H$377,0))="","",INDEX(Corrupcion!$E$2:$E$377,MATCH($A158&amp;"|"&amp;$B158,Corrupcion!$H$2:$H$377,0))),"")</f>
        <v/>
      </c>
      <c r="G158" s="20">
        <f>IFERROR(IF(INDEX(Corrupcion!$F$2:$F$377,MATCH($A158&amp;"|"&amp;$B158,Corrupcion!$H$2:$H$377,0))="","",INDEX(Corrupcion!$F$2:$F$377,MATCH($A158&amp;"|"&amp;$B158,Corrupcion!$H$2:$H$377,0))),"")</f>
        <v/>
      </c>
      <c r="H158" s="17">
        <f>IFERROR(IF(INDEX(Corrupcion!$G$2:$G$377,MATCH($A158&amp;"|"&amp;$B158,Corrupcion!$H$2:$H$377,0))="","",INDEX(Corrupcion!$G$2:$G$377,MATCH($A158&amp;"|"&amp;$B158,Corrupcion!$H$2:$H$377,0))),"")</f>
        <v/>
      </c>
      <c r="I158" s="8">
        <f>IF(COUNTBLANK(C158:E158)+COUNTBLANK(F158)=0,1,0)</f>
        <v/>
      </c>
      <c r="J158" s="8">
        <f>IF(COUNTBLANK(C158:E158)+COUNTBLANK(G158)=0,1,0)</f>
        <v/>
      </c>
      <c r="K158" s="8">
        <f>IF(COUNTBLANK(C158:E158)+COUNTBLANK(H158)=0,1,0)</f>
        <v/>
      </c>
    </row>
    <row r="159">
      <c r="A159" s="8" t="inlineStr">
        <is>
          <t>Ecuador</t>
        </is>
      </c>
      <c r="B159" s="8" t="n">
        <v>2024</v>
      </c>
      <c r="C159" s="18">
        <f>IF(Categorias!C160="","",Categorias!C160)</f>
        <v/>
      </c>
      <c r="D159" s="18">
        <f>IF(Categorias!H160="","",Categorias!H160)</f>
        <v/>
      </c>
      <c r="E159" s="17">
        <f>IFERROR(IF(INDEX(Gini!$C$2:$C$377,MATCH($A159&amp;"|"&amp;$B159,Gini!$E$2:$E$377,0))="","",INDEX(Gini!$C$2:$C$377,MATCH($A159&amp;"|"&amp;$B159,Gini!$E$2:$E$377,0))),"")</f>
        <v/>
      </c>
      <c r="F159" s="19">
        <f>IFERROR(IF(INDEX(Corrupcion!$E$2:$E$377,MATCH($A159&amp;"|"&amp;$B159,Corrupcion!$H$2:$H$377,0))="","",INDEX(Corrupcion!$E$2:$E$377,MATCH($A159&amp;"|"&amp;$B159,Corrupcion!$H$2:$H$377,0))),"")</f>
        <v/>
      </c>
      <c r="G159" s="20">
        <f>IFERROR(IF(INDEX(Corrupcion!$F$2:$F$377,MATCH($A159&amp;"|"&amp;$B159,Corrupcion!$H$2:$H$377,0))="","",INDEX(Corrupcion!$F$2:$F$377,MATCH($A159&amp;"|"&amp;$B159,Corrupcion!$H$2:$H$377,0))),"")</f>
        <v/>
      </c>
      <c r="H159" s="17">
        <f>IFERROR(IF(INDEX(Corrupcion!$G$2:$G$377,MATCH($A159&amp;"|"&amp;$B159,Corrupcion!$H$2:$H$377,0))="","",INDEX(Corrupcion!$G$2:$G$377,MATCH($A159&amp;"|"&amp;$B159,Corrupcion!$H$2:$H$377,0))),"")</f>
        <v/>
      </c>
      <c r="I159" s="8">
        <f>IF(COUNTBLANK(C159:E159)+COUNTBLANK(F159)=0,1,0)</f>
        <v/>
      </c>
      <c r="J159" s="8">
        <f>IF(COUNTBLANK(C159:E159)+COUNTBLANK(G159)=0,1,0)</f>
        <v/>
      </c>
      <c r="K159" s="8">
        <f>IF(COUNTBLANK(C159:E159)+COUNTBLANK(H159)=0,1,0)</f>
        <v/>
      </c>
    </row>
    <row r="160">
      <c r="A160" s="8" t="inlineStr">
        <is>
          <t>El Salvador</t>
        </is>
      </c>
      <c r="B160" s="8" t="n">
        <v>1996</v>
      </c>
      <c r="C160" s="18">
        <f>IF(Categorias!C161="","",Categorias!C161)</f>
        <v/>
      </c>
      <c r="D160" s="18">
        <f>IF(Categorias!H161="","",Categorias!H161)</f>
        <v/>
      </c>
      <c r="E160" s="17">
        <f>IFERROR(IF(INDEX(Gini!$C$2:$C$377,MATCH($A160&amp;"|"&amp;$B160,Gini!$E$2:$E$377,0))="","",INDEX(Gini!$C$2:$C$377,MATCH($A160&amp;"|"&amp;$B160,Gini!$E$2:$E$377,0))),"")</f>
        <v/>
      </c>
      <c r="F160" s="19">
        <f>IFERROR(IF(INDEX(Corrupcion!$E$2:$E$377,MATCH($A160&amp;"|"&amp;$B160,Corrupcion!$H$2:$H$377,0))="","",INDEX(Corrupcion!$E$2:$E$377,MATCH($A160&amp;"|"&amp;$B160,Corrupcion!$H$2:$H$377,0))),"")</f>
        <v/>
      </c>
      <c r="G160" s="20">
        <f>IFERROR(IF(INDEX(Corrupcion!$F$2:$F$377,MATCH($A160&amp;"|"&amp;$B160,Corrupcion!$H$2:$H$377,0))="","",INDEX(Corrupcion!$F$2:$F$377,MATCH($A160&amp;"|"&amp;$B160,Corrupcion!$H$2:$H$377,0))),"")</f>
        <v/>
      </c>
      <c r="H160" s="17">
        <f>IFERROR(IF(INDEX(Corrupcion!$G$2:$G$377,MATCH($A160&amp;"|"&amp;$B160,Corrupcion!$H$2:$H$377,0))="","",INDEX(Corrupcion!$G$2:$G$377,MATCH($A160&amp;"|"&amp;$B160,Corrupcion!$H$2:$H$377,0))),"")</f>
        <v/>
      </c>
      <c r="I160" s="8">
        <f>IF(COUNTBLANK(C160:E160)+COUNTBLANK(F160)=0,1,0)</f>
        <v/>
      </c>
      <c r="J160" s="8">
        <f>IF(COUNTBLANK(C160:E160)+COUNTBLANK(G160)=0,1,0)</f>
        <v/>
      </c>
      <c r="K160" s="8">
        <f>IF(COUNTBLANK(C160:E160)+COUNTBLANK(H160)=0,1,0)</f>
        <v/>
      </c>
    </row>
    <row r="161">
      <c r="A161" s="8" t="inlineStr">
        <is>
          <t>El Salvador</t>
        </is>
      </c>
      <c r="B161" s="8" t="n">
        <v>1997</v>
      </c>
      <c r="C161" s="18">
        <f>IF(Categorias!C162="","",Categorias!C162)</f>
        <v/>
      </c>
      <c r="D161" s="18">
        <f>IF(Categorias!H162="","",Categorias!H162)</f>
        <v/>
      </c>
      <c r="E161" s="17">
        <f>IFERROR(IF(INDEX(Gini!$C$2:$C$377,MATCH($A161&amp;"|"&amp;$B161,Gini!$E$2:$E$377,0))="","",INDEX(Gini!$C$2:$C$377,MATCH($A161&amp;"|"&amp;$B161,Gini!$E$2:$E$377,0))),"")</f>
        <v/>
      </c>
      <c r="F161" s="19">
        <f>IFERROR(IF(INDEX(Corrupcion!$E$2:$E$377,MATCH($A161&amp;"|"&amp;$B161,Corrupcion!$H$2:$H$377,0))="","",INDEX(Corrupcion!$E$2:$E$377,MATCH($A161&amp;"|"&amp;$B161,Corrupcion!$H$2:$H$377,0))),"")</f>
        <v/>
      </c>
      <c r="G161" s="20">
        <f>IFERROR(IF(INDEX(Corrupcion!$F$2:$F$377,MATCH($A161&amp;"|"&amp;$B161,Corrupcion!$H$2:$H$377,0))="","",INDEX(Corrupcion!$F$2:$F$377,MATCH($A161&amp;"|"&amp;$B161,Corrupcion!$H$2:$H$377,0))),"")</f>
        <v/>
      </c>
      <c r="H161" s="17">
        <f>IFERROR(IF(INDEX(Corrupcion!$G$2:$G$377,MATCH($A161&amp;"|"&amp;$B161,Corrupcion!$H$2:$H$377,0))="","",INDEX(Corrupcion!$G$2:$G$377,MATCH($A161&amp;"|"&amp;$B161,Corrupcion!$H$2:$H$377,0))),"")</f>
        <v/>
      </c>
      <c r="I161" s="8">
        <f>IF(COUNTBLANK(C161:E161)+COUNTBLANK(F161)=0,1,0)</f>
        <v/>
      </c>
      <c r="J161" s="8">
        <f>IF(COUNTBLANK(C161:E161)+COUNTBLANK(G161)=0,1,0)</f>
        <v/>
      </c>
      <c r="K161" s="8">
        <f>IF(COUNTBLANK(C161:E161)+COUNTBLANK(H161)=0,1,0)</f>
        <v/>
      </c>
    </row>
    <row r="162">
      <c r="A162" s="8" t="inlineStr">
        <is>
          <t>El Salvador</t>
        </is>
      </c>
      <c r="B162" s="8" t="n">
        <v>1998</v>
      </c>
      <c r="C162" s="18">
        <f>IF(Categorias!C163="","",Categorias!C163)</f>
        <v/>
      </c>
      <c r="D162" s="18">
        <f>IF(Categorias!H163="","",Categorias!H163)</f>
        <v/>
      </c>
      <c r="E162" s="17">
        <f>IFERROR(IF(INDEX(Gini!$C$2:$C$377,MATCH($A162&amp;"|"&amp;$B162,Gini!$E$2:$E$377,0))="","",INDEX(Gini!$C$2:$C$377,MATCH($A162&amp;"|"&amp;$B162,Gini!$E$2:$E$377,0))),"")</f>
        <v/>
      </c>
      <c r="F162" s="19">
        <f>IFERROR(IF(INDEX(Corrupcion!$E$2:$E$377,MATCH($A162&amp;"|"&amp;$B162,Corrupcion!$H$2:$H$377,0))="","",INDEX(Corrupcion!$E$2:$E$377,MATCH($A162&amp;"|"&amp;$B162,Corrupcion!$H$2:$H$377,0))),"")</f>
        <v/>
      </c>
      <c r="G162" s="20">
        <f>IFERROR(IF(INDEX(Corrupcion!$F$2:$F$377,MATCH($A162&amp;"|"&amp;$B162,Corrupcion!$H$2:$H$377,0))="","",INDEX(Corrupcion!$F$2:$F$377,MATCH($A162&amp;"|"&amp;$B162,Corrupcion!$H$2:$H$377,0))),"")</f>
        <v/>
      </c>
      <c r="H162" s="17">
        <f>IFERROR(IF(INDEX(Corrupcion!$G$2:$G$377,MATCH($A162&amp;"|"&amp;$B162,Corrupcion!$H$2:$H$377,0))="","",INDEX(Corrupcion!$G$2:$G$377,MATCH($A162&amp;"|"&amp;$B162,Corrupcion!$H$2:$H$377,0))),"")</f>
        <v/>
      </c>
      <c r="I162" s="8">
        <f>IF(COUNTBLANK(C162:E162)+COUNTBLANK(F162)=0,1,0)</f>
        <v/>
      </c>
      <c r="J162" s="8">
        <f>IF(COUNTBLANK(C162:E162)+COUNTBLANK(G162)=0,1,0)</f>
        <v/>
      </c>
      <c r="K162" s="8">
        <f>IF(COUNTBLANK(C162:E162)+COUNTBLANK(H162)=0,1,0)</f>
        <v/>
      </c>
    </row>
    <row r="163">
      <c r="A163" s="8" t="inlineStr">
        <is>
          <t>El Salvador</t>
        </is>
      </c>
      <c r="B163" s="8" t="n">
        <v>2000</v>
      </c>
      <c r="C163" s="18">
        <f>IF(Categorias!C164="","",Categorias!C164)</f>
        <v/>
      </c>
      <c r="D163" s="18">
        <f>IF(Categorias!H164="","",Categorias!H164)</f>
        <v/>
      </c>
      <c r="E163" s="17">
        <f>IFERROR(IF(INDEX(Gini!$C$2:$C$377,MATCH($A163&amp;"|"&amp;$B163,Gini!$E$2:$E$377,0))="","",INDEX(Gini!$C$2:$C$377,MATCH($A163&amp;"|"&amp;$B163,Gini!$E$2:$E$377,0))),"")</f>
        <v/>
      </c>
      <c r="F163" s="19">
        <f>IFERROR(IF(INDEX(Corrupcion!$E$2:$E$377,MATCH($A163&amp;"|"&amp;$B163,Corrupcion!$H$2:$H$377,0))="","",INDEX(Corrupcion!$E$2:$E$377,MATCH($A163&amp;"|"&amp;$B163,Corrupcion!$H$2:$H$377,0))),"")</f>
        <v/>
      </c>
      <c r="G163" s="20">
        <f>IFERROR(IF(INDEX(Corrupcion!$F$2:$F$377,MATCH($A163&amp;"|"&amp;$B163,Corrupcion!$H$2:$H$377,0))="","",INDEX(Corrupcion!$F$2:$F$377,MATCH($A163&amp;"|"&amp;$B163,Corrupcion!$H$2:$H$377,0))),"")</f>
        <v/>
      </c>
      <c r="H163" s="17">
        <f>IFERROR(IF(INDEX(Corrupcion!$G$2:$G$377,MATCH($A163&amp;"|"&amp;$B163,Corrupcion!$H$2:$H$377,0))="","",INDEX(Corrupcion!$G$2:$G$377,MATCH($A163&amp;"|"&amp;$B163,Corrupcion!$H$2:$H$377,0))),"")</f>
        <v/>
      </c>
      <c r="I163" s="8">
        <f>IF(COUNTBLANK(C163:E163)+COUNTBLANK(F163)=0,1,0)</f>
        <v/>
      </c>
      <c r="J163" s="8">
        <f>IF(COUNTBLANK(C163:E163)+COUNTBLANK(G163)=0,1,0)</f>
        <v/>
      </c>
      <c r="K163" s="8">
        <f>IF(COUNTBLANK(C163:E163)+COUNTBLANK(H163)=0,1,0)</f>
        <v/>
      </c>
    </row>
    <row r="164">
      <c r="A164" s="8" t="inlineStr">
        <is>
          <t>El Salvador</t>
        </is>
      </c>
      <c r="B164" s="8" t="n">
        <v>2001</v>
      </c>
      <c r="C164" s="18">
        <f>IF(Categorias!C165="","",Categorias!C165)</f>
        <v/>
      </c>
      <c r="D164" s="18">
        <f>IF(Categorias!H165="","",Categorias!H165)</f>
        <v/>
      </c>
      <c r="E164" s="17">
        <f>IFERROR(IF(INDEX(Gini!$C$2:$C$377,MATCH($A164&amp;"|"&amp;$B164,Gini!$E$2:$E$377,0))="","",INDEX(Gini!$C$2:$C$377,MATCH($A164&amp;"|"&amp;$B164,Gini!$E$2:$E$377,0))),"")</f>
        <v/>
      </c>
      <c r="F164" s="19">
        <f>IFERROR(IF(INDEX(Corrupcion!$E$2:$E$377,MATCH($A164&amp;"|"&amp;$B164,Corrupcion!$H$2:$H$377,0))="","",INDEX(Corrupcion!$E$2:$E$377,MATCH($A164&amp;"|"&amp;$B164,Corrupcion!$H$2:$H$377,0))),"")</f>
        <v/>
      </c>
      <c r="G164" s="20">
        <f>IFERROR(IF(INDEX(Corrupcion!$F$2:$F$377,MATCH($A164&amp;"|"&amp;$B164,Corrupcion!$H$2:$H$377,0))="","",INDEX(Corrupcion!$F$2:$F$377,MATCH($A164&amp;"|"&amp;$B164,Corrupcion!$H$2:$H$377,0))),"")</f>
        <v/>
      </c>
      <c r="H164" s="17">
        <f>IFERROR(IF(INDEX(Corrupcion!$G$2:$G$377,MATCH($A164&amp;"|"&amp;$B164,Corrupcion!$H$2:$H$377,0))="","",INDEX(Corrupcion!$G$2:$G$377,MATCH($A164&amp;"|"&amp;$B164,Corrupcion!$H$2:$H$377,0))),"")</f>
        <v/>
      </c>
      <c r="I164" s="8">
        <f>IF(COUNTBLANK(C164:E164)+COUNTBLANK(F164)=0,1,0)</f>
        <v/>
      </c>
      <c r="J164" s="8">
        <f>IF(COUNTBLANK(C164:E164)+COUNTBLANK(G164)=0,1,0)</f>
        <v/>
      </c>
      <c r="K164" s="8">
        <f>IF(COUNTBLANK(C164:E164)+COUNTBLANK(H164)=0,1,0)</f>
        <v/>
      </c>
    </row>
    <row r="165">
      <c r="A165" s="8" t="inlineStr">
        <is>
          <t>El Salvador</t>
        </is>
      </c>
      <c r="B165" s="8" t="n">
        <v>2002</v>
      </c>
      <c r="C165" s="18">
        <f>IF(Categorias!C166="","",Categorias!C166)</f>
        <v/>
      </c>
      <c r="D165" s="18">
        <f>IF(Categorias!H166="","",Categorias!H166)</f>
        <v/>
      </c>
      <c r="E165" s="17">
        <f>IFERROR(IF(INDEX(Gini!$C$2:$C$377,MATCH($A165&amp;"|"&amp;$B165,Gini!$E$2:$E$377,0))="","",INDEX(Gini!$C$2:$C$377,MATCH($A165&amp;"|"&amp;$B165,Gini!$E$2:$E$377,0))),"")</f>
        <v/>
      </c>
      <c r="F165" s="19">
        <f>IFERROR(IF(INDEX(Corrupcion!$E$2:$E$377,MATCH($A165&amp;"|"&amp;$B165,Corrupcion!$H$2:$H$377,0))="","",INDEX(Corrupcion!$E$2:$E$377,MATCH($A165&amp;"|"&amp;$B165,Corrupcion!$H$2:$H$377,0))),"")</f>
        <v/>
      </c>
      <c r="G165" s="20">
        <f>IFERROR(IF(INDEX(Corrupcion!$F$2:$F$377,MATCH($A165&amp;"|"&amp;$B165,Corrupcion!$H$2:$H$377,0))="","",INDEX(Corrupcion!$F$2:$F$377,MATCH($A165&amp;"|"&amp;$B165,Corrupcion!$H$2:$H$377,0))),"")</f>
        <v/>
      </c>
      <c r="H165" s="17">
        <f>IFERROR(IF(INDEX(Corrupcion!$G$2:$G$377,MATCH($A165&amp;"|"&amp;$B165,Corrupcion!$H$2:$H$377,0))="","",INDEX(Corrupcion!$G$2:$G$377,MATCH($A165&amp;"|"&amp;$B165,Corrupcion!$H$2:$H$377,0))),"")</f>
        <v/>
      </c>
      <c r="I165" s="8">
        <f>IF(COUNTBLANK(C165:E165)+COUNTBLANK(F165)=0,1,0)</f>
        <v/>
      </c>
      <c r="J165" s="8">
        <f>IF(COUNTBLANK(C165:E165)+COUNTBLANK(G165)=0,1,0)</f>
        <v/>
      </c>
      <c r="K165" s="8">
        <f>IF(COUNTBLANK(C165:E165)+COUNTBLANK(H165)=0,1,0)</f>
        <v/>
      </c>
    </row>
    <row r="166">
      <c r="A166" s="8" t="inlineStr">
        <is>
          <t>El Salvador</t>
        </is>
      </c>
      <c r="B166" s="8" t="n">
        <v>2003</v>
      </c>
      <c r="C166" s="18">
        <f>IF(Categorias!C167="","",Categorias!C167)</f>
        <v/>
      </c>
      <c r="D166" s="18">
        <f>IF(Categorias!H167="","",Categorias!H167)</f>
        <v/>
      </c>
      <c r="E166" s="17">
        <f>IFERROR(IF(INDEX(Gini!$C$2:$C$377,MATCH($A166&amp;"|"&amp;$B166,Gini!$E$2:$E$377,0))="","",INDEX(Gini!$C$2:$C$377,MATCH($A166&amp;"|"&amp;$B166,Gini!$E$2:$E$377,0))),"")</f>
        <v/>
      </c>
      <c r="F166" s="19">
        <f>IFERROR(IF(INDEX(Corrupcion!$E$2:$E$377,MATCH($A166&amp;"|"&amp;$B166,Corrupcion!$H$2:$H$377,0))="","",INDEX(Corrupcion!$E$2:$E$377,MATCH($A166&amp;"|"&amp;$B166,Corrupcion!$H$2:$H$377,0))),"")</f>
        <v/>
      </c>
      <c r="G166" s="20">
        <f>IFERROR(IF(INDEX(Corrupcion!$F$2:$F$377,MATCH($A166&amp;"|"&amp;$B166,Corrupcion!$H$2:$H$377,0))="","",INDEX(Corrupcion!$F$2:$F$377,MATCH($A166&amp;"|"&amp;$B166,Corrupcion!$H$2:$H$377,0))),"")</f>
        <v/>
      </c>
      <c r="H166" s="17">
        <f>IFERROR(IF(INDEX(Corrupcion!$G$2:$G$377,MATCH($A166&amp;"|"&amp;$B166,Corrupcion!$H$2:$H$377,0))="","",INDEX(Corrupcion!$G$2:$G$377,MATCH($A166&amp;"|"&amp;$B166,Corrupcion!$H$2:$H$377,0))),"")</f>
        <v/>
      </c>
      <c r="I166" s="8">
        <f>IF(COUNTBLANK(C166:E166)+COUNTBLANK(F166)=0,1,0)</f>
        <v/>
      </c>
      <c r="J166" s="8">
        <f>IF(COUNTBLANK(C166:E166)+COUNTBLANK(G166)=0,1,0)</f>
        <v/>
      </c>
      <c r="K166" s="8">
        <f>IF(COUNTBLANK(C166:E166)+COUNTBLANK(H166)=0,1,0)</f>
        <v/>
      </c>
    </row>
    <row r="167">
      <c r="A167" s="8" t="inlineStr">
        <is>
          <t>El Salvador</t>
        </is>
      </c>
      <c r="B167" s="8" t="n">
        <v>2004</v>
      </c>
      <c r="C167" s="18">
        <f>IF(Categorias!C168="","",Categorias!C168)</f>
        <v/>
      </c>
      <c r="D167" s="18">
        <f>IF(Categorias!H168="","",Categorias!H168)</f>
        <v/>
      </c>
      <c r="E167" s="17">
        <f>IFERROR(IF(INDEX(Gini!$C$2:$C$377,MATCH($A167&amp;"|"&amp;$B167,Gini!$E$2:$E$377,0))="","",INDEX(Gini!$C$2:$C$377,MATCH($A167&amp;"|"&amp;$B167,Gini!$E$2:$E$377,0))),"")</f>
        <v/>
      </c>
      <c r="F167" s="19">
        <f>IFERROR(IF(INDEX(Corrupcion!$E$2:$E$377,MATCH($A167&amp;"|"&amp;$B167,Corrupcion!$H$2:$H$377,0))="","",INDEX(Corrupcion!$E$2:$E$377,MATCH($A167&amp;"|"&amp;$B167,Corrupcion!$H$2:$H$377,0))),"")</f>
        <v/>
      </c>
      <c r="G167" s="20">
        <f>IFERROR(IF(INDEX(Corrupcion!$F$2:$F$377,MATCH($A167&amp;"|"&amp;$B167,Corrupcion!$H$2:$H$377,0))="","",INDEX(Corrupcion!$F$2:$F$377,MATCH($A167&amp;"|"&amp;$B167,Corrupcion!$H$2:$H$377,0))),"")</f>
        <v/>
      </c>
      <c r="H167" s="17">
        <f>IFERROR(IF(INDEX(Corrupcion!$G$2:$G$377,MATCH($A167&amp;"|"&amp;$B167,Corrupcion!$H$2:$H$377,0))="","",INDEX(Corrupcion!$G$2:$G$377,MATCH($A167&amp;"|"&amp;$B167,Corrupcion!$H$2:$H$377,0))),"")</f>
        <v/>
      </c>
      <c r="I167" s="8">
        <f>IF(COUNTBLANK(C167:E167)+COUNTBLANK(F167)=0,1,0)</f>
        <v/>
      </c>
      <c r="J167" s="8">
        <f>IF(COUNTBLANK(C167:E167)+COUNTBLANK(G167)=0,1,0)</f>
        <v/>
      </c>
      <c r="K167" s="8">
        <f>IF(COUNTBLANK(C167:E167)+COUNTBLANK(H167)=0,1,0)</f>
        <v/>
      </c>
    </row>
    <row r="168">
      <c r="A168" s="8" t="inlineStr">
        <is>
          <t>El Salvador</t>
        </is>
      </c>
      <c r="B168" s="8" t="n">
        <v>2005</v>
      </c>
      <c r="C168" s="18">
        <f>IF(Categorias!C169="","",Categorias!C169)</f>
        <v/>
      </c>
      <c r="D168" s="18">
        <f>IF(Categorias!H169="","",Categorias!H169)</f>
        <v/>
      </c>
      <c r="E168" s="17">
        <f>IFERROR(IF(INDEX(Gini!$C$2:$C$377,MATCH($A168&amp;"|"&amp;$B168,Gini!$E$2:$E$377,0))="","",INDEX(Gini!$C$2:$C$377,MATCH($A168&amp;"|"&amp;$B168,Gini!$E$2:$E$377,0))),"")</f>
        <v/>
      </c>
      <c r="F168" s="19">
        <f>IFERROR(IF(INDEX(Corrupcion!$E$2:$E$377,MATCH($A168&amp;"|"&amp;$B168,Corrupcion!$H$2:$H$377,0))="","",INDEX(Corrupcion!$E$2:$E$377,MATCH($A168&amp;"|"&amp;$B168,Corrupcion!$H$2:$H$377,0))),"")</f>
        <v/>
      </c>
      <c r="G168" s="20">
        <f>IFERROR(IF(INDEX(Corrupcion!$F$2:$F$377,MATCH($A168&amp;"|"&amp;$B168,Corrupcion!$H$2:$H$377,0))="","",INDEX(Corrupcion!$F$2:$F$377,MATCH($A168&amp;"|"&amp;$B168,Corrupcion!$H$2:$H$377,0))),"")</f>
        <v/>
      </c>
      <c r="H168" s="17">
        <f>IFERROR(IF(INDEX(Corrupcion!$G$2:$G$377,MATCH($A168&amp;"|"&amp;$B168,Corrupcion!$H$2:$H$377,0))="","",INDEX(Corrupcion!$G$2:$G$377,MATCH($A168&amp;"|"&amp;$B168,Corrupcion!$H$2:$H$377,0))),"")</f>
        <v/>
      </c>
      <c r="I168" s="8">
        <f>IF(COUNTBLANK(C168:E168)+COUNTBLANK(F168)=0,1,0)</f>
        <v/>
      </c>
      <c r="J168" s="8">
        <f>IF(COUNTBLANK(C168:E168)+COUNTBLANK(G168)=0,1,0)</f>
        <v/>
      </c>
      <c r="K168" s="8">
        <f>IF(COUNTBLANK(C168:E168)+COUNTBLANK(H168)=0,1,0)</f>
        <v/>
      </c>
    </row>
    <row r="169">
      <c r="A169" s="8" t="inlineStr">
        <is>
          <t>El Salvador</t>
        </is>
      </c>
      <c r="B169" s="8" t="n">
        <v>2006</v>
      </c>
      <c r="C169" s="18">
        <f>IF(Categorias!C170="","",Categorias!C170)</f>
        <v/>
      </c>
      <c r="D169" s="18">
        <f>IF(Categorias!H170="","",Categorias!H170)</f>
        <v/>
      </c>
      <c r="E169" s="17">
        <f>IFERROR(IF(INDEX(Gini!$C$2:$C$377,MATCH($A169&amp;"|"&amp;$B169,Gini!$E$2:$E$377,0))="","",INDEX(Gini!$C$2:$C$377,MATCH($A169&amp;"|"&amp;$B169,Gini!$E$2:$E$377,0))),"")</f>
        <v/>
      </c>
      <c r="F169" s="19">
        <f>IFERROR(IF(INDEX(Corrupcion!$E$2:$E$377,MATCH($A169&amp;"|"&amp;$B169,Corrupcion!$H$2:$H$377,0))="","",INDEX(Corrupcion!$E$2:$E$377,MATCH($A169&amp;"|"&amp;$B169,Corrupcion!$H$2:$H$377,0))),"")</f>
        <v/>
      </c>
      <c r="G169" s="20">
        <f>IFERROR(IF(INDEX(Corrupcion!$F$2:$F$377,MATCH($A169&amp;"|"&amp;$B169,Corrupcion!$H$2:$H$377,0))="","",INDEX(Corrupcion!$F$2:$F$377,MATCH($A169&amp;"|"&amp;$B169,Corrupcion!$H$2:$H$377,0))),"")</f>
        <v/>
      </c>
      <c r="H169" s="17">
        <f>IFERROR(IF(INDEX(Corrupcion!$G$2:$G$377,MATCH($A169&amp;"|"&amp;$B169,Corrupcion!$H$2:$H$377,0))="","",INDEX(Corrupcion!$G$2:$G$377,MATCH($A169&amp;"|"&amp;$B169,Corrupcion!$H$2:$H$377,0))),"")</f>
        <v/>
      </c>
      <c r="I169" s="8">
        <f>IF(COUNTBLANK(C169:E169)+COUNTBLANK(F169)=0,1,0)</f>
        <v/>
      </c>
      <c r="J169" s="8">
        <f>IF(COUNTBLANK(C169:E169)+COUNTBLANK(G169)=0,1,0)</f>
        <v/>
      </c>
      <c r="K169" s="8">
        <f>IF(COUNTBLANK(C169:E169)+COUNTBLANK(H169)=0,1,0)</f>
        <v/>
      </c>
    </row>
    <row r="170">
      <c r="A170" s="8" t="inlineStr">
        <is>
          <t>El Salvador</t>
        </is>
      </c>
      <c r="B170" s="8" t="n">
        <v>2007</v>
      </c>
      <c r="C170" s="18">
        <f>IF(Categorias!C171="","",Categorias!C171)</f>
        <v/>
      </c>
      <c r="D170" s="18">
        <f>IF(Categorias!H171="","",Categorias!H171)</f>
        <v/>
      </c>
      <c r="E170" s="17">
        <f>IFERROR(IF(INDEX(Gini!$C$2:$C$377,MATCH($A170&amp;"|"&amp;$B170,Gini!$E$2:$E$377,0))="","",INDEX(Gini!$C$2:$C$377,MATCH($A170&amp;"|"&amp;$B170,Gini!$E$2:$E$377,0))),"")</f>
        <v/>
      </c>
      <c r="F170" s="19">
        <f>IFERROR(IF(INDEX(Corrupcion!$E$2:$E$377,MATCH($A170&amp;"|"&amp;$B170,Corrupcion!$H$2:$H$377,0))="","",INDEX(Corrupcion!$E$2:$E$377,MATCH($A170&amp;"|"&amp;$B170,Corrupcion!$H$2:$H$377,0))),"")</f>
        <v/>
      </c>
      <c r="G170" s="20">
        <f>IFERROR(IF(INDEX(Corrupcion!$F$2:$F$377,MATCH($A170&amp;"|"&amp;$B170,Corrupcion!$H$2:$H$377,0))="","",INDEX(Corrupcion!$F$2:$F$377,MATCH($A170&amp;"|"&amp;$B170,Corrupcion!$H$2:$H$377,0))),"")</f>
        <v/>
      </c>
      <c r="H170" s="17">
        <f>IFERROR(IF(INDEX(Corrupcion!$G$2:$G$377,MATCH($A170&amp;"|"&amp;$B170,Corrupcion!$H$2:$H$377,0))="","",INDEX(Corrupcion!$G$2:$G$377,MATCH($A170&amp;"|"&amp;$B170,Corrupcion!$H$2:$H$377,0))),"")</f>
        <v/>
      </c>
      <c r="I170" s="8">
        <f>IF(COUNTBLANK(C170:E170)+COUNTBLANK(F170)=0,1,0)</f>
        <v/>
      </c>
      <c r="J170" s="8">
        <f>IF(COUNTBLANK(C170:E170)+COUNTBLANK(G170)=0,1,0)</f>
        <v/>
      </c>
      <c r="K170" s="8">
        <f>IF(COUNTBLANK(C170:E170)+COUNTBLANK(H170)=0,1,0)</f>
        <v/>
      </c>
    </row>
    <row r="171">
      <c r="A171" s="8" t="inlineStr">
        <is>
          <t>El Salvador</t>
        </is>
      </c>
      <c r="B171" s="8" t="n">
        <v>2008</v>
      </c>
      <c r="C171" s="18">
        <f>IF(Categorias!C172="","",Categorias!C172)</f>
        <v/>
      </c>
      <c r="D171" s="18">
        <f>IF(Categorias!H172="","",Categorias!H172)</f>
        <v/>
      </c>
      <c r="E171" s="17">
        <f>IFERROR(IF(INDEX(Gini!$C$2:$C$377,MATCH($A171&amp;"|"&amp;$B171,Gini!$E$2:$E$377,0))="","",INDEX(Gini!$C$2:$C$377,MATCH($A171&amp;"|"&amp;$B171,Gini!$E$2:$E$377,0))),"")</f>
        <v/>
      </c>
      <c r="F171" s="19">
        <f>IFERROR(IF(INDEX(Corrupcion!$E$2:$E$377,MATCH($A171&amp;"|"&amp;$B171,Corrupcion!$H$2:$H$377,0))="","",INDEX(Corrupcion!$E$2:$E$377,MATCH($A171&amp;"|"&amp;$B171,Corrupcion!$H$2:$H$377,0))),"")</f>
        <v/>
      </c>
      <c r="G171" s="20">
        <f>IFERROR(IF(INDEX(Corrupcion!$F$2:$F$377,MATCH($A171&amp;"|"&amp;$B171,Corrupcion!$H$2:$H$377,0))="","",INDEX(Corrupcion!$F$2:$F$377,MATCH($A171&amp;"|"&amp;$B171,Corrupcion!$H$2:$H$377,0))),"")</f>
        <v/>
      </c>
      <c r="H171" s="17">
        <f>IFERROR(IF(INDEX(Corrupcion!$G$2:$G$377,MATCH($A171&amp;"|"&amp;$B171,Corrupcion!$H$2:$H$377,0))="","",INDEX(Corrupcion!$G$2:$G$377,MATCH($A171&amp;"|"&amp;$B171,Corrupcion!$H$2:$H$377,0))),"")</f>
        <v/>
      </c>
      <c r="I171" s="8">
        <f>IF(COUNTBLANK(C171:E171)+COUNTBLANK(F171)=0,1,0)</f>
        <v/>
      </c>
      <c r="J171" s="8">
        <f>IF(COUNTBLANK(C171:E171)+COUNTBLANK(G171)=0,1,0)</f>
        <v/>
      </c>
      <c r="K171" s="8">
        <f>IF(COUNTBLANK(C171:E171)+COUNTBLANK(H171)=0,1,0)</f>
        <v/>
      </c>
    </row>
    <row r="172">
      <c r="A172" s="8" t="inlineStr">
        <is>
          <t>El Salvador</t>
        </is>
      </c>
      <c r="B172" s="8" t="n">
        <v>2009</v>
      </c>
      <c r="C172" s="18">
        <f>IF(Categorias!C173="","",Categorias!C173)</f>
        <v/>
      </c>
      <c r="D172" s="18">
        <f>IF(Categorias!H173="","",Categorias!H173)</f>
        <v/>
      </c>
      <c r="E172" s="17">
        <f>IFERROR(IF(INDEX(Gini!$C$2:$C$377,MATCH($A172&amp;"|"&amp;$B172,Gini!$E$2:$E$377,0))="","",INDEX(Gini!$C$2:$C$377,MATCH($A172&amp;"|"&amp;$B172,Gini!$E$2:$E$377,0))),"")</f>
        <v/>
      </c>
      <c r="F172" s="19">
        <f>IFERROR(IF(INDEX(Corrupcion!$E$2:$E$377,MATCH($A172&amp;"|"&amp;$B172,Corrupcion!$H$2:$H$377,0))="","",INDEX(Corrupcion!$E$2:$E$377,MATCH($A172&amp;"|"&amp;$B172,Corrupcion!$H$2:$H$377,0))),"")</f>
        <v/>
      </c>
      <c r="G172" s="20">
        <f>IFERROR(IF(INDEX(Corrupcion!$F$2:$F$377,MATCH($A172&amp;"|"&amp;$B172,Corrupcion!$H$2:$H$377,0))="","",INDEX(Corrupcion!$F$2:$F$377,MATCH($A172&amp;"|"&amp;$B172,Corrupcion!$H$2:$H$377,0))),"")</f>
        <v/>
      </c>
      <c r="H172" s="17">
        <f>IFERROR(IF(INDEX(Corrupcion!$G$2:$G$377,MATCH($A172&amp;"|"&amp;$B172,Corrupcion!$H$2:$H$377,0))="","",INDEX(Corrupcion!$G$2:$G$377,MATCH($A172&amp;"|"&amp;$B172,Corrupcion!$H$2:$H$377,0))),"")</f>
        <v/>
      </c>
      <c r="I172" s="8">
        <f>IF(COUNTBLANK(C172:E172)+COUNTBLANK(F172)=0,1,0)</f>
        <v/>
      </c>
      <c r="J172" s="8">
        <f>IF(COUNTBLANK(C172:E172)+COUNTBLANK(G172)=0,1,0)</f>
        <v/>
      </c>
      <c r="K172" s="8">
        <f>IF(COUNTBLANK(C172:E172)+COUNTBLANK(H172)=0,1,0)</f>
        <v/>
      </c>
    </row>
    <row r="173">
      <c r="A173" s="8" t="inlineStr">
        <is>
          <t>El Salvador</t>
        </is>
      </c>
      <c r="B173" s="8" t="n">
        <v>2010</v>
      </c>
      <c r="C173" s="18">
        <f>IF(Categorias!C174="","",Categorias!C174)</f>
        <v/>
      </c>
      <c r="D173" s="18">
        <f>IF(Categorias!H174="","",Categorias!H174)</f>
        <v/>
      </c>
      <c r="E173" s="17">
        <f>IFERROR(IF(INDEX(Gini!$C$2:$C$377,MATCH($A173&amp;"|"&amp;$B173,Gini!$E$2:$E$377,0))="","",INDEX(Gini!$C$2:$C$377,MATCH($A173&amp;"|"&amp;$B173,Gini!$E$2:$E$377,0))),"")</f>
        <v/>
      </c>
      <c r="F173" s="19">
        <f>IFERROR(IF(INDEX(Corrupcion!$E$2:$E$377,MATCH($A173&amp;"|"&amp;$B173,Corrupcion!$H$2:$H$377,0))="","",INDEX(Corrupcion!$E$2:$E$377,MATCH($A173&amp;"|"&amp;$B173,Corrupcion!$H$2:$H$377,0))),"")</f>
        <v/>
      </c>
      <c r="G173" s="20">
        <f>IFERROR(IF(INDEX(Corrupcion!$F$2:$F$377,MATCH($A173&amp;"|"&amp;$B173,Corrupcion!$H$2:$H$377,0))="","",INDEX(Corrupcion!$F$2:$F$377,MATCH($A173&amp;"|"&amp;$B173,Corrupcion!$H$2:$H$377,0))),"")</f>
        <v/>
      </c>
      <c r="H173" s="17">
        <f>IFERROR(IF(INDEX(Corrupcion!$G$2:$G$377,MATCH($A173&amp;"|"&amp;$B173,Corrupcion!$H$2:$H$377,0))="","",INDEX(Corrupcion!$G$2:$G$377,MATCH($A173&amp;"|"&amp;$B173,Corrupcion!$H$2:$H$377,0))),"")</f>
        <v/>
      </c>
      <c r="I173" s="8">
        <f>IF(COUNTBLANK(C173:E173)+COUNTBLANK(F173)=0,1,0)</f>
        <v/>
      </c>
      <c r="J173" s="8">
        <f>IF(COUNTBLANK(C173:E173)+COUNTBLANK(G173)=0,1,0)</f>
        <v/>
      </c>
      <c r="K173" s="8">
        <f>IF(COUNTBLANK(C173:E173)+COUNTBLANK(H173)=0,1,0)</f>
        <v/>
      </c>
    </row>
    <row r="174">
      <c r="A174" s="8" t="inlineStr">
        <is>
          <t>El Salvador</t>
        </is>
      </c>
      <c r="B174" s="8" t="n">
        <v>2011</v>
      </c>
      <c r="C174" s="18">
        <f>IF(Categorias!C175="","",Categorias!C175)</f>
        <v/>
      </c>
      <c r="D174" s="18">
        <f>IF(Categorias!H175="","",Categorias!H175)</f>
        <v/>
      </c>
      <c r="E174" s="17">
        <f>IFERROR(IF(INDEX(Gini!$C$2:$C$377,MATCH($A174&amp;"|"&amp;$B174,Gini!$E$2:$E$377,0))="","",INDEX(Gini!$C$2:$C$377,MATCH($A174&amp;"|"&amp;$B174,Gini!$E$2:$E$377,0))),"")</f>
        <v/>
      </c>
      <c r="F174" s="19">
        <f>IFERROR(IF(INDEX(Corrupcion!$E$2:$E$377,MATCH($A174&amp;"|"&amp;$B174,Corrupcion!$H$2:$H$377,0))="","",INDEX(Corrupcion!$E$2:$E$377,MATCH($A174&amp;"|"&amp;$B174,Corrupcion!$H$2:$H$377,0))),"")</f>
        <v/>
      </c>
      <c r="G174" s="20">
        <f>IFERROR(IF(INDEX(Corrupcion!$F$2:$F$377,MATCH($A174&amp;"|"&amp;$B174,Corrupcion!$H$2:$H$377,0))="","",INDEX(Corrupcion!$F$2:$F$377,MATCH($A174&amp;"|"&amp;$B174,Corrupcion!$H$2:$H$377,0))),"")</f>
        <v/>
      </c>
      <c r="H174" s="17">
        <f>IFERROR(IF(INDEX(Corrupcion!$G$2:$G$377,MATCH($A174&amp;"|"&amp;$B174,Corrupcion!$H$2:$H$377,0))="","",INDEX(Corrupcion!$G$2:$G$377,MATCH($A174&amp;"|"&amp;$B174,Corrupcion!$H$2:$H$377,0))),"")</f>
        <v/>
      </c>
      <c r="I174" s="8">
        <f>IF(COUNTBLANK(C174:E174)+COUNTBLANK(F174)=0,1,0)</f>
        <v/>
      </c>
      <c r="J174" s="8">
        <f>IF(COUNTBLANK(C174:E174)+COUNTBLANK(G174)=0,1,0)</f>
        <v/>
      </c>
      <c r="K174" s="8">
        <f>IF(COUNTBLANK(C174:E174)+COUNTBLANK(H174)=0,1,0)</f>
        <v/>
      </c>
    </row>
    <row r="175">
      <c r="A175" s="8" t="inlineStr">
        <is>
          <t>El Salvador</t>
        </is>
      </c>
      <c r="B175" s="8" t="n">
        <v>2016</v>
      </c>
      <c r="C175" s="18">
        <f>IF(Categorias!C176="","",Categorias!C176)</f>
        <v/>
      </c>
      <c r="D175" s="18">
        <f>IF(Categorias!H176="","",Categorias!H176)</f>
        <v/>
      </c>
      <c r="E175" s="17">
        <f>IFERROR(IF(INDEX(Gini!$C$2:$C$377,MATCH($A175&amp;"|"&amp;$B175,Gini!$E$2:$E$377,0))="","",INDEX(Gini!$C$2:$C$377,MATCH($A175&amp;"|"&amp;$B175,Gini!$E$2:$E$377,0))),"")</f>
        <v/>
      </c>
      <c r="F175" s="19">
        <f>IFERROR(IF(INDEX(Corrupcion!$E$2:$E$377,MATCH($A175&amp;"|"&amp;$B175,Corrupcion!$H$2:$H$377,0))="","",INDEX(Corrupcion!$E$2:$E$377,MATCH($A175&amp;"|"&amp;$B175,Corrupcion!$H$2:$H$377,0))),"")</f>
        <v/>
      </c>
      <c r="G175" s="20">
        <f>IFERROR(IF(INDEX(Corrupcion!$F$2:$F$377,MATCH($A175&amp;"|"&amp;$B175,Corrupcion!$H$2:$H$377,0))="","",INDEX(Corrupcion!$F$2:$F$377,MATCH($A175&amp;"|"&amp;$B175,Corrupcion!$H$2:$H$377,0))),"")</f>
        <v/>
      </c>
      <c r="H175" s="17">
        <f>IFERROR(IF(INDEX(Corrupcion!$G$2:$G$377,MATCH($A175&amp;"|"&amp;$B175,Corrupcion!$H$2:$H$377,0))="","",INDEX(Corrupcion!$G$2:$G$377,MATCH($A175&amp;"|"&amp;$B175,Corrupcion!$H$2:$H$377,0))),"")</f>
        <v/>
      </c>
      <c r="I175" s="8">
        <f>IF(COUNTBLANK(C175:E175)+COUNTBLANK(F175)=0,1,0)</f>
        <v/>
      </c>
      <c r="J175" s="8">
        <f>IF(COUNTBLANK(C175:E175)+COUNTBLANK(G175)=0,1,0)</f>
        <v/>
      </c>
      <c r="K175" s="8">
        <f>IF(COUNTBLANK(C175:E175)+COUNTBLANK(H175)=0,1,0)</f>
        <v/>
      </c>
    </row>
    <row r="176">
      <c r="A176" s="8" t="inlineStr">
        <is>
          <t>El Salvador</t>
        </is>
      </c>
      <c r="B176" s="8" t="n">
        <v>2017</v>
      </c>
      <c r="C176" s="18">
        <f>IF(Categorias!C177="","",Categorias!C177)</f>
        <v/>
      </c>
      <c r="D176" s="18">
        <f>IF(Categorias!H177="","",Categorias!H177)</f>
        <v/>
      </c>
      <c r="E176" s="17">
        <f>IFERROR(IF(INDEX(Gini!$C$2:$C$377,MATCH($A176&amp;"|"&amp;$B176,Gini!$E$2:$E$377,0))="","",INDEX(Gini!$C$2:$C$377,MATCH($A176&amp;"|"&amp;$B176,Gini!$E$2:$E$377,0))),"")</f>
        <v/>
      </c>
      <c r="F176" s="19">
        <f>IFERROR(IF(INDEX(Corrupcion!$E$2:$E$377,MATCH($A176&amp;"|"&amp;$B176,Corrupcion!$H$2:$H$377,0))="","",INDEX(Corrupcion!$E$2:$E$377,MATCH($A176&amp;"|"&amp;$B176,Corrupcion!$H$2:$H$377,0))),"")</f>
        <v/>
      </c>
      <c r="G176" s="20">
        <f>IFERROR(IF(INDEX(Corrupcion!$F$2:$F$377,MATCH($A176&amp;"|"&amp;$B176,Corrupcion!$H$2:$H$377,0))="","",INDEX(Corrupcion!$F$2:$F$377,MATCH($A176&amp;"|"&amp;$B176,Corrupcion!$H$2:$H$377,0))),"")</f>
        <v/>
      </c>
      <c r="H176" s="17">
        <f>IFERROR(IF(INDEX(Corrupcion!$G$2:$G$377,MATCH($A176&amp;"|"&amp;$B176,Corrupcion!$H$2:$H$377,0))="","",INDEX(Corrupcion!$G$2:$G$377,MATCH($A176&amp;"|"&amp;$B176,Corrupcion!$H$2:$H$377,0))),"")</f>
        <v/>
      </c>
      <c r="I176" s="8">
        <f>IF(COUNTBLANK(C176:E176)+COUNTBLANK(F176)=0,1,0)</f>
        <v/>
      </c>
      <c r="J176" s="8">
        <f>IF(COUNTBLANK(C176:E176)+COUNTBLANK(G176)=0,1,0)</f>
        <v/>
      </c>
      <c r="K176" s="8">
        <f>IF(COUNTBLANK(C176:E176)+COUNTBLANK(H176)=0,1,0)</f>
        <v/>
      </c>
    </row>
    <row r="177">
      <c r="A177" s="8" t="inlineStr">
        <is>
          <t>El Salvador</t>
        </is>
      </c>
      <c r="B177" s="8" t="n">
        <v>2018</v>
      </c>
      <c r="C177" s="18">
        <f>IF(Categorias!C178="","",Categorias!C178)</f>
        <v/>
      </c>
      <c r="D177" s="18">
        <f>IF(Categorias!H178="","",Categorias!H178)</f>
        <v/>
      </c>
      <c r="E177" s="17">
        <f>IFERROR(IF(INDEX(Gini!$C$2:$C$377,MATCH($A177&amp;"|"&amp;$B177,Gini!$E$2:$E$377,0))="","",INDEX(Gini!$C$2:$C$377,MATCH($A177&amp;"|"&amp;$B177,Gini!$E$2:$E$377,0))),"")</f>
        <v/>
      </c>
      <c r="F177" s="19">
        <f>IFERROR(IF(INDEX(Corrupcion!$E$2:$E$377,MATCH($A177&amp;"|"&amp;$B177,Corrupcion!$H$2:$H$377,0))="","",INDEX(Corrupcion!$E$2:$E$377,MATCH($A177&amp;"|"&amp;$B177,Corrupcion!$H$2:$H$377,0))),"")</f>
        <v/>
      </c>
      <c r="G177" s="20">
        <f>IFERROR(IF(INDEX(Corrupcion!$F$2:$F$377,MATCH($A177&amp;"|"&amp;$B177,Corrupcion!$H$2:$H$377,0))="","",INDEX(Corrupcion!$F$2:$F$377,MATCH($A177&amp;"|"&amp;$B177,Corrupcion!$H$2:$H$377,0))),"")</f>
        <v/>
      </c>
      <c r="H177" s="17">
        <f>IFERROR(IF(INDEX(Corrupcion!$G$2:$G$377,MATCH($A177&amp;"|"&amp;$B177,Corrupcion!$H$2:$H$377,0))="","",INDEX(Corrupcion!$G$2:$G$377,MATCH($A177&amp;"|"&amp;$B177,Corrupcion!$H$2:$H$377,0))),"")</f>
        <v/>
      </c>
      <c r="I177" s="8">
        <f>IF(COUNTBLANK(C177:E177)+COUNTBLANK(F177)=0,1,0)</f>
        <v/>
      </c>
      <c r="J177" s="8">
        <f>IF(COUNTBLANK(C177:E177)+COUNTBLANK(G177)=0,1,0)</f>
        <v/>
      </c>
      <c r="K177" s="8">
        <f>IF(COUNTBLANK(C177:E177)+COUNTBLANK(H177)=0,1,0)</f>
        <v/>
      </c>
    </row>
    <row r="178">
      <c r="A178" s="8" t="inlineStr">
        <is>
          <t>El Salvador</t>
        </is>
      </c>
      <c r="B178" s="8" t="n">
        <v>2020</v>
      </c>
      <c r="C178" s="18">
        <f>IF(Categorias!C179="","",Categorias!C179)</f>
        <v/>
      </c>
      <c r="D178" s="18">
        <f>IF(Categorias!H179="","",Categorias!H179)</f>
        <v/>
      </c>
      <c r="E178" s="17">
        <f>IFERROR(IF(INDEX(Gini!$C$2:$C$377,MATCH($A178&amp;"|"&amp;$B178,Gini!$E$2:$E$377,0))="","",INDEX(Gini!$C$2:$C$377,MATCH($A178&amp;"|"&amp;$B178,Gini!$E$2:$E$377,0))),"")</f>
        <v/>
      </c>
      <c r="F178" s="19">
        <f>IFERROR(IF(INDEX(Corrupcion!$E$2:$E$377,MATCH($A178&amp;"|"&amp;$B178,Corrupcion!$H$2:$H$377,0))="","",INDEX(Corrupcion!$E$2:$E$377,MATCH($A178&amp;"|"&amp;$B178,Corrupcion!$H$2:$H$377,0))),"")</f>
        <v/>
      </c>
      <c r="G178" s="20">
        <f>IFERROR(IF(INDEX(Corrupcion!$F$2:$F$377,MATCH($A178&amp;"|"&amp;$B178,Corrupcion!$H$2:$H$377,0))="","",INDEX(Corrupcion!$F$2:$F$377,MATCH($A178&amp;"|"&amp;$B178,Corrupcion!$H$2:$H$377,0))),"")</f>
        <v/>
      </c>
      <c r="H178" s="17">
        <f>IFERROR(IF(INDEX(Corrupcion!$G$2:$G$377,MATCH($A178&amp;"|"&amp;$B178,Corrupcion!$H$2:$H$377,0))="","",INDEX(Corrupcion!$G$2:$G$377,MATCH($A178&amp;"|"&amp;$B178,Corrupcion!$H$2:$H$377,0))),"")</f>
        <v/>
      </c>
      <c r="I178" s="8">
        <f>IF(COUNTBLANK(C178:E178)+COUNTBLANK(F178)=0,1,0)</f>
        <v/>
      </c>
      <c r="J178" s="8">
        <f>IF(COUNTBLANK(C178:E178)+COUNTBLANK(G178)=0,1,0)</f>
        <v/>
      </c>
      <c r="K178" s="8">
        <f>IF(COUNTBLANK(C178:E178)+COUNTBLANK(H178)=0,1,0)</f>
        <v/>
      </c>
    </row>
    <row r="179">
      <c r="A179" s="8" t="inlineStr">
        <is>
          <t>El Salvador</t>
        </is>
      </c>
      <c r="B179" s="8" t="n">
        <v>2024</v>
      </c>
      <c r="C179" s="18">
        <f>IF(Categorias!C180="","",Categorias!C180)</f>
        <v/>
      </c>
      <c r="D179" s="18">
        <f>IF(Categorias!H180="","",Categorias!H180)</f>
        <v/>
      </c>
      <c r="E179" s="17">
        <f>IFERROR(IF(INDEX(Gini!$C$2:$C$377,MATCH($A179&amp;"|"&amp;$B179,Gini!$E$2:$E$377,0))="","",INDEX(Gini!$C$2:$C$377,MATCH($A179&amp;"|"&amp;$B179,Gini!$E$2:$E$377,0))),"")</f>
        <v/>
      </c>
      <c r="F179" s="19">
        <f>IFERROR(IF(INDEX(Corrupcion!$E$2:$E$377,MATCH($A179&amp;"|"&amp;$B179,Corrupcion!$H$2:$H$377,0))="","",INDEX(Corrupcion!$E$2:$E$377,MATCH($A179&amp;"|"&amp;$B179,Corrupcion!$H$2:$H$377,0))),"")</f>
        <v/>
      </c>
      <c r="G179" s="20">
        <f>IFERROR(IF(INDEX(Corrupcion!$F$2:$F$377,MATCH($A179&amp;"|"&amp;$B179,Corrupcion!$H$2:$H$377,0))="","",INDEX(Corrupcion!$F$2:$F$377,MATCH($A179&amp;"|"&amp;$B179,Corrupcion!$H$2:$H$377,0))),"")</f>
        <v/>
      </c>
      <c r="H179" s="17">
        <f>IFERROR(IF(INDEX(Corrupcion!$G$2:$G$377,MATCH($A179&amp;"|"&amp;$B179,Corrupcion!$H$2:$H$377,0))="","",INDEX(Corrupcion!$G$2:$G$377,MATCH($A179&amp;"|"&amp;$B179,Corrupcion!$H$2:$H$377,0))),"")</f>
        <v/>
      </c>
      <c r="I179" s="8">
        <f>IF(COUNTBLANK(C179:E179)+COUNTBLANK(F179)=0,1,0)</f>
        <v/>
      </c>
      <c r="J179" s="8">
        <f>IF(COUNTBLANK(C179:E179)+COUNTBLANK(G179)=0,1,0)</f>
        <v/>
      </c>
      <c r="K179" s="8">
        <f>IF(COUNTBLANK(C179:E179)+COUNTBLANK(H179)=0,1,0)</f>
        <v/>
      </c>
    </row>
    <row r="180">
      <c r="A180" s="8" t="inlineStr">
        <is>
          <t>Guatemala</t>
        </is>
      </c>
      <c r="B180" s="8" t="n">
        <v>1996</v>
      </c>
      <c r="C180" s="18">
        <f>IF(Categorias!C181="","",Categorias!C181)</f>
        <v/>
      </c>
      <c r="D180" s="18">
        <f>IF(Categorias!H181="","",Categorias!H181)</f>
        <v/>
      </c>
      <c r="E180" s="17">
        <f>IFERROR(IF(INDEX(Gini!$C$2:$C$377,MATCH($A180&amp;"|"&amp;$B180,Gini!$E$2:$E$377,0))="","",INDEX(Gini!$C$2:$C$377,MATCH($A180&amp;"|"&amp;$B180,Gini!$E$2:$E$377,0))),"")</f>
        <v/>
      </c>
      <c r="F180" s="19">
        <f>IFERROR(IF(INDEX(Corrupcion!$E$2:$E$377,MATCH($A180&amp;"|"&amp;$B180,Corrupcion!$H$2:$H$377,0))="","",INDEX(Corrupcion!$E$2:$E$377,MATCH($A180&amp;"|"&amp;$B180,Corrupcion!$H$2:$H$377,0))),"")</f>
        <v/>
      </c>
      <c r="G180" s="20">
        <f>IFERROR(IF(INDEX(Corrupcion!$F$2:$F$377,MATCH($A180&amp;"|"&amp;$B180,Corrupcion!$H$2:$H$377,0))="","",INDEX(Corrupcion!$F$2:$F$377,MATCH($A180&amp;"|"&amp;$B180,Corrupcion!$H$2:$H$377,0))),"")</f>
        <v/>
      </c>
      <c r="H180" s="17">
        <f>IFERROR(IF(INDEX(Corrupcion!$G$2:$G$377,MATCH($A180&amp;"|"&amp;$B180,Corrupcion!$H$2:$H$377,0))="","",INDEX(Corrupcion!$G$2:$G$377,MATCH($A180&amp;"|"&amp;$B180,Corrupcion!$H$2:$H$377,0))),"")</f>
        <v/>
      </c>
      <c r="I180" s="8">
        <f>IF(COUNTBLANK(C180:E180)+COUNTBLANK(F180)=0,1,0)</f>
        <v/>
      </c>
      <c r="J180" s="8">
        <f>IF(COUNTBLANK(C180:E180)+COUNTBLANK(G180)=0,1,0)</f>
        <v/>
      </c>
      <c r="K180" s="8">
        <f>IF(COUNTBLANK(C180:E180)+COUNTBLANK(H180)=0,1,0)</f>
        <v/>
      </c>
    </row>
    <row r="181">
      <c r="A181" s="8" t="inlineStr">
        <is>
          <t>Guatemala</t>
        </is>
      </c>
      <c r="B181" s="8" t="n">
        <v>1997</v>
      </c>
      <c r="C181" s="18">
        <f>IF(Categorias!C182="","",Categorias!C182)</f>
        <v/>
      </c>
      <c r="D181" s="18">
        <f>IF(Categorias!H182="","",Categorias!H182)</f>
        <v/>
      </c>
      <c r="E181" s="17">
        <f>IFERROR(IF(INDEX(Gini!$C$2:$C$377,MATCH($A181&amp;"|"&amp;$B181,Gini!$E$2:$E$377,0))="","",INDEX(Gini!$C$2:$C$377,MATCH($A181&amp;"|"&amp;$B181,Gini!$E$2:$E$377,0))),"")</f>
        <v/>
      </c>
      <c r="F181" s="19">
        <f>IFERROR(IF(INDEX(Corrupcion!$E$2:$E$377,MATCH($A181&amp;"|"&amp;$B181,Corrupcion!$H$2:$H$377,0))="","",INDEX(Corrupcion!$E$2:$E$377,MATCH($A181&amp;"|"&amp;$B181,Corrupcion!$H$2:$H$377,0))),"")</f>
        <v/>
      </c>
      <c r="G181" s="20">
        <f>IFERROR(IF(INDEX(Corrupcion!$F$2:$F$377,MATCH($A181&amp;"|"&amp;$B181,Corrupcion!$H$2:$H$377,0))="","",INDEX(Corrupcion!$F$2:$F$377,MATCH($A181&amp;"|"&amp;$B181,Corrupcion!$H$2:$H$377,0))),"")</f>
        <v/>
      </c>
      <c r="H181" s="17">
        <f>IFERROR(IF(INDEX(Corrupcion!$G$2:$G$377,MATCH($A181&amp;"|"&amp;$B181,Corrupcion!$H$2:$H$377,0))="","",INDEX(Corrupcion!$G$2:$G$377,MATCH($A181&amp;"|"&amp;$B181,Corrupcion!$H$2:$H$377,0))),"")</f>
        <v/>
      </c>
      <c r="I181" s="8">
        <f>IF(COUNTBLANK(C181:E181)+COUNTBLANK(F181)=0,1,0)</f>
        <v/>
      </c>
      <c r="J181" s="8">
        <f>IF(COUNTBLANK(C181:E181)+COUNTBLANK(G181)=0,1,0)</f>
        <v/>
      </c>
      <c r="K181" s="8">
        <f>IF(COUNTBLANK(C181:E181)+COUNTBLANK(H181)=0,1,0)</f>
        <v/>
      </c>
    </row>
    <row r="182">
      <c r="A182" s="8" t="inlineStr">
        <is>
          <t>Guatemala</t>
        </is>
      </c>
      <c r="B182" s="8" t="n">
        <v>1998</v>
      </c>
      <c r="C182" s="18">
        <f>IF(Categorias!C183="","",Categorias!C183)</f>
        <v/>
      </c>
      <c r="D182" s="18">
        <f>IF(Categorias!H183="","",Categorias!H183)</f>
        <v/>
      </c>
      <c r="E182" s="17">
        <f>IFERROR(IF(INDEX(Gini!$C$2:$C$377,MATCH($A182&amp;"|"&amp;$B182,Gini!$E$2:$E$377,0))="","",INDEX(Gini!$C$2:$C$377,MATCH($A182&amp;"|"&amp;$B182,Gini!$E$2:$E$377,0))),"")</f>
        <v/>
      </c>
      <c r="F182" s="19">
        <f>IFERROR(IF(INDEX(Corrupcion!$E$2:$E$377,MATCH($A182&amp;"|"&amp;$B182,Corrupcion!$H$2:$H$377,0))="","",INDEX(Corrupcion!$E$2:$E$377,MATCH($A182&amp;"|"&amp;$B182,Corrupcion!$H$2:$H$377,0))),"")</f>
        <v/>
      </c>
      <c r="G182" s="20">
        <f>IFERROR(IF(INDEX(Corrupcion!$F$2:$F$377,MATCH($A182&amp;"|"&amp;$B182,Corrupcion!$H$2:$H$377,0))="","",INDEX(Corrupcion!$F$2:$F$377,MATCH($A182&amp;"|"&amp;$B182,Corrupcion!$H$2:$H$377,0))),"")</f>
        <v/>
      </c>
      <c r="H182" s="17">
        <f>IFERROR(IF(INDEX(Corrupcion!$G$2:$G$377,MATCH($A182&amp;"|"&amp;$B182,Corrupcion!$H$2:$H$377,0))="","",INDEX(Corrupcion!$G$2:$G$377,MATCH($A182&amp;"|"&amp;$B182,Corrupcion!$H$2:$H$377,0))),"")</f>
        <v/>
      </c>
      <c r="I182" s="8">
        <f>IF(COUNTBLANK(C182:E182)+COUNTBLANK(F182)=0,1,0)</f>
        <v/>
      </c>
      <c r="J182" s="8">
        <f>IF(COUNTBLANK(C182:E182)+COUNTBLANK(G182)=0,1,0)</f>
        <v/>
      </c>
      <c r="K182" s="8">
        <f>IF(COUNTBLANK(C182:E182)+COUNTBLANK(H182)=0,1,0)</f>
        <v/>
      </c>
    </row>
    <row r="183">
      <c r="A183" s="8" t="inlineStr">
        <is>
          <t>Guatemala</t>
        </is>
      </c>
      <c r="B183" s="8" t="n">
        <v>2000</v>
      </c>
      <c r="C183" s="18">
        <f>IF(Categorias!C184="","",Categorias!C184)</f>
        <v/>
      </c>
      <c r="D183" s="18">
        <f>IF(Categorias!H184="","",Categorias!H184)</f>
        <v/>
      </c>
      <c r="E183" s="17">
        <f>IFERROR(IF(INDEX(Gini!$C$2:$C$377,MATCH($A183&amp;"|"&amp;$B183,Gini!$E$2:$E$377,0))="","",INDEX(Gini!$C$2:$C$377,MATCH($A183&amp;"|"&amp;$B183,Gini!$E$2:$E$377,0))),"")</f>
        <v/>
      </c>
      <c r="F183" s="19">
        <f>IFERROR(IF(INDEX(Corrupcion!$E$2:$E$377,MATCH($A183&amp;"|"&amp;$B183,Corrupcion!$H$2:$H$377,0))="","",INDEX(Corrupcion!$E$2:$E$377,MATCH($A183&amp;"|"&amp;$B183,Corrupcion!$H$2:$H$377,0))),"")</f>
        <v/>
      </c>
      <c r="G183" s="20">
        <f>IFERROR(IF(INDEX(Corrupcion!$F$2:$F$377,MATCH($A183&amp;"|"&amp;$B183,Corrupcion!$H$2:$H$377,0))="","",INDEX(Corrupcion!$F$2:$F$377,MATCH($A183&amp;"|"&amp;$B183,Corrupcion!$H$2:$H$377,0))),"")</f>
        <v/>
      </c>
      <c r="H183" s="17">
        <f>IFERROR(IF(INDEX(Corrupcion!$G$2:$G$377,MATCH($A183&amp;"|"&amp;$B183,Corrupcion!$H$2:$H$377,0))="","",INDEX(Corrupcion!$G$2:$G$377,MATCH($A183&amp;"|"&amp;$B183,Corrupcion!$H$2:$H$377,0))),"")</f>
        <v/>
      </c>
      <c r="I183" s="8">
        <f>IF(COUNTBLANK(C183:E183)+COUNTBLANK(F183)=0,1,0)</f>
        <v/>
      </c>
      <c r="J183" s="8">
        <f>IF(COUNTBLANK(C183:E183)+COUNTBLANK(G183)=0,1,0)</f>
        <v/>
      </c>
      <c r="K183" s="8">
        <f>IF(COUNTBLANK(C183:E183)+COUNTBLANK(H183)=0,1,0)</f>
        <v/>
      </c>
    </row>
    <row r="184">
      <c r="A184" s="8" t="inlineStr">
        <is>
          <t>Guatemala</t>
        </is>
      </c>
      <c r="B184" s="8" t="n">
        <v>2001</v>
      </c>
      <c r="C184" s="18">
        <f>IF(Categorias!C185="","",Categorias!C185)</f>
        <v/>
      </c>
      <c r="D184" s="18">
        <f>IF(Categorias!H185="","",Categorias!H185)</f>
        <v/>
      </c>
      <c r="E184" s="17">
        <f>IFERROR(IF(INDEX(Gini!$C$2:$C$377,MATCH($A184&amp;"|"&amp;$B184,Gini!$E$2:$E$377,0))="","",INDEX(Gini!$C$2:$C$377,MATCH($A184&amp;"|"&amp;$B184,Gini!$E$2:$E$377,0))),"")</f>
        <v/>
      </c>
      <c r="F184" s="19">
        <f>IFERROR(IF(INDEX(Corrupcion!$E$2:$E$377,MATCH($A184&amp;"|"&amp;$B184,Corrupcion!$H$2:$H$377,0))="","",INDEX(Corrupcion!$E$2:$E$377,MATCH($A184&amp;"|"&amp;$B184,Corrupcion!$H$2:$H$377,0))),"")</f>
        <v/>
      </c>
      <c r="G184" s="20">
        <f>IFERROR(IF(INDEX(Corrupcion!$F$2:$F$377,MATCH($A184&amp;"|"&amp;$B184,Corrupcion!$H$2:$H$377,0))="","",INDEX(Corrupcion!$F$2:$F$377,MATCH($A184&amp;"|"&amp;$B184,Corrupcion!$H$2:$H$377,0))),"")</f>
        <v/>
      </c>
      <c r="H184" s="17">
        <f>IFERROR(IF(INDEX(Corrupcion!$G$2:$G$377,MATCH($A184&amp;"|"&amp;$B184,Corrupcion!$H$2:$H$377,0))="","",INDEX(Corrupcion!$G$2:$G$377,MATCH($A184&amp;"|"&amp;$B184,Corrupcion!$H$2:$H$377,0))),"")</f>
        <v/>
      </c>
      <c r="I184" s="8">
        <f>IF(COUNTBLANK(C184:E184)+COUNTBLANK(F184)=0,1,0)</f>
        <v/>
      </c>
      <c r="J184" s="8">
        <f>IF(COUNTBLANK(C184:E184)+COUNTBLANK(G184)=0,1,0)</f>
        <v/>
      </c>
      <c r="K184" s="8">
        <f>IF(COUNTBLANK(C184:E184)+COUNTBLANK(H184)=0,1,0)</f>
        <v/>
      </c>
    </row>
    <row r="185">
      <c r="A185" s="8" t="inlineStr">
        <is>
          <t>Guatemala</t>
        </is>
      </c>
      <c r="B185" s="8" t="n">
        <v>2002</v>
      </c>
      <c r="C185" s="18">
        <f>IF(Categorias!C186="","",Categorias!C186)</f>
        <v/>
      </c>
      <c r="D185" s="18">
        <f>IF(Categorias!H186="","",Categorias!H186)</f>
        <v/>
      </c>
      <c r="E185" s="17">
        <f>IFERROR(IF(INDEX(Gini!$C$2:$C$377,MATCH($A185&amp;"|"&amp;$B185,Gini!$E$2:$E$377,0))="","",INDEX(Gini!$C$2:$C$377,MATCH($A185&amp;"|"&amp;$B185,Gini!$E$2:$E$377,0))),"")</f>
        <v/>
      </c>
      <c r="F185" s="19">
        <f>IFERROR(IF(INDEX(Corrupcion!$E$2:$E$377,MATCH($A185&amp;"|"&amp;$B185,Corrupcion!$H$2:$H$377,0))="","",INDEX(Corrupcion!$E$2:$E$377,MATCH($A185&amp;"|"&amp;$B185,Corrupcion!$H$2:$H$377,0))),"")</f>
        <v/>
      </c>
      <c r="G185" s="20">
        <f>IFERROR(IF(INDEX(Corrupcion!$F$2:$F$377,MATCH($A185&amp;"|"&amp;$B185,Corrupcion!$H$2:$H$377,0))="","",INDEX(Corrupcion!$F$2:$F$377,MATCH($A185&amp;"|"&amp;$B185,Corrupcion!$H$2:$H$377,0))),"")</f>
        <v/>
      </c>
      <c r="H185" s="17">
        <f>IFERROR(IF(INDEX(Corrupcion!$G$2:$G$377,MATCH($A185&amp;"|"&amp;$B185,Corrupcion!$H$2:$H$377,0))="","",INDEX(Corrupcion!$G$2:$G$377,MATCH($A185&amp;"|"&amp;$B185,Corrupcion!$H$2:$H$377,0))),"")</f>
        <v/>
      </c>
      <c r="I185" s="8">
        <f>IF(COUNTBLANK(C185:E185)+COUNTBLANK(F185)=0,1,0)</f>
        <v/>
      </c>
      <c r="J185" s="8">
        <f>IF(COUNTBLANK(C185:E185)+COUNTBLANK(G185)=0,1,0)</f>
        <v/>
      </c>
      <c r="K185" s="8">
        <f>IF(COUNTBLANK(C185:E185)+COUNTBLANK(H185)=0,1,0)</f>
        <v/>
      </c>
    </row>
    <row r="186">
      <c r="A186" s="8" t="inlineStr">
        <is>
          <t>Guatemala</t>
        </is>
      </c>
      <c r="B186" s="8" t="n">
        <v>2003</v>
      </c>
      <c r="C186" s="18">
        <f>IF(Categorias!C187="","",Categorias!C187)</f>
        <v/>
      </c>
      <c r="D186" s="18">
        <f>IF(Categorias!H187="","",Categorias!H187)</f>
        <v/>
      </c>
      <c r="E186" s="17">
        <f>IFERROR(IF(INDEX(Gini!$C$2:$C$377,MATCH($A186&amp;"|"&amp;$B186,Gini!$E$2:$E$377,0))="","",INDEX(Gini!$C$2:$C$377,MATCH($A186&amp;"|"&amp;$B186,Gini!$E$2:$E$377,0))),"")</f>
        <v/>
      </c>
      <c r="F186" s="19">
        <f>IFERROR(IF(INDEX(Corrupcion!$E$2:$E$377,MATCH($A186&amp;"|"&amp;$B186,Corrupcion!$H$2:$H$377,0))="","",INDEX(Corrupcion!$E$2:$E$377,MATCH($A186&amp;"|"&amp;$B186,Corrupcion!$H$2:$H$377,0))),"")</f>
        <v/>
      </c>
      <c r="G186" s="20">
        <f>IFERROR(IF(INDEX(Corrupcion!$F$2:$F$377,MATCH($A186&amp;"|"&amp;$B186,Corrupcion!$H$2:$H$377,0))="","",INDEX(Corrupcion!$F$2:$F$377,MATCH($A186&amp;"|"&amp;$B186,Corrupcion!$H$2:$H$377,0))),"")</f>
        <v/>
      </c>
      <c r="H186" s="17">
        <f>IFERROR(IF(INDEX(Corrupcion!$G$2:$G$377,MATCH($A186&amp;"|"&amp;$B186,Corrupcion!$H$2:$H$377,0))="","",INDEX(Corrupcion!$G$2:$G$377,MATCH($A186&amp;"|"&amp;$B186,Corrupcion!$H$2:$H$377,0))),"")</f>
        <v/>
      </c>
      <c r="I186" s="8">
        <f>IF(COUNTBLANK(C186:E186)+COUNTBLANK(F186)=0,1,0)</f>
        <v/>
      </c>
      <c r="J186" s="8">
        <f>IF(COUNTBLANK(C186:E186)+COUNTBLANK(G186)=0,1,0)</f>
        <v/>
      </c>
      <c r="K186" s="8">
        <f>IF(COUNTBLANK(C186:E186)+COUNTBLANK(H186)=0,1,0)</f>
        <v/>
      </c>
    </row>
    <row r="187">
      <c r="A187" s="8" t="inlineStr">
        <is>
          <t>Guatemala</t>
        </is>
      </c>
      <c r="B187" s="8" t="n">
        <v>2004</v>
      </c>
      <c r="C187" s="18">
        <f>IF(Categorias!C188="","",Categorias!C188)</f>
        <v/>
      </c>
      <c r="D187" s="18">
        <f>IF(Categorias!H188="","",Categorias!H188)</f>
        <v/>
      </c>
      <c r="E187" s="17">
        <f>IFERROR(IF(INDEX(Gini!$C$2:$C$377,MATCH($A187&amp;"|"&amp;$B187,Gini!$E$2:$E$377,0))="","",INDEX(Gini!$C$2:$C$377,MATCH($A187&amp;"|"&amp;$B187,Gini!$E$2:$E$377,0))),"")</f>
        <v/>
      </c>
      <c r="F187" s="19">
        <f>IFERROR(IF(INDEX(Corrupcion!$E$2:$E$377,MATCH($A187&amp;"|"&amp;$B187,Corrupcion!$H$2:$H$377,0))="","",INDEX(Corrupcion!$E$2:$E$377,MATCH($A187&amp;"|"&amp;$B187,Corrupcion!$H$2:$H$377,0))),"")</f>
        <v/>
      </c>
      <c r="G187" s="20">
        <f>IFERROR(IF(INDEX(Corrupcion!$F$2:$F$377,MATCH($A187&amp;"|"&amp;$B187,Corrupcion!$H$2:$H$377,0))="","",INDEX(Corrupcion!$F$2:$F$377,MATCH($A187&amp;"|"&amp;$B187,Corrupcion!$H$2:$H$377,0))),"")</f>
        <v/>
      </c>
      <c r="H187" s="17">
        <f>IFERROR(IF(INDEX(Corrupcion!$G$2:$G$377,MATCH($A187&amp;"|"&amp;$B187,Corrupcion!$H$2:$H$377,0))="","",INDEX(Corrupcion!$G$2:$G$377,MATCH($A187&amp;"|"&amp;$B187,Corrupcion!$H$2:$H$377,0))),"")</f>
        <v/>
      </c>
      <c r="I187" s="8">
        <f>IF(COUNTBLANK(C187:E187)+COUNTBLANK(F187)=0,1,0)</f>
        <v/>
      </c>
      <c r="J187" s="8">
        <f>IF(COUNTBLANK(C187:E187)+COUNTBLANK(G187)=0,1,0)</f>
        <v/>
      </c>
      <c r="K187" s="8">
        <f>IF(COUNTBLANK(C187:E187)+COUNTBLANK(H187)=0,1,0)</f>
        <v/>
      </c>
    </row>
    <row r="188">
      <c r="A188" s="8" t="inlineStr">
        <is>
          <t>Guatemala</t>
        </is>
      </c>
      <c r="B188" s="8" t="n">
        <v>2005</v>
      </c>
      <c r="C188" s="18">
        <f>IF(Categorias!C189="","",Categorias!C189)</f>
        <v/>
      </c>
      <c r="D188" s="18">
        <f>IF(Categorias!H189="","",Categorias!H189)</f>
        <v/>
      </c>
      <c r="E188" s="17">
        <f>IFERROR(IF(INDEX(Gini!$C$2:$C$377,MATCH($A188&amp;"|"&amp;$B188,Gini!$E$2:$E$377,0))="","",INDEX(Gini!$C$2:$C$377,MATCH($A188&amp;"|"&amp;$B188,Gini!$E$2:$E$377,0))),"")</f>
        <v/>
      </c>
      <c r="F188" s="19">
        <f>IFERROR(IF(INDEX(Corrupcion!$E$2:$E$377,MATCH($A188&amp;"|"&amp;$B188,Corrupcion!$H$2:$H$377,0))="","",INDEX(Corrupcion!$E$2:$E$377,MATCH($A188&amp;"|"&amp;$B188,Corrupcion!$H$2:$H$377,0))),"")</f>
        <v/>
      </c>
      <c r="G188" s="20">
        <f>IFERROR(IF(INDEX(Corrupcion!$F$2:$F$377,MATCH($A188&amp;"|"&amp;$B188,Corrupcion!$H$2:$H$377,0))="","",INDEX(Corrupcion!$F$2:$F$377,MATCH($A188&amp;"|"&amp;$B188,Corrupcion!$H$2:$H$377,0))),"")</f>
        <v/>
      </c>
      <c r="H188" s="17">
        <f>IFERROR(IF(INDEX(Corrupcion!$G$2:$G$377,MATCH($A188&amp;"|"&amp;$B188,Corrupcion!$H$2:$H$377,0))="","",INDEX(Corrupcion!$G$2:$G$377,MATCH($A188&amp;"|"&amp;$B188,Corrupcion!$H$2:$H$377,0))),"")</f>
        <v/>
      </c>
      <c r="I188" s="8">
        <f>IF(COUNTBLANK(C188:E188)+COUNTBLANK(F188)=0,1,0)</f>
        <v/>
      </c>
      <c r="J188" s="8">
        <f>IF(COUNTBLANK(C188:E188)+COUNTBLANK(G188)=0,1,0)</f>
        <v/>
      </c>
      <c r="K188" s="8">
        <f>IF(COUNTBLANK(C188:E188)+COUNTBLANK(H188)=0,1,0)</f>
        <v/>
      </c>
    </row>
    <row r="189">
      <c r="A189" s="8" t="inlineStr">
        <is>
          <t>Guatemala</t>
        </is>
      </c>
      <c r="B189" s="8" t="n">
        <v>2006</v>
      </c>
      <c r="C189" s="18">
        <f>IF(Categorias!C190="","",Categorias!C190)</f>
        <v/>
      </c>
      <c r="D189" s="18">
        <f>IF(Categorias!H190="","",Categorias!H190)</f>
        <v/>
      </c>
      <c r="E189" s="17">
        <f>IFERROR(IF(INDEX(Gini!$C$2:$C$377,MATCH($A189&amp;"|"&amp;$B189,Gini!$E$2:$E$377,0))="","",INDEX(Gini!$C$2:$C$377,MATCH($A189&amp;"|"&amp;$B189,Gini!$E$2:$E$377,0))),"")</f>
        <v/>
      </c>
      <c r="F189" s="19">
        <f>IFERROR(IF(INDEX(Corrupcion!$E$2:$E$377,MATCH($A189&amp;"|"&amp;$B189,Corrupcion!$H$2:$H$377,0))="","",INDEX(Corrupcion!$E$2:$E$377,MATCH($A189&amp;"|"&amp;$B189,Corrupcion!$H$2:$H$377,0))),"")</f>
        <v/>
      </c>
      <c r="G189" s="20">
        <f>IFERROR(IF(INDEX(Corrupcion!$F$2:$F$377,MATCH($A189&amp;"|"&amp;$B189,Corrupcion!$H$2:$H$377,0))="","",INDEX(Corrupcion!$F$2:$F$377,MATCH($A189&amp;"|"&amp;$B189,Corrupcion!$H$2:$H$377,0))),"")</f>
        <v/>
      </c>
      <c r="H189" s="17">
        <f>IFERROR(IF(INDEX(Corrupcion!$G$2:$G$377,MATCH($A189&amp;"|"&amp;$B189,Corrupcion!$H$2:$H$377,0))="","",INDEX(Corrupcion!$G$2:$G$377,MATCH($A189&amp;"|"&amp;$B189,Corrupcion!$H$2:$H$377,0))),"")</f>
        <v/>
      </c>
      <c r="I189" s="8">
        <f>IF(COUNTBLANK(C189:E189)+COUNTBLANK(F189)=0,1,0)</f>
        <v/>
      </c>
      <c r="J189" s="8">
        <f>IF(COUNTBLANK(C189:E189)+COUNTBLANK(G189)=0,1,0)</f>
        <v/>
      </c>
      <c r="K189" s="8">
        <f>IF(COUNTBLANK(C189:E189)+COUNTBLANK(H189)=0,1,0)</f>
        <v/>
      </c>
    </row>
    <row r="190">
      <c r="A190" s="8" t="inlineStr">
        <is>
          <t>Guatemala</t>
        </is>
      </c>
      <c r="B190" s="8" t="n">
        <v>2007</v>
      </c>
      <c r="C190" s="18">
        <f>IF(Categorias!C191="","",Categorias!C191)</f>
        <v/>
      </c>
      <c r="D190" s="18">
        <f>IF(Categorias!H191="","",Categorias!H191)</f>
        <v/>
      </c>
      <c r="E190" s="17">
        <f>IFERROR(IF(INDEX(Gini!$C$2:$C$377,MATCH($A190&amp;"|"&amp;$B190,Gini!$E$2:$E$377,0))="","",INDEX(Gini!$C$2:$C$377,MATCH($A190&amp;"|"&amp;$B190,Gini!$E$2:$E$377,0))),"")</f>
        <v/>
      </c>
      <c r="F190" s="19">
        <f>IFERROR(IF(INDEX(Corrupcion!$E$2:$E$377,MATCH($A190&amp;"|"&amp;$B190,Corrupcion!$H$2:$H$377,0))="","",INDEX(Corrupcion!$E$2:$E$377,MATCH($A190&amp;"|"&amp;$B190,Corrupcion!$H$2:$H$377,0))),"")</f>
        <v/>
      </c>
      <c r="G190" s="20">
        <f>IFERROR(IF(INDEX(Corrupcion!$F$2:$F$377,MATCH($A190&amp;"|"&amp;$B190,Corrupcion!$H$2:$H$377,0))="","",INDEX(Corrupcion!$F$2:$F$377,MATCH($A190&amp;"|"&amp;$B190,Corrupcion!$H$2:$H$377,0))),"")</f>
        <v/>
      </c>
      <c r="H190" s="17">
        <f>IFERROR(IF(INDEX(Corrupcion!$G$2:$G$377,MATCH($A190&amp;"|"&amp;$B190,Corrupcion!$H$2:$H$377,0))="","",INDEX(Corrupcion!$G$2:$G$377,MATCH($A190&amp;"|"&amp;$B190,Corrupcion!$H$2:$H$377,0))),"")</f>
        <v/>
      </c>
      <c r="I190" s="8">
        <f>IF(COUNTBLANK(C190:E190)+COUNTBLANK(F190)=0,1,0)</f>
        <v/>
      </c>
      <c r="J190" s="8">
        <f>IF(COUNTBLANK(C190:E190)+COUNTBLANK(G190)=0,1,0)</f>
        <v/>
      </c>
      <c r="K190" s="8">
        <f>IF(COUNTBLANK(C190:E190)+COUNTBLANK(H190)=0,1,0)</f>
        <v/>
      </c>
    </row>
    <row r="191">
      <c r="A191" s="8" t="inlineStr">
        <is>
          <t>Guatemala</t>
        </is>
      </c>
      <c r="B191" s="8" t="n">
        <v>2008</v>
      </c>
      <c r="C191" s="18">
        <f>IF(Categorias!C192="","",Categorias!C192)</f>
        <v/>
      </c>
      <c r="D191" s="18">
        <f>IF(Categorias!H192="","",Categorias!H192)</f>
        <v/>
      </c>
      <c r="E191" s="17">
        <f>IFERROR(IF(INDEX(Gini!$C$2:$C$377,MATCH($A191&amp;"|"&amp;$B191,Gini!$E$2:$E$377,0))="","",INDEX(Gini!$C$2:$C$377,MATCH($A191&amp;"|"&amp;$B191,Gini!$E$2:$E$377,0))),"")</f>
        <v/>
      </c>
      <c r="F191" s="19">
        <f>IFERROR(IF(INDEX(Corrupcion!$E$2:$E$377,MATCH($A191&amp;"|"&amp;$B191,Corrupcion!$H$2:$H$377,0))="","",INDEX(Corrupcion!$E$2:$E$377,MATCH($A191&amp;"|"&amp;$B191,Corrupcion!$H$2:$H$377,0))),"")</f>
        <v/>
      </c>
      <c r="G191" s="20">
        <f>IFERROR(IF(INDEX(Corrupcion!$F$2:$F$377,MATCH($A191&amp;"|"&amp;$B191,Corrupcion!$H$2:$H$377,0))="","",INDEX(Corrupcion!$F$2:$F$377,MATCH($A191&amp;"|"&amp;$B191,Corrupcion!$H$2:$H$377,0))),"")</f>
        <v/>
      </c>
      <c r="H191" s="17">
        <f>IFERROR(IF(INDEX(Corrupcion!$G$2:$G$377,MATCH($A191&amp;"|"&amp;$B191,Corrupcion!$H$2:$H$377,0))="","",INDEX(Corrupcion!$G$2:$G$377,MATCH($A191&amp;"|"&amp;$B191,Corrupcion!$H$2:$H$377,0))),"")</f>
        <v/>
      </c>
      <c r="I191" s="8">
        <f>IF(COUNTBLANK(C191:E191)+COUNTBLANK(F191)=0,1,0)</f>
        <v/>
      </c>
      <c r="J191" s="8">
        <f>IF(COUNTBLANK(C191:E191)+COUNTBLANK(G191)=0,1,0)</f>
        <v/>
      </c>
      <c r="K191" s="8">
        <f>IF(COUNTBLANK(C191:E191)+COUNTBLANK(H191)=0,1,0)</f>
        <v/>
      </c>
    </row>
    <row r="192">
      <c r="A192" s="8" t="inlineStr">
        <is>
          <t>Guatemala</t>
        </is>
      </c>
      <c r="B192" s="8" t="n">
        <v>2009</v>
      </c>
      <c r="C192" s="18">
        <f>IF(Categorias!C193="","",Categorias!C193)</f>
        <v/>
      </c>
      <c r="D192" s="18">
        <f>IF(Categorias!H193="","",Categorias!H193)</f>
        <v/>
      </c>
      <c r="E192" s="17">
        <f>IFERROR(IF(INDEX(Gini!$C$2:$C$377,MATCH($A192&amp;"|"&amp;$B192,Gini!$E$2:$E$377,0))="","",INDEX(Gini!$C$2:$C$377,MATCH($A192&amp;"|"&amp;$B192,Gini!$E$2:$E$377,0))),"")</f>
        <v/>
      </c>
      <c r="F192" s="19">
        <f>IFERROR(IF(INDEX(Corrupcion!$E$2:$E$377,MATCH($A192&amp;"|"&amp;$B192,Corrupcion!$H$2:$H$377,0))="","",INDEX(Corrupcion!$E$2:$E$377,MATCH($A192&amp;"|"&amp;$B192,Corrupcion!$H$2:$H$377,0))),"")</f>
        <v/>
      </c>
      <c r="G192" s="20">
        <f>IFERROR(IF(INDEX(Corrupcion!$F$2:$F$377,MATCH($A192&amp;"|"&amp;$B192,Corrupcion!$H$2:$H$377,0))="","",INDEX(Corrupcion!$F$2:$F$377,MATCH($A192&amp;"|"&amp;$B192,Corrupcion!$H$2:$H$377,0))),"")</f>
        <v/>
      </c>
      <c r="H192" s="17">
        <f>IFERROR(IF(INDEX(Corrupcion!$G$2:$G$377,MATCH($A192&amp;"|"&amp;$B192,Corrupcion!$H$2:$H$377,0))="","",INDEX(Corrupcion!$G$2:$G$377,MATCH($A192&amp;"|"&amp;$B192,Corrupcion!$H$2:$H$377,0))),"")</f>
        <v/>
      </c>
      <c r="I192" s="8">
        <f>IF(COUNTBLANK(C192:E192)+COUNTBLANK(F192)=0,1,0)</f>
        <v/>
      </c>
      <c r="J192" s="8">
        <f>IF(COUNTBLANK(C192:E192)+COUNTBLANK(G192)=0,1,0)</f>
        <v/>
      </c>
      <c r="K192" s="8">
        <f>IF(COUNTBLANK(C192:E192)+COUNTBLANK(H192)=0,1,0)</f>
        <v/>
      </c>
    </row>
    <row r="193">
      <c r="A193" s="8" t="inlineStr">
        <is>
          <t>Guatemala</t>
        </is>
      </c>
      <c r="B193" s="8" t="n">
        <v>2010</v>
      </c>
      <c r="C193" s="18">
        <f>IF(Categorias!C194="","",Categorias!C194)</f>
        <v/>
      </c>
      <c r="D193" s="18">
        <f>IF(Categorias!H194="","",Categorias!H194)</f>
        <v/>
      </c>
      <c r="E193" s="17">
        <f>IFERROR(IF(INDEX(Gini!$C$2:$C$377,MATCH($A193&amp;"|"&amp;$B193,Gini!$E$2:$E$377,0))="","",INDEX(Gini!$C$2:$C$377,MATCH($A193&amp;"|"&amp;$B193,Gini!$E$2:$E$377,0))),"")</f>
        <v/>
      </c>
      <c r="F193" s="19">
        <f>IFERROR(IF(INDEX(Corrupcion!$E$2:$E$377,MATCH($A193&amp;"|"&amp;$B193,Corrupcion!$H$2:$H$377,0))="","",INDEX(Corrupcion!$E$2:$E$377,MATCH($A193&amp;"|"&amp;$B193,Corrupcion!$H$2:$H$377,0))),"")</f>
        <v/>
      </c>
      <c r="G193" s="20">
        <f>IFERROR(IF(INDEX(Corrupcion!$F$2:$F$377,MATCH($A193&amp;"|"&amp;$B193,Corrupcion!$H$2:$H$377,0))="","",INDEX(Corrupcion!$F$2:$F$377,MATCH($A193&amp;"|"&amp;$B193,Corrupcion!$H$2:$H$377,0))),"")</f>
        <v/>
      </c>
      <c r="H193" s="17">
        <f>IFERROR(IF(INDEX(Corrupcion!$G$2:$G$377,MATCH($A193&amp;"|"&amp;$B193,Corrupcion!$H$2:$H$377,0))="","",INDEX(Corrupcion!$G$2:$G$377,MATCH($A193&amp;"|"&amp;$B193,Corrupcion!$H$2:$H$377,0))),"")</f>
        <v/>
      </c>
      <c r="I193" s="8">
        <f>IF(COUNTBLANK(C193:E193)+COUNTBLANK(F193)=0,1,0)</f>
        <v/>
      </c>
      <c r="J193" s="8">
        <f>IF(COUNTBLANK(C193:E193)+COUNTBLANK(G193)=0,1,0)</f>
        <v/>
      </c>
      <c r="K193" s="8">
        <f>IF(COUNTBLANK(C193:E193)+COUNTBLANK(H193)=0,1,0)</f>
        <v/>
      </c>
    </row>
    <row r="194">
      <c r="A194" s="8" t="inlineStr">
        <is>
          <t>Guatemala</t>
        </is>
      </c>
      <c r="B194" s="8" t="n">
        <v>2011</v>
      </c>
      <c r="C194" s="18">
        <f>IF(Categorias!C195="","",Categorias!C195)</f>
        <v/>
      </c>
      <c r="D194" s="18">
        <f>IF(Categorias!H195="","",Categorias!H195)</f>
        <v/>
      </c>
      <c r="E194" s="17">
        <f>IFERROR(IF(INDEX(Gini!$C$2:$C$377,MATCH($A194&amp;"|"&amp;$B194,Gini!$E$2:$E$377,0))="","",INDEX(Gini!$C$2:$C$377,MATCH($A194&amp;"|"&amp;$B194,Gini!$E$2:$E$377,0))),"")</f>
        <v/>
      </c>
      <c r="F194" s="19">
        <f>IFERROR(IF(INDEX(Corrupcion!$E$2:$E$377,MATCH($A194&amp;"|"&amp;$B194,Corrupcion!$H$2:$H$377,0))="","",INDEX(Corrupcion!$E$2:$E$377,MATCH($A194&amp;"|"&amp;$B194,Corrupcion!$H$2:$H$377,0))),"")</f>
        <v/>
      </c>
      <c r="G194" s="20">
        <f>IFERROR(IF(INDEX(Corrupcion!$F$2:$F$377,MATCH($A194&amp;"|"&amp;$B194,Corrupcion!$H$2:$H$377,0))="","",INDEX(Corrupcion!$F$2:$F$377,MATCH($A194&amp;"|"&amp;$B194,Corrupcion!$H$2:$H$377,0))),"")</f>
        <v/>
      </c>
      <c r="H194" s="17">
        <f>IFERROR(IF(INDEX(Corrupcion!$G$2:$G$377,MATCH($A194&amp;"|"&amp;$B194,Corrupcion!$H$2:$H$377,0))="","",INDEX(Corrupcion!$G$2:$G$377,MATCH($A194&amp;"|"&amp;$B194,Corrupcion!$H$2:$H$377,0))),"")</f>
        <v/>
      </c>
      <c r="I194" s="8">
        <f>IF(COUNTBLANK(C194:E194)+COUNTBLANK(F194)=0,1,0)</f>
        <v/>
      </c>
      <c r="J194" s="8">
        <f>IF(COUNTBLANK(C194:E194)+COUNTBLANK(G194)=0,1,0)</f>
        <v/>
      </c>
      <c r="K194" s="8">
        <f>IF(COUNTBLANK(C194:E194)+COUNTBLANK(H194)=0,1,0)</f>
        <v/>
      </c>
    </row>
    <row r="195">
      <c r="A195" s="8" t="inlineStr">
        <is>
          <t>Guatemala</t>
        </is>
      </c>
      <c r="B195" s="8" t="n">
        <v>2016</v>
      </c>
      <c r="C195" s="18">
        <f>IF(Categorias!C196="","",Categorias!C196)</f>
        <v/>
      </c>
      <c r="D195" s="18">
        <f>IF(Categorias!H196="","",Categorias!H196)</f>
        <v/>
      </c>
      <c r="E195" s="17">
        <f>IFERROR(IF(INDEX(Gini!$C$2:$C$377,MATCH($A195&amp;"|"&amp;$B195,Gini!$E$2:$E$377,0))="","",INDEX(Gini!$C$2:$C$377,MATCH($A195&amp;"|"&amp;$B195,Gini!$E$2:$E$377,0))),"")</f>
        <v/>
      </c>
      <c r="F195" s="19">
        <f>IFERROR(IF(INDEX(Corrupcion!$E$2:$E$377,MATCH($A195&amp;"|"&amp;$B195,Corrupcion!$H$2:$H$377,0))="","",INDEX(Corrupcion!$E$2:$E$377,MATCH($A195&amp;"|"&amp;$B195,Corrupcion!$H$2:$H$377,0))),"")</f>
        <v/>
      </c>
      <c r="G195" s="20">
        <f>IFERROR(IF(INDEX(Corrupcion!$F$2:$F$377,MATCH($A195&amp;"|"&amp;$B195,Corrupcion!$H$2:$H$377,0))="","",INDEX(Corrupcion!$F$2:$F$377,MATCH($A195&amp;"|"&amp;$B195,Corrupcion!$H$2:$H$377,0))),"")</f>
        <v/>
      </c>
      <c r="H195" s="17">
        <f>IFERROR(IF(INDEX(Corrupcion!$G$2:$G$377,MATCH($A195&amp;"|"&amp;$B195,Corrupcion!$H$2:$H$377,0))="","",INDEX(Corrupcion!$G$2:$G$377,MATCH($A195&amp;"|"&amp;$B195,Corrupcion!$H$2:$H$377,0))),"")</f>
        <v/>
      </c>
      <c r="I195" s="8">
        <f>IF(COUNTBLANK(C195:E195)+COUNTBLANK(F195)=0,1,0)</f>
        <v/>
      </c>
      <c r="J195" s="8">
        <f>IF(COUNTBLANK(C195:E195)+COUNTBLANK(G195)=0,1,0)</f>
        <v/>
      </c>
      <c r="K195" s="8">
        <f>IF(COUNTBLANK(C195:E195)+COUNTBLANK(H195)=0,1,0)</f>
        <v/>
      </c>
    </row>
    <row r="196">
      <c r="A196" s="8" t="inlineStr">
        <is>
          <t>Guatemala</t>
        </is>
      </c>
      <c r="B196" s="8" t="n">
        <v>2017</v>
      </c>
      <c r="C196" s="18">
        <f>IF(Categorias!C197="","",Categorias!C197)</f>
        <v/>
      </c>
      <c r="D196" s="18">
        <f>IF(Categorias!H197="","",Categorias!H197)</f>
        <v/>
      </c>
      <c r="E196" s="17">
        <f>IFERROR(IF(INDEX(Gini!$C$2:$C$377,MATCH($A196&amp;"|"&amp;$B196,Gini!$E$2:$E$377,0))="","",INDEX(Gini!$C$2:$C$377,MATCH($A196&amp;"|"&amp;$B196,Gini!$E$2:$E$377,0))),"")</f>
        <v/>
      </c>
      <c r="F196" s="19">
        <f>IFERROR(IF(INDEX(Corrupcion!$E$2:$E$377,MATCH($A196&amp;"|"&amp;$B196,Corrupcion!$H$2:$H$377,0))="","",INDEX(Corrupcion!$E$2:$E$377,MATCH($A196&amp;"|"&amp;$B196,Corrupcion!$H$2:$H$377,0))),"")</f>
        <v/>
      </c>
      <c r="G196" s="20">
        <f>IFERROR(IF(INDEX(Corrupcion!$F$2:$F$377,MATCH($A196&amp;"|"&amp;$B196,Corrupcion!$H$2:$H$377,0))="","",INDEX(Corrupcion!$F$2:$F$377,MATCH($A196&amp;"|"&amp;$B196,Corrupcion!$H$2:$H$377,0))),"")</f>
        <v/>
      </c>
      <c r="H196" s="17">
        <f>IFERROR(IF(INDEX(Corrupcion!$G$2:$G$377,MATCH($A196&amp;"|"&amp;$B196,Corrupcion!$H$2:$H$377,0))="","",INDEX(Corrupcion!$G$2:$G$377,MATCH($A196&amp;"|"&amp;$B196,Corrupcion!$H$2:$H$377,0))),"")</f>
        <v/>
      </c>
      <c r="I196" s="8">
        <f>IF(COUNTBLANK(C196:E196)+COUNTBLANK(F196)=0,1,0)</f>
        <v/>
      </c>
      <c r="J196" s="8">
        <f>IF(COUNTBLANK(C196:E196)+COUNTBLANK(G196)=0,1,0)</f>
        <v/>
      </c>
      <c r="K196" s="8">
        <f>IF(COUNTBLANK(C196:E196)+COUNTBLANK(H196)=0,1,0)</f>
        <v/>
      </c>
    </row>
    <row r="197">
      <c r="A197" s="8" t="inlineStr">
        <is>
          <t>Guatemala</t>
        </is>
      </c>
      <c r="B197" s="8" t="n">
        <v>2018</v>
      </c>
      <c r="C197" s="18">
        <f>IF(Categorias!C198="","",Categorias!C198)</f>
        <v/>
      </c>
      <c r="D197" s="18">
        <f>IF(Categorias!H198="","",Categorias!H198)</f>
        <v/>
      </c>
      <c r="E197" s="17">
        <f>IFERROR(IF(INDEX(Gini!$C$2:$C$377,MATCH($A197&amp;"|"&amp;$B197,Gini!$E$2:$E$377,0))="","",INDEX(Gini!$C$2:$C$377,MATCH($A197&amp;"|"&amp;$B197,Gini!$E$2:$E$377,0))),"")</f>
        <v/>
      </c>
      <c r="F197" s="19">
        <f>IFERROR(IF(INDEX(Corrupcion!$E$2:$E$377,MATCH($A197&amp;"|"&amp;$B197,Corrupcion!$H$2:$H$377,0))="","",INDEX(Corrupcion!$E$2:$E$377,MATCH($A197&amp;"|"&amp;$B197,Corrupcion!$H$2:$H$377,0))),"")</f>
        <v/>
      </c>
      <c r="G197" s="20">
        <f>IFERROR(IF(INDEX(Corrupcion!$F$2:$F$377,MATCH($A197&amp;"|"&amp;$B197,Corrupcion!$H$2:$H$377,0))="","",INDEX(Corrupcion!$F$2:$F$377,MATCH($A197&amp;"|"&amp;$B197,Corrupcion!$H$2:$H$377,0))),"")</f>
        <v/>
      </c>
      <c r="H197" s="17">
        <f>IFERROR(IF(INDEX(Corrupcion!$G$2:$G$377,MATCH($A197&amp;"|"&amp;$B197,Corrupcion!$H$2:$H$377,0))="","",INDEX(Corrupcion!$G$2:$G$377,MATCH($A197&amp;"|"&amp;$B197,Corrupcion!$H$2:$H$377,0))),"")</f>
        <v/>
      </c>
      <c r="I197" s="8">
        <f>IF(COUNTBLANK(C197:E197)+COUNTBLANK(F197)=0,1,0)</f>
        <v/>
      </c>
      <c r="J197" s="8">
        <f>IF(COUNTBLANK(C197:E197)+COUNTBLANK(G197)=0,1,0)</f>
        <v/>
      </c>
      <c r="K197" s="8">
        <f>IF(COUNTBLANK(C197:E197)+COUNTBLANK(H197)=0,1,0)</f>
        <v/>
      </c>
    </row>
    <row r="198">
      <c r="A198" s="8" t="inlineStr">
        <is>
          <t>Guatemala</t>
        </is>
      </c>
      <c r="B198" s="8" t="n">
        <v>2020</v>
      </c>
      <c r="C198" s="18">
        <f>IF(Categorias!C199="","",Categorias!C199)</f>
        <v/>
      </c>
      <c r="D198" s="18">
        <f>IF(Categorias!H199="","",Categorias!H199)</f>
        <v/>
      </c>
      <c r="E198" s="17">
        <f>IFERROR(IF(INDEX(Gini!$C$2:$C$377,MATCH($A198&amp;"|"&amp;$B198,Gini!$E$2:$E$377,0))="","",INDEX(Gini!$C$2:$C$377,MATCH($A198&amp;"|"&amp;$B198,Gini!$E$2:$E$377,0))),"")</f>
        <v/>
      </c>
      <c r="F198" s="19">
        <f>IFERROR(IF(INDEX(Corrupcion!$E$2:$E$377,MATCH($A198&amp;"|"&amp;$B198,Corrupcion!$H$2:$H$377,0))="","",INDEX(Corrupcion!$E$2:$E$377,MATCH($A198&amp;"|"&amp;$B198,Corrupcion!$H$2:$H$377,0))),"")</f>
        <v/>
      </c>
      <c r="G198" s="20">
        <f>IFERROR(IF(INDEX(Corrupcion!$F$2:$F$377,MATCH($A198&amp;"|"&amp;$B198,Corrupcion!$H$2:$H$377,0))="","",INDEX(Corrupcion!$F$2:$F$377,MATCH($A198&amp;"|"&amp;$B198,Corrupcion!$H$2:$H$377,0))),"")</f>
        <v/>
      </c>
      <c r="H198" s="17">
        <f>IFERROR(IF(INDEX(Corrupcion!$G$2:$G$377,MATCH($A198&amp;"|"&amp;$B198,Corrupcion!$H$2:$H$377,0))="","",INDEX(Corrupcion!$G$2:$G$377,MATCH($A198&amp;"|"&amp;$B198,Corrupcion!$H$2:$H$377,0))),"")</f>
        <v/>
      </c>
      <c r="I198" s="8">
        <f>IF(COUNTBLANK(C198:E198)+COUNTBLANK(F198)=0,1,0)</f>
        <v/>
      </c>
      <c r="J198" s="8">
        <f>IF(COUNTBLANK(C198:E198)+COUNTBLANK(G198)=0,1,0)</f>
        <v/>
      </c>
      <c r="K198" s="8">
        <f>IF(COUNTBLANK(C198:E198)+COUNTBLANK(H198)=0,1,0)</f>
        <v/>
      </c>
    </row>
    <row r="199">
      <c r="A199" s="8" t="inlineStr">
        <is>
          <t>Guatemala</t>
        </is>
      </c>
      <c r="B199" s="8" t="n">
        <v>2024</v>
      </c>
      <c r="C199" s="18">
        <f>IF(Categorias!C200="","",Categorias!C200)</f>
        <v/>
      </c>
      <c r="D199" s="18">
        <f>IF(Categorias!H200="","",Categorias!H200)</f>
        <v/>
      </c>
      <c r="E199" s="17">
        <f>IFERROR(IF(INDEX(Gini!$C$2:$C$377,MATCH($A199&amp;"|"&amp;$B199,Gini!$E$2:$E$377,0))="","",INDEX(Gini!$C$2:$C$377,MATCH($A199&amp;"|"&amp;$B199,Gini!$E$2:$E$377,0))),"")</f>
        <v/>
      </c>
      <c r="F199" s="19">
        <f>IFERROR(IF(INDEX(Corrupcion!$E$2:$E$377,MATCH($A199&amp;"|"&amp;$B199,Corrupcion!$H$2:$H$377,0))="","",INDEX(Corrupcion!$E$2:$E$377,MATCH($A199&amp;"|"&amp;$B199,Corrupcion!$H$2:$H$377,0))),"")</f>
        <v/>
      </c>
      <c r="G199" s="20">
        <f>IFERROR(IF(INDEX(Corrupcion!$F$2:$F$377,MATCH($A199&amp;"|"&amp;$B199,Corrupcion!$H$2:$H$377,0))="","",INDEX(Corrupcion!$F$2:$F$377,MATCH($A199&amp;"|"&amp;$B199,Corrupcion!$H$2:$H$377,0))),"")</f>
        <v/>
      </c>
      <c r="H199" s="17">
        <f>IFERROR(IF(INDEX(Corrupcion!$G$2:$G$377,MATCH($A199&amp;"|"&amp;$B199,Corrupcion!$H$2:$H$377,0))="","",INDEX(Corrupcion!$G$2:$G$377,MATCH($A199&amp;"|"&amp;$B199,Corrupcion!$H$2:$H$377,0))),"")</f>
        <v/>
      </c>
      <c r="I199" s="8">
        <f>IF(COUNTBLANK(C199:E199)+COUNTBLANK(F199)=0,1,0)</f>
        <v/>
      </c>
      <c r="J199" s="8">
        <f>IF(COUNTBLANK(C199:E199)+COUNTBLANK(G199)=0,1,0)</f>
        <v/>
      </c>
      <c r="K199" s="8">
        <f>IF(COUNTBLANK(C199:E199)+COUNTBLANK(H199)=0,1,0)</f>
        <v/>
      </c>
    </row>
    <row r="200">
      <c r="A200" s="8" t="inlineStr">
        <is>
          <t>Honduras</t>
        </is>
      </c>
      <c r="B200" s="8" t="n">
        <v>1996</v>
      </c>
      <c r="C200" s="18">
        <f>IF(Categorias!C201="","",Categorias!C201)</f>
        <v/>
      </c>
      <c r="D200" s="18">
        <f>IF(Categorias!H201="","",Categorias!H201)</f>
        <v/>
      </c>
      <c r="E200" s="17">
        <f>IFERROR(IF(INDEX(Gini!$C$2:$C$377,MATCH($A200&amp;"|"&amp;$B200,Gini!$E$2:$E$377,0))="","",INDEX(Gini!$C$2:$C$377,MATCH($A200&amp;"|"&amp;$B200,Gini!$E$2:$E$377,0))),"")</f>
        <v/>
      </c>
      <c r="F200" s="19">
        <f>IFERROR(IF(INDEX(Corrupcion!$E$2:$E$377,MATCH($A200&amp;"|"&amp;$B200,Corrupcion!$H$2:$H$377,0))="","",INDEX(Corrupcion!$E$2:$E$377,MATCH($A200&amp;"|"&amp;$B200,Corrupcion!$H$2:$H$377,0))),"")</f>
        <v/>
      </c>
      <c r="G200" s="20">
        <f>IFERROR(IF(INDEX(Corrupcion!$F$2:$F$377,MATCH($A200&amp;"|"&amp;$B200,Corrupcion!$H$2:$H$377,0))="","",INDEX(Corrupcion!$F$2:$F$377,MATCH($A200&amp;"|"&amp;$B200,Corrupcion!$H$2:$H$377,0))),"")</f>
        <v/>
      </c>
      <c r="H200" s="17">
        <f>IFERROR(IF(INDEX(Corrupcion!$G$2:$G$377,MATCH($A200&amp;"|"&amp;$B200,Corrupcion!$H$2:$H$377,0))="","",INDEX(Corrupcion!$G$2:$G$377,MATCH($A200&amp;"|"&amp;$B200,Corrupcion!$H$2:$H$377,0))),"")</f>
        <v/>
      </c>
      <c r="I200" s="8">
        <f>IF(COUNTBLANK(C200:E200)+COUNTBLANK(F200)=0,1,0)</f>
        <v/>
      </c>
      <c r="J200" s="8">
        <f>IF(COUNTBLANK(C200:E200)+COUNTBLANK(G200)=0,1,0)</f>
        <v/>
      </c>
      <c r="K200" s="8">
        <f>IF(COUNTBLANK(C200:E200)+COUNTBLANK(H200)=0,1,0)</f>
        <v/>
      </c>
    </row>
    <row r="201">
      <c r="A201" s="8" t="inlineStr">
        <is>
          <t>Honduras</t>
        </is>
      </c>
      <c r="B201" s="8" t="n">
        <v>1997</v>
      </c>
      <c r="C201" s="18">
        <f>IF(Categorias!C202="","",Categorias!C202)</f>
        <v/>
      </c>
      <c r="D201" s="18">
        <f>IF(Categorias!H202="","",Categorias!H202)</f>
        <v/>
      </c>
      <c r="E201" s="17">
        <f>IFERROR(IF(INDEX(Gini!$C$2:$C$377,MATCH($A201&amp;"|"&amp;$B201,Gini!$E$2:$E$377,0))="","",INDEX(Gini!$C$2:$C$377,MATCH($A201&amp;"|"&amp;$B201,Gini!$E$2:$E$377,0))),"")</f>
        <v/>
      </c>
      <c r="F201" s="19">
        <f>IFERROR(IF(INDEX(Corrupcion!$E$2:$E$377,MATCH($A201&amp;"|"&amp;$B201,Corrupcion!$H$2:$H$377,0))="","",INDEX(Corrupcion!$E$2:$E$377,MATCH($A201&amp;"|"&amp;$B201,Corrupcion!$H$2:$H$377,0))),"")</f>
        <v/>
      </c>
      <c r="G201" s="20">
        <f>IFERROR(IF(INDEX(Corrupcion!$F$2:$F$377,MATCH($A201&amp;"|"&amp;$B201,Corrupcion!$H$2:$H$377,0))="","",INDEX(Corrupcion!$F$2:$F$377,MATCH($A201&amp;"|"&amp;$B201,Corrupcion!$H$2:$H$377,0))),"")</f>
        <v/>
      </c>
      <c r="H201" s="17">
        <f>IFERROR(IF(INDEX(Corrupcion!$G$2:$G$377,MATCH($A201&amp;"|"&amp;$B201,Corrupcion!$H$2:$H$377,0))="","",INDEX(Corrupcion!$G$2:$G$377,MATCH($A201&amp;"|"&amp;$B201,Corrupcion!$H$2:$H$377,0))),"")</f>
        <v/>
      </c>
      <c r="I201" s="8">
        <f>IF(COUNTBLANK(C201:E201)+COUNTBLANK(F201)=0,1,0)</f>
        <v/>
      </c>
      <c r="J201" s="8">
        <f>IF(COUNTBLANK(C201:E201)+COUNTBLANK(G201)=0,1,0)</f>
        <v/>
      </c>
      <c r="K201" s="8">
        <f>IF(COUNTBLANK(C201:E201)+COUNTBLANK(H201)=0,1,0)</f>
        <v/>
      </c>
    </row>
    <row r="202">
      <c r="A202" s="8" t="inlineStr">
        <is>
          <t>Honduras</t>
        </is>
      </c>
      <c r="B202" s="8" t="n">
        <v>1998</v>
      </c>
      <c r="C202" s="18">
        <f>IF(Categorias!C203="","",Categorias!C203)</f>
        <v/>
      </c>
      <c r="D202" s="18">
        <f>IF(Categorias!H203="","",Categorias!H203)</f>
        <v/>
      </c>
      <c r="E202" s="17">
        <f>IFERROR(IF(INDEX(Gini!$C$2:$C$377,MATCH($A202&amp;"|"&amp;$B202,Gini!$E$2:$E$377,0))="","",INDEX(Gini!$C$2:$C$377,MATCH($A202&amp;"|"&amp;$B202,Gini!$E$2:$E$377,0))),"")</f>
        <v/>
      </c>
      <c r="F202" s="19">
        <f>IFERROR(IF(INDEX(Corrupcion!$E$2:$E$377,MATCH($A202&amp;"|"&amp;$B202,Corrupcion!$H$2:$H$377,0))="","",INDEX(Corrupcion!$E$2:$E$377,MATCH($A202&amp;"|"&amp;$B202,Corrupcion!$H$2:$H$377,0))),"")</f>
        <v/>
      </c>
      <c r="G202" s="20">
        <f>IFERROR(IF(INDEX(Corrupcion!$F$2:$F$377,MATCH($A202&amp;"|"&amp;$B202,Corrupcion!$H$2:$H$377,0))="","",INDEX(Corrupcion!$F$2:$F$377,MATCH($A202&amp;"|"&amp;$B202,Corrupcion!$H$2:$H$377,0))),"")</f>
        <v/>
      </c>
      <c r="H202" s="17">
        <f>IFERROR(IF(INDEX(Corrupcion!$G$2:$G$377,MATCH($A202&amp;"|"&amp;$B202,Corrupcion!$H$2:$H$377,0))="","",INDEX(Corrupcion!$G$2:$G$377,MATCH($A202&amp;"|"&amp;$B202,Corrupcion!$H$2:$H$377,0))),"")</f>
        <v/>
      </c>
      <c r="I202" s="8">
        <f>IF(COUNTBLANK(C202:E202)+COUNTBLANK(F202)=0,1,0)</f>
        <v/>
      </c>
      <c r="J202" s="8">
        <f>IF(COUNTBLANK(C202:E202)+COUNTBLANK(G202)=0,1,0)</f>
        <v/>
      </c>
      <c r="K202" s="8">
        <f>IF(COUNTBLANK(C202:E202)+COUNTBLANK(H202)=0,1,0)</f>
        <v/>
      </c>
    </row>
    <row r="203">
      <c r="A203" s="8" t="inlineStr">
        <is>
          <t>Honduras</t>
        </is>
      </c>
      <c r="B203" s="8" t="n">
        <v>2000</v>
      </c>
      <c r="C203" s="18">
        <f>IF(Categorias!C204="","",Categorias!C204)</f>
        <v/>
      </c>
      <c r="D203" s="18">
        <f>IF(Categorias!H204="","",Categorias!H204)</f>
        <v/>
      </c>
      <c r="E203" s="17">
        <f>IFERROR(IF(INDEX(Gini!$C$2:$C$377,MATCH($A203&amp;"|"&amp;$B203,Gini!$E$2:$E$377,0))="","",INDEX(Gini!$C$2:$C$377,MATCH($A203&amp;"|"&amp;$B203,Gini!$E$2:$E$377,0))),"")</f>
        <v/>
      </c>
      <c r="F203" s="19">
        <f>IFERROR(IF(INDEX(Corrupcion!$E$2:$E$377,MATCH($A203&amp;"|"&amp;$B203,Corrupcion!$H$2:$H$377,0))="","",INDEX(Corrupcion!$E$2:$E$377,MATCH($A203&amp;"|"&amp;$B203,Corrupcion!$H$2:$H$377,0))),"")</f>
        <v/>
      </c>
      <c r="G203" s="20">
        <f>IFERROR(IF(INDEX(Corrupcion!$F$2:$F$377,MATCH($A203&amp;"|"&amp;$B203,Corrupcion!$H$2:$H$377,0))="","",INDEX(Corrupcion!$F$2:$F$377,MATCH($A203&amp;"|"&amp;$B203,Corrupcion!$H$2:$H$377,0))),"")</f>
        <v/>
      </c>
      <c r="H203" s="17">
        <f>IFERROR(IF(INDEX(Corrupcion!$G$2:$G$377,MATCH($A203&amp;"|"&amp;$B203,Corrupcion!$H$2:$H$377,0))="","",INDEX(Corrupcion!$G$2:$G$377,MATCH($A203&amp;"|"&amp;$B203,Corrupcion!$H$2:$H$377,0))),"")</f>
        <v/>
      </c>
      <c r="I203" s="8">
        <f>IF(COUNTBLANK(C203:E203)+COUNTBLANK(F203)=0,1,0)</f>
        <v/>
      </c>
      <c r="J203" s="8">
        <f>IF(COUNTBLANK(C203:E203)+COUNTBLANK(G203)=0,1,0)</f>
        <v/>
      </c>
      <c r="K203" s="8">
        <f>IF(COUNTBLANK(C203:E203)+COUNTBLANK(H203)=0,1,0)</f>
        <v/>
      </c>
    </row>
    <row r="204">
      <c r="A204" s="8" t="inlineStr">
        <is>
          <t>Honduras</t>
        </is>
      </c>
      <c r="B204" s="8" t="n">
        <v>2001</v>
      </c>
      <c r="C204" s="18">
        <f>IF(Categorias!C205="","",Categorias!C205)</f>
        <v/>
      </c>
      <c r="D204" s="18">
        <f>IF(Categorias!H205="","",Categorias!H205)</f>
        <v/>
      </c>
      <c r="E204" s="17">
        <f>IFERROR(IF(INDEX(Gini!$C$2:$C$377,MATCH($A204&amp;"|"&amp;$B204,Gini!$E$2:$E$377,0))="","",INDEX(Gini!$C$2:$C$377,MATCH($A204&amp;"|"&amp;$B204,Gini!$E$2:$E$377,0))),"")</f>
        <v/>
      </c>
      <c r="F204" s="19">
        <f>IFERROR(IF(INDEX(Corrupcion!$E$2:$E$377,MATCH($A204&amp;"|"&amp;$B204,Corrupcion!$H$2:$H$377,0))="","",INDEX(Corrupcion!$E$2:$E$377,MATCH($A204&amp;"|"&amp;$B204,Corrupcion!$H$2:$H$377,0))),"")</f>
        <v/>
      </c>
      <c r="G204" s="20">
        <f>IFERROR(IF(INDEX(Corrupcion!$F$2:$F$377,MATCH($A204&amp;"|"&amp;$B204,Corrupcion!$H$2:$H$377,0))="","",INDEX(Corrupcion!$F$2:$F$377,MATCH($A204&amp;"|"&amp;$B204,Corrupcion!$H$2:$H$377,0))),"")</f>
        <v/>
      </c>
      <c r="H204" s="17">
        <f>IFERROR(IF(INDEX(Corrupcion!$G$2:$G$377,MATCH($A204&amp;"|"&amp;$B204,Corrupcion!$H$2:$H$377,0))="","",INDEX(Corrupcion!$G$2:$G$377,MATCH($A204&amp;"|"&amp;$B204,Corrupcion!$H$2:$H$377,0))),"")</f>
        <v/>
      </c>
      <c r="I204" s="8">
        <f>IF(COUNTBLANK(C204:E204)+COUNTBLANK(F204)=0,1,0)</f>
        <v/>
      </c>
      <c r="J204" s="8">
        <f>IF(COUNTBLANK(C204:E204)+COUNTBLANK(G204)=0,1,0)</f>
        <v/>
      </c>
      <c r="K204" s="8">
        <f>IF(COUNTBLANK(C204:E204)+COUNTBLANK(H204)=0,1,0)</f>
        <v/>
      </c>
    </row>
    <row r="205">
      <c r="A205" s="8" t="inlineStr">
        <is>
          <t>Honduras</t>
        </is>
      </c>
      <c r="B205" s="8" t="n">
        <v>2002</v>
      </c>
      <c r="C205" s="18">
        <f>IF(Categorias!C206="","",Categorias!C206)</f>
        <v/>
      </c>
      <c r="D205" s="18">
        <f>IF(Categorias!H206="","",Categorias!H206)</f>
        <v/>
      </c>
      <c r="E205" s="17">
        <f>IFERROR(IF(INDEX(Gini!$C$2:$C$377,MATCH($A205&amp;"|"&amp;$B205,Gini!$E$2:$E$377,0))="","",INDEX(Gini!$C$2:$C$377,MATCH($A205&amp;"|"&amp;$B205,Gini!$E$2:$E$377,0))),"")</f>
        <v/>
      </c>
      <c r="F205" s="19">
        <f>IFERROR(IF(INDEX(Corrupcion!$E$2:$E$377,MATCH($A205&amp;"|"&amp;$B205,Corrupcion!$H$2:$H$377,0))="","",INDEX(Corrupcion!$E$2:$E$377,MATCH($A205&amp;"|"&amp;$B205,Corrupcion!$H$2:$H$377,0))),"")</f>
        <v/>
      </c>
      <c r="G205" s="20">
        <f>IFERROR(IF(INDEX(Corrupcion!$F$2:$F$377,MATCH($A205&amp;"|"&amp;$B205,Corrupcion!$H$2:$H$377,0))="","",INDEX(Corrupcion!$F$2:$F$377,MATCH($A205&amp;"|"&amp;$B205,Corrupcion!$H$2:$H$377,0))),"")</f>
        <v/>
      </c>
      <c r="H205" s="17">
        <f>IFERROR(IF(INDEX(Corrupcion!$G$2:$G$377,MATCH($A205&amp;"|"&amp;$B205,Corrupcion!$H$2:$H$377,0))="","",INDEX(Corrupcion!$G$2:$G$377,MATCH($A205&amp;"|"&amp;$B205,Corrupcion!$H$2:$H$377,0))),"")</f>
        <v/>
      </c>
      <c r="I205" s="8">
        <f>IF(COUNTBLANK(C205:E205)+COUNTBLANK(F205)=0,1,0)</f>
        <v/>
      </c>
      <c r="J205" s="8">
        <f>IF(COUNTBLANK(C205:E205)+COUNTBLANK(G205)=0,1,0)</f>
        <v/>
      </c>
      <c r="K205" s="8">
        <f>IF(COUNTBLANK(C205:E205)+COUNTBLANK(H205)=0,1,0)</f>
        <v/>
      </c>
    </row>
    <row r="206">
      <c r="A206" s="8" t="inlineStr">
        <is>
          <t>Honduras</t>
        </is>
      </c>
      <c r="B206" s="8" t="n">
        <v>2003</v>
      </c>
      <c r="C206" s="18">
        <f>IF(Categorias!C207="","",Categorias!C207)</f>
        <v/>
      </c>
      <c r="D206" s="18">
        <f>IF(Categorias!H207="","",Categorias!H207)</f>
        <v/>
      </c>
      <c r="E206" s="17">
        <f>IFERROR(IF(INDEX(Gini!$C$2:$C$377,MATCH($A206&amp;"|"&amp;$B206,Gini!$E$2:$E$377,0))="","",INDEX(Gini!$C$2:$C$377,MATCH($A206&amp;"|"&amp;$B206,Gini!$E$2:$E$377,0))),"")</f>
        <v/>
      </c>
      <c r="F206" s="19">
        <f>IFERROR(IF(INDEX(Corrupcion!$E$2:$E$377,MATCH($A206&amp;"|"&amp;$B206,Corrupcion!$H$2:$H$377,0))="","",INDEX(Corrupcion!$E$2:$E$377,MATCH($A206&amp;"|"&amp;$B206,Corrupcion!$H$2:$H$377,0))),"")</f>
        <v/>
      </c>
      <c r="G206" s="20">
        <f>IFERROR(IF(INDEX(Corrupcion!$F$2:$F$377,MATCH($A206&amp;"|"&amp;$B206,Corrupcion!$H$2:$H$377,0))="","",INDEX(Corrupcion!$F$2:$F$377,MATCH($A206&amp;"|"&amp;$B206,Corrupcion!$H$2:$H$377,0))),"")</f>
        <v/>
      </c>
      <c r="H206" s="17">
        <f>IFERROR(IF(INDEX(Corrupcion!$G$2:$G$377,MATCH($A206&amp;"|"&amp;$B206,Corrupcion!$H$2:$H$377,0))="","",INDEX(Corrupcion!$G$2:$G$377,MATCH($A206&amp;"|"&amp;$B206,Corrupcion!$H$2:$H$377,0))),"")</f>
        <v/>
      </c>
      <c r="I206" s="8">
        <f>IF(COUNTBLANK(C206:E206)+COUNTBLANK(F206)=0,1,0)</f>
        <v/>
      </c>
      <c r="J206" s="8">
        <f>IF(COUNTBLANK(C206:E206)+COUNTBLANK(G206)=0,1,0)</f>
        <v/>
      </c>
      <c r="K206" s="8">
        <f>IF(COUNTBLANK(C206:E206)+COUNTBLANK(H206)=0,1,0)</f>
        <v/>
      </c>
    </row>
    <row r="207">
      <c r="A207" s="8" t="inlineStr">
        <is>
          <t>Honduras</t>
        </is>
      </c>
      <c r="B207" s="8" t="n">
        <v>2004</v>
      </c>
      <c r="C207" s="18">
        <f>IF(Categorias!C208="","",Categorias!C208)</f>
        <v/>
      </c>
      <c r="D207" s="18">
        <f>IF(Categorias!H208="","",Categorias!H208)</f>
        <v/>
      </c>
      <c r="E207" s="17">
        <f>IFERROR(IF(INDEX(Gini!$C$2:$C$377,MATCH($A207&amp;"|"&amp;$B207,Gini!$E$2:$E$377,0))="","",INDEX(Gini!$C$2:$C$377,MATCH($A207&amp;"|"&amp;$B207,Gini!$E$2:$E$377,0))),"")</f>
        <v/>
      </c>
      <c r="F207" s="19">
        <f>IFERROR(IF(INDEX(Corrupcion!$E$2:$E$377,MATCH($A207&amp;"|"&amp;$B207,Corrupcion!$H$2:$H$377,0))="","",INDEX(Corrupcion!$E$2:$E$377,MATCH($A207&amp;"|"&amp;$B207,Corrupcion!$H$2:$H$377,0))),"")</f>
        <v/>
      </c>
      <c r="G207" s="20">
        <f>IFERROR(IF(INDEX(Corrupcion!$F$2:$F$377,MATCH($A207&amp;"|"&amp;$B207,Corrupcion!$H$2:$H$377,0))="","",INDEX(Corrupcion!$F$2:$F$377,MATCH($A207&amp;"|"&amp;$B207,Corrupcion!$H$2:$H$377,0))),"")</f>
        <v/>
      </c>
      <c r="H207" s="17">
        <f>IFERROR(IF(INDEX(Corrupcion!$G$2:$G$377,MATCH($A207&amp;"|"&amp;$B207,Corrupcion!$H$2:$H$377,0))="","",INDEX(Corrupcion!$G$2:$G$377,MATCH($A207&amp;"|"&amp;$B207,Corrupcion!$H$2:$H$377,0))),"")</f>
        <v/>
      </c>
      <c r="I207" s="8">
        <f>IF(COUNTBLANK(C207:E207)+COUNTBLANK(F207)=0,1,0)</f>
        <v/>
      </c>
      <c r="J207" s="8">
        <f>IF(COUNTBLANK(C207:E207)+COUNTBLANK(G207)=0,1,0)</f>
        <v/>
      </c>
      <c r="K207" s="8">
        <f>IF(COUNTBLANK(C207:E207)+COUNTBLANK(H207)=0,1,0)</f>
        <v/>
      </c>
    </row>
    <row r="208">
      <c r="A208" s="8" t="inlineStr">
        <is>
          <t>Honduras</t>
        </is>
      </c>
      <c r="B208" s="8" t="n">
        <v>2005</v>
      </c>
      <c r="C208" s="18">
        <f>IF(Categorias!C209="","",Categorias!C209)</f>
        <v/>
      </c>
      <c r="D208" s="18">
        <f>IF(Categorias!H209="","",Categorias!H209)</f>
        <v/>
      </c>
      <c r="E208" s="17">
        <f>IFERROR(IF(INDEX(Gini!$C$2:$C$377,MATCH($A208&amp;"|"&amp;$B208,Gini!$E$2:$E$377,0))="","",INDEX(Gini!$C$2:$C$377,MATCH($A208&amp;"|"&amp;$B208,Gini!$E$2:$E$377,0))),"")</f>
        <v/>
      </c>
      <c r="F208" s="19">
        <f>IFERROR(IF(INDEX(Corrupcion!$E$2:$E$377,MATCH($A208&amp;"|"&amp;$B208,Corrupcion!$H$2:$H$377,0))="","",INDEX(Corrupcion!$E$2:$E$377,MATCH($A208&amp;"|"&amp;$B208,Corrupcion!$H$2:$H$377,0))),"")</f>
        <v/>
      </c>
      <c r="G208" s="20">
        <f>IFERROR(IF(INDEX(Corrupcion!$F$2:$F$377,MATCH($A208&amp;"|"&amp;$B208,Corrupcion!$H$2:$H$377,0))="","",INDEX(Corrupcion!$F$2:$F$377,MATCH($A208&amp;"|"&amp;$B208,Corrupcion!$H$2:$H$377,0))),"")</f>
        <v/>
      </c>
      <c r="H208" s="17">
        <f>IFERROR(IF(INDEX(Corrupcion!$G$2:$G$377,MATCH($A208&amp;"|"&amp;$B208,Corrupcion!$H$2:$H$377,0))="","",INDEX(Corrupcion!$G$2:$G$377,MATCH($A208&amp;"|"&amp;$B208,Corrupcion!$H$2:$H$377,0))),"")</f>
        <v/>
      </c>
      <c r="I208" s="8">
        <f>IF(COUNTBLANK(C208:E208)+COUNTBLANK(F208)=0,1,0)</f>
        <v/>
      </c>
      <c r="J208" s="8">
        <f>IF(COUNTBLANK(C208:E208)+COUNTBLANK(G208)=0,1,0)</f>
        <v/>
      </c>
      <c r="K208" s="8">
        <f>IF(COUNTBLANK(C208:E208)+COUNTBLANK(H208)=0,1,0)</f>
        <v/>
      </c>
    </row>
    <row r="209">
      <c r="A209" s="8" t="inlineStr">
        <is>
          <t>Honduras</t>
        </is>
      </c>
      <c r="B209" s="8" t="n">
        <v>2006</v>
      </c>
      <c r="C209" s="18">
        <f>IF(Categorias!C210="","",Categorias!C210)</f>
        <v/>
      </c>
      <c r="D209" s="18">
        <f>IF(Categorias!H210="","",Categorias!H210)</f>
        <v/>
      </c>
      <c r="E209" s="17">
        <f>IFERROR(IF(INDEX(Gini!$C$2:$C$377,MATCH($A209&amp;"|"&amp;$B209,Gini!$E$2:$E$377,0))="","",INDEX(Gini!$C$2:$C$377,MATCH($A209&amp;"|"&amp;$B209,Gini!$E$2:$E$377,0))),"")</f>
        <v/>
      </c>
      <c r="F209" s="19">
        <f>IFERROR(IF(INDEX(Corrupcion!$E$2:$E$377,MATCH($A209&amp;"|"&amp;$B209,Corrupcion!$H$2:$H$377,0))="","",INDEX(Corrupcion!$E$2:$E$377,MATCH($A209&amp;"|"&amp;$B209,Corrupcion!$H$2:$H$377,0))),"")</f>
        <v/>
      </c>
      <c r="G209" s="20">
        <f>IFERROR(IF(INDEX(Corrupcion!$F$2:$F$377,MATCH($A209&amp;"|"&amp;$B209,Corrupcion!$H$2:$H$377,0))="","",INDEX(Corrupcion!$F$2:$F$377,MATCH($A209&amp;"|"&amp;$B209,Corrupcion!$H$2:$H$377,0))),"")</f>
        <v/>
      </c>
      <c r="H209" s="17">
        <f>IFERROR(IF(INDEX(Corrupcion!$G$2:$G$377,MATCH($A209&amp;"|"&amp;$B209,Corrupcion!$H$2:$H$377,0))="","",INDEX(Corrupcion!$G$2:$G$377,MATCH($A209&amp;"|"&amp;$B209,Corrupcion!$H$2:$H$377,0))),"")</f>
        <v/>
      </c>
      <c r="I209" s="8">
        <f>IF(COUNTBLANK(C209:E209)+COUNTBLANK(F209)=0,1,0)</f>
        <v/>
      </c>
      <c r="J209" s="8">
        <f>IF(COUNTBLANK(C209:E209)+COUNTBLANK(G209)=0,1,0)</f>
        <v/>
      </c>
      <c r="K209" s="8">
        <f>IF(COUNTBLANK(C209:E209)+COUNTBLANK(H209)=0,1,0)</f>
        <v/>
      </c>
    </row>
    <row r="210">
      <c r="A210" s="8" t="inlineStr">
        <is>
          <t>Honduras</t>
        </is>
      </c>
      <c r="B210" s="8" t="n">
        <v>2007</v>
      </c>
      <c r="C210" s="18">
        <f>IF(Categorias!C211="","",Categorias!C211)</f>
        <v/>
      </c>
      <c r="D210" s="18">
        <f>IF(Categorias!H211="","",Categorias!H211)</f>
        <v/>
      </c>
      <c r="E210" s="17">
        <f>IFERROR(IF(INDEX(Gini!$C$2:$C$377,MATCH($A210&amp;"|"&amp;$B210,Gini!$E$2:$E$377,0))="","",INDEX(Gini!$C$2:$C$377,MATCH($A210&amp;"|"&amp;$B210,Gini!$E$2:$E$377,0))),"")</f>
        <v/>
      </c>
      <c r="F210" s="19">
        <f>IFERROR(IF(INDEX(Corrupcion!$E$2:$E$377,MATCH($A210&amp;"|"&amp;$B210,Corrupcion!$H$2:$H$377,0))="","",INDEX(Corrupcion!$E$2:$E$377,MATCH($A210&amp;"|"&amp;$B210,Corrupcion!$H$2:$H$377,0))),"")</f>
        <v/>
      </c>
      <c r="G210" s="20">
        <f>IFERROR(IF(INDEX(Corrupcion!$F$2:$F$377,MATCH($A210&amp;"|"&amp;$B210,Corrupcion!$H$2:$H$377,0))="","",INDEX(Corrupcion!$F$2:$F$377,MATCH($A210&amp;"|"&amp;$B210,Corrupcion!$H$2:$H$377,0))),"")</f>
        <v/>
      </c>
      <c r="H210" s="17">
        <f>IFERROR(IF(INDEX(Corrupcion!$G$2:$G$377,MATCH($A210&amp;"|"&amp;$B210,Corrupcion!$H$2:$H$377,0))="","",INDEX(Corrupcion!$G$2:$G$377,MATCH($A210&amp;"|"&amp;$B210,Corrupcion!$H$2:$H$377,0))),"")</f>
        <v/>
      </c>
      <c r="I210" s="8">
        <f>IF(COUNTBLANK(C210:E210)+COUNTBLANK(F210)=0,1,0)</f>
        <v/>
      </c>
      <c r="J210" s="8">
        <f>IF(COUNTBLANK(C210:E210)+COUNTBLANK(G210)=0,1,0)</f>
        <v/>
      </c>
      <c r="K210" s="8">
        <f>IF(COUNTBLANK(C210:E210)+COUNTBLANK(H210)=0,1,0)</f>
        <v/>
      </c>
    </row>
    <row r="211">
      <c r="A211" s="8" t="inlineStr">
        <is>
          <t>Honduras</t>
        </is>
      </c>
      <c r="B211" s="8" t="n">
        <v>2008</v>
      </c>
      <c r="C211" s="18">
        <f>IF(Categorias!C212="","",Categorias!C212)</f>
        <v/>
      </c>
      <c r="D211" s="18">
        <f>IF(Categorias!H212="","",Categorias!H212)</f>
        <v/>
      </c>
      <c r="E211" s="17">
        <f>IFERROR(IF(INDEX(Gini!$C$2:$C$377,MATCH($A211&amp;"|"&amp;$B211,Gini!$E$2:$E$377,0))="","",INDEX(Gini!$C$2:$C$377,MATCH($A211&amp;"|"&amp;$B211,Gini!$E$2:$E$377,0))),"")</f>
        <v/>
      </c>
      <c r="F211" s="19">
        <f>IFERROR(IF(INDEX(Corrupcion!$E$2:$E$377,MATCH($A211&amp;"|"&amp;$B211,Corrupcion!$H$2:$H$377,0))="","",INDEX(Corrupcion!$E$2:$E$377,MATCH($A211&amp;"|"&amp;$B211,Corrupcion!$H$2:$H$377,0))),"")</f>
        <v/>
      </c>
      <c r="G211" s="20">
        <f>IFERROR(IF(INDEX(Corrupcion!$F$2:$F$377,MATCH($A211&amp;"|"&amp;$B211,Corrupcion!$H$2:$H$377,0))="","",INDEX(Corrupcion!$F$2:$F$377,MATCH($A211&amp;"|"&amp;$B211,Corrupcion!$H$2:$H$377,0))),"")</f>
        <v/>
      </c>
      <c r="H211" s="17">
        <f>IFERROR(IF(INDEX(Corrupcion!$G$2:$G$377,MATCH($A211&amp;"|"&amp;$B211,Corrupcion!$H$2:$H$377,0))="","",INDEX(Corrupcion!$G$2:$G$377,MATCH($A211&amp;"|"&amp;$B211,Corrupcion!$H$2:$H$377,0))),"")</f>
        <v/>
      </c>
      <c r="I211" s="8">
        <f>IF(COUNTBLANK(C211:E211)+COUNTBLANK(F211)=0,1,0)</f>
        <v/>
      </c>
      <c r="J211" s="8">
        <f>IF(COUNTBLANK(C211:E211)+COUNTBLANK(G211)=0,1,0)</f>
        <v/>
      </c>
      <c r="K211" s="8">
        <f>IF(COUNTBLANK(C211:E211)+COUNTBLANK(H211)=0,1,0)</f>
        <v/>
      </c>
    </row>
    <row r="212">
      <c r="A212" s="8" t="inlineStr">
        <is>
          <t>Honduras</t>
        </is>
      </c>
      <c r="B212" s="8" t="n">
        <v>2009</v>
      </c>
      <c r="C212" s="18">
        <f>IF(Categorias!C213="","",Categorias!C213)</f>
        <v/>
      </c>
      <c r="D212" s="18">
        <f>IF(Categorias!H213="","",Categorias!H213)</f>
        <v/>
      </c>
      <c r="E212" s="17">
        <f>IFERROR(IF(INDEX(Gini!$C$2:$C$377,MATCH($A212&amp;"|"&amp;$B212,Gini!$E$2:$E$377,0))="","",INDEX(Gini!$C$2:$C$377,MATCH($A212&amp;"|"&amp;$B212,Gini!$E$2:$E$377,0))),"")</f>
        <v/>
      </c>
      <c r="F212" s="19">
        <f>IFERROR(IF(INDEX(Corrupcion!$E$2:$E$377,MATCH($A212&amp;"|"&amp;$B212,Corrupcion!$H$2:$H$377,0))="","",INDEX(Corrupcion!$E$2:$E$377,MATCH($A212&amp;"|"&amp;$B212,Corrupcion!$H$2:$H$377,0))),"")</f>
        <v/>
      </c>
      <c r="G212" s="20">
        <f>IFERROR(IF(INDEX(Corrupcion!$F$2:$F$377,MATCH($A212&amp;"|"&amp;$B212,Corrupcion!$H$2:$H$377,0))="","",INDEX(Corrupcion!$F$2:$F$377,MATCH($A212&amp;"|"&amp;$B212,Corrupcion!$H$2:$H$377,0))),"")</f>
        <v/>
      </c>
      <c r="H212" s="17">
        <f>IFERROR(IF(INDEX(Corrupcion!$G$2:$G$377,MATCH($A212&amp;"|"&amp;$B212,Corrupcion!$H$2:$H$377,0))="","",INDEX(Corrupcion!$G$2:$G$377,MATCH($A212&amp;"|"&amp;$B212,Corrupcion!$H$2:$H$377,0))),"")</f>
        <v/>
      </c>
      <c r="I212" s="8">
        <f>IF(COUNTBLANK(C212:E212)+COUNTBLANK(F212)=0,1,0)</f>
        <v/>
      </c>
      <c r="J212" s="8">
        <f>IF(COUNTBLANK(C212:E212)+COUNTBLANK(G212)=0,1,0)</f>
        <v/>
      </c>
      <c r="K212" s="8">
        <f>IF(COUNTBLANK(C212:E212)+COUNTBLANK(H212)=0,1,0)</f>
        <v/>
      </c>
    </row>
    <row r="213">
      <c r="A213" s="8" t="inlineStr">
        <is>
          <t>Honduras</t>
        </is>
      </c>
      <c r="B213" s="8" t="n">
        <v>2010</v>
      </c>
      <c r="C213" s="18">
        <f>IF(Categorias!C214="","",Categorias!C214)</f>
        <v/>
      </c>
      <c r="D213" s="18">
        <f>IF(Categorias!H214="","",Categorias!H214)</f>
        <v/>
      </c>
      <c r="E213" s="17">
        <f>IFERROR(IF(INDEX(Gini!$C$2:$C$377,MATCH($A213&amp;"|"&amp;$B213,Gini!$E$2:$E$377,0))="","",INDEX(Gini!$C$2:$C$377,MATCH($A213&amp;"|"&amp;$B213,Gini!$E$2:$E$377,0))),"")</f>
        <v/>
      </c>
      <c r="F213" s="19">
        <f>IFERROR(IF(INDEX(Corrupcion!$E$2:$E$377,MATCH($A213&amp;"|"&amp;$B213,Corrupcion!$H$2:$H$377,0))="","",INDEX(Corrupcion!$E$2:$E$377,MATCH($A213&amp;"|"&amp;$B213,Corrupcion!$H$2:$H$377,0))),"")</f>
        <v/>
      </c>
      <c r="G213" s="20">
        <f>IFERROR(IF(INDEX(Corrupcion!$F$2:$F$377,MATCH($A213&amp;"|"&amp;$B213,Corrupcion!$H$2:$H$377,0))="","",INDEX(Corrupcion!$F$2:$F$377,MATCH($A213&amp;"|"&amp;$B213,Corrupcion!$H$2:$H$377,0))),"")</f>
        <v/>
      </c>
      <c r="H213" s="17">
        <f>IFERROR(IF(INDEX(Corrupcion!$G$2:$G$377,MATCH($A213&amp;"|"&amp;$B213,Corrupcion!$H$2:$H$377,0))="","",INDEX(Corrupcion!$G$2:$G$377,MATCH($A213&amp;"|"&amp;$B213,Corrupcion!$H$2:$H$377,0))),"")</f>
        <v/>
      </c>
      <c r="I213" s="8">
        <f>IF(COUNTBLANK(C213:E213)+COUNTBLANK(F213)=0,1,0)</f>
        <v/>
      </c>
      <c r="J213" s="8">
        <f>IF(COUNTBLANK(C213:E213)+COUNTBLANK(G213)=0,1,0)</f>
        <v/>
      </c>
      <c r="K213" s="8">
        <f>IF(COUNTBLANK(C213:E213)+COUNTBLANK(H213)=0,1,0)</f>
        <v/>
      </c>
    </row>
    <row r="214">
      <c r="A214" s="8" t="inlineStr">
        <is>
          <t>Honduras</t>
        </is>
      </c>
      <c r="B214" s="8" t="n">
        <v>2011</v>
      </c>
      <c r="C214" s="18">
        <f>IF(Categorias!C215="","",Categorias!C215)</f>
        <v/>
      </c>
      <c r="D214" s="18">
        <f>IF(Categorias!H215="","",Categorias!H215)</f>
        <v/>
      </c>
      <c r="E214" s="17">
        <f>IFERROR(IF(INDEX(Gini!$C$2:$C$377,MATCH($A214&amp;"|"&amp;$B214,Gini!$E$2:$E$377,0))="","",INDEX(Gini!$C$2:$C$377,MATCH($A214&amp;"|"&amp;$B214,Gini!$E$2:$E$377,0))),"")</f>
        <v/>
      </c>
      <c r="F214" s="19">
        <f>IFERROR(IF(INDEX(Corrupcion!$E$2:$E$377,MATCH($A214&amp;"|"&amp;$B214,Corrupcion!$H$2:$H$377,0))="","",INDEX(Corrupcion!$E$2:$E$377,MATCH($A214&amp;"|"&amp;$B214,Corrupcion!$H$2:$H$377,0))),"")</f>
        <v/>
      </c>
      <c r="G214" s="20">
        <f>IFERROR(IF(INDEX(Corrupcion!$F$2:$F$377,MATCH($A214&amp;"|"&amp;$B214,Corrupcion!$H$2:$H$377,0))="","",INDEX(Corrupcion!$F$2:$F$377,MATCH($A214&amp;"|"&amp;$B214,Corrupcion!$H$2:$H$377,0))),"")</f>
        <v/>
      </c>
      <c r="H214" s="17">
        <f>IFERROR(IF(INDEX(Corrupcion!$G$2:$G$377,MATCH($A214&amp;"|"&amp;$B214,Corrupcion!$H$2:$H$377,0))="","",INDEX(Corrupcion!$G$2:$G$377,MATCH($A214&amp;"|"&amp;$B214,Corrupcion!$H$2:$H$377,0))),"")</f>
        <v/>
      </c>
      <c r="I214" s="8">
        <f>IF(COUNTBLANK(C214:E214)+COUNTBLANK(F214)=0,1,0)</f>
        <v/>
      </c>
      <c r="J214" s="8">
        <f>IF(COUNTBLANK(C214:E214)+COUNTBLANK(G214)=0,1,0)</f>
        <v/>
      </c>
      <c r="K214" s="8">
        <f>IF(COUNTBLANK(C214:E214)+COUNTBLANK(H214)=0,1,0)</f>
        <v/>
      </c>
    </row>
    <row r="215">
      <c r="A215" s="8" t="inlineStr">
        <is>
          <t>Honduras</t>
        </is>
      </c>
      <c r="B215" s="8" t="n">
        <v>2016</v>
      </c>
      <c r="C215" s="18">
        <f>IF(Categorias!C216="","",Categorias!C216)</f>
        <v/>
      </c>
      <c r="D215" s="18">
        <f>IF(Categorias!H216="","",Categorias!H216)</f>
        <v/>
      </c>
      <c r="E215" s="17">
        <f>IFERROR(IF(INDEX(Gini!$C$2:$C$377,MATCH($A215&amp;"|"&amp;$B215,Gini!$E$2:$E$377,0))="","",INDEX(Gini!$C$2:$C$377,MATCH($A215&amp;"|"&amp;$B215,Gini!$E$2:$E$377,0))),"")</f>
        <v/>
      </c>
      <c r="F215" s="19">
        <f>IFERROR(IF(INDEX(Corrupcion!$E$2:$E$377,MATCH($A215&amp;"|"&amp;$B215,Corrupcion!$H$2:$H$377,0))="","",INDEX(Corrupcion!$E$2:$E$377,MATCH($A215&amp;"|"&amp;$B215,Corrupcion!$H$2:$H$377,0))),"")</f>
        <v/>
      </c>
      <c r="G215" s="20">
        <f>IFERROR(IF(INDEX(Corrupcion!$F$2:$F$377,MATCH($A215&amp;"|"&amp;$B215,Corrupcion!$H$2:$H$377,0))="","",INDEX(Corrupcion!$F$2:$F$377,MATCH($A215&amp;"|"&amp;$B215,Corrupcion!$H$2:$H$377,0))),"")</f>
        <v/>
      </c>
      <c r="H215" s="17">
        <f>IFERROR(IF(INDEX(Corrupcion!$G$2:$G$377,MATCH($A215&amp;"|"&amp;$B215,Corrupcion!$H$2:$H$377,0))="","",INDEX(Corrupcion!$G$2:$G$377,MATCH($A215&amp;"|"&amp;$B215,Corrupcion!$H$2:$H$377,0))),"")</f>
        <v/>
      </c>
      <c r="I215" s="8">
        <f>IF(COUNTBLANK(C215:E215)+COUNTBLANK(F215)=0,1,0)</f>
        <v/>
      </c>
      <c r="J215" s="8">
        <f>IF(COUNTBLANK(C215:E215)+COUNTBLANK(G215)=0,1,0)</f>
        <v/>
      </c>
      <c r="K215" s="8">
        <f>IF(COUNTBLANK(C215:E215)+COUNTBLANK(H215)=0,1,0)</f>
        <v/>
      </c>
    </row>
    <row r="216">
      <c r="A216" s="8" t="inlineStr">
        <is>
          <t>Honduras</t>
        </is>
      </c>
      <c r="B216" s="8" t="n">
        <v>2017</v>
      </c>
      <c r="C216" s="18">
        <f>IF(Categorias!C217="","",Categorias!C217)</f>
        <v/>
      </c>
      <c r="D216" s="18">
        <f>IF(Categorias!H217="","",Categorias!H217)</f>
        <v/>
      </c>
      <c r="E216" s="17">
        <f>IFERROR(IF(INDEX(Gini!$C$2:$C$377,MATCH($A216&amp;"|"&amp;$B216,Gini!$E$2:$E$377,0))="","",INDEX(Gini!$C$2:$C$377,MATCH($A216&amp;"|"&amp;$B216,Gini!$E$2:$E$377,0))),"")</f>
        <v/>
      </c>
      <c r="F216" s="19">
        <f>IFERROR(IF(INDEX(Corrupcion!$E$2:$E$377,MATCH($A216&amp;"|"&amp;$B216,Corrupcion!$H$2:$H$377,0))="","",INDEX(Corrupcion!$E$2:$E$377,MATCH($A216&amp;"|"&amp;$B216,Corrupcion!$H$2:$H$377,0))),"")</f>
        <v/>
      </c>
      <c r="G216" s="20">
        <f>IFERROR(IF(INDEX(Corrupcion!$F$2:$F$377,MATCH($A216&amp;"|"&amp;$B216,Corrupcion!$H$2:$H$377,0))="","",INDEX(Corrupcion!$F$2:$F$377,MATCH($A216&amp;"|"&amp;$B216,Corrupcion!$H$2:$H$377,0))),"")</f>
        <v/>
      </c>
      <c r="H216" s="17">
        <f>IFERROR(IF(INDEX(Corrupcion!$G$2:$G$377,MATCH($A216&amp;"|"&amp;$B216,Corrupcion!$H$2:$H$377,0))="","",INDEX(Corrupcion!$G$2:$G$377,MATCH($A216&amp;"|"&amp;$B216,Corrupcion!$H$2:$H$377,0))),"")</f>
        <v/>
      </c>
      <c r="I216" s="8">
        <f>IF(COUNTBLANK(C216:E216)+COUNTBLANK(F216)=0,1,0)</f>
        <v/>
      </c>
      <c r="J216" s="8">
        <f>IF(COUNTBLANK(C216:E216)+COUNTBLANK(G216)=0,1,0)</f>
        <v/>
      </c>
      <c r="K216" s="8">
        <f>IF(COUNTBLANK(C216:E216)+COUNTBLANK(H216)=0,1,0)</f>
        <v/>
      </c>
    </row>
    <row r="217">
      <c r="A217" s="8" t="inlineStr">
        <is>
          <t>Honduras</t>
        </is>
      </c>
      <c r="B217" s="8" t="n">
        <v>2018</v>
      </c>
      <c r="C217" s="18">
        <f>IF(Categorias!C218="","",Categorias!C218)</f>
        <v/>
      </c>
      <c r="D217" s="18">
        <f>IF(Categorias!H218="","",Categorias!H218)</f>
        <v/>
      </c>
      <c r="E217" s="17">
        <f>IFERROR(IF(INDEX(Gini!$C$2:$C$377,MATCH($A217&amp;"|"&amp;$B217,Gini!$E$2:$E$377,0))="","",INDEX(Gini!$C$2:$C$377,MATCH($A217&amp;"|"&amp;$B217,Gini!$E$2:$E$377,0))),"")</f>
        <v/>
      </c>
      <c r="F217" s="19">
        <f>IFERROR(IF(INDEX(Corrupcion!$E$2:$E$377,MATCH($A217&amp;"|"&amp;$B217,Corrupcion!$H$2:$H$377,0))="","",INDEX(Corrupcion!$E$2:$E$377,MATCH($A217&amp;"|"&amp;$B217,Corrupcion!$H$2:$H$377,0))),"")</f>
        <v/>
      </c>
      <c r="G217" s="20">
        <f>IFERROR(IF(INDEX(Corrupcion!$F$2:$F$377,MATCH($A217&amp;"|"&amp;$B217,Corrupcion!$H$2:$H$377,0))="","",INDEX(Corrupcion!$F$2:$F$377,MATCH($A217&amp;"|"&amp;$B217,Corrupcion!$H$2:$H$377,0))),"")</f>
        <v/>
      </c>
      <c r="H217" s="17">
        <f>IFERROR(IF(INDEX(Corrupcion!$G$2:$G$377,MATCH($A217&amp;"|"&amp;$B217,Corrupcion!$H$2:$H$377,0))="","",INDEX(Corrupcion!$G$2:$G$377,MATCH($A217&amp;"|"&amp;$B217,Corrupcion!$H$2:$H$377,0))),"")</f>
        <v/>
      </c>
      <c r="I217" s="8">
        <f>IF(COUNTBLANK(C217:E217)+COUNTBLANK(F217)=0,1,0)</f>
        <v/>
      </c>
      <c r="J217" s="8">
        <f>IF(COUNTBLANK(C217:E217)+COUNTBLANK(G217)=0,1,0)</f>
        <v/>
      </c>
      <c r="K217" s="8">
        <f>IF(COUNTBLANK(C217:E217)+COUNTBLANK(H217)=0,1,0)</f>
        <v/>
      </c>
    </row>
    <row r="218">
      <c r="A218" s="8" t="inlineStr">
        <is>
          <t>Honduras</t>
        </is>
      </c>
      <c r="B218" s="8" t="n">
        <v>2020</v>
      </c>
      <c r="C218" s="18">
        <f>IF(Categorias!C219="","",Categorias!C219)</f>
        <v/>
      </c>
      <c r="D218" s="18">
        <f>IF(Categorias!H219="","",Categorias!H219)</f>
        <v/>
      </c>
      <c r="E218" s="17">
        <f>IFERROR(IF(INDEX(Gini!$C$2:$C$377,MATCH($A218&amp;"|"&amp;$B218,Gini!$E$2:$E$377,0))="","",INDEX(Gini!$C$2:$C$377,MATCH($A218&amp;"|"&amp;$B218,Gini!$E$2:$E$377,0))),"")</f>
        <v/>
      </c>
      <c r="F218" s="19">
        <f>IFERROR(IF(INDEX(Corrupcion!$E$2:$E$377,MATCH($A218&amp;"|"&amp;$B218,Corrupcion!$H$2:$H$377,0))="","",INDEX(Corrupcion!$E$2:$E$377,MATCH($A218&amp;"|"&amp;$B218,Corrupcion!$H$2:$H$377,0))),"")</f>
        <v/>
      </c>
      <c r="G218" s="20">
        <f>IFERROR(IF(INDEX(Corrupcion!$F$2:$F$377,MATCH($A218&amp;"|"&amp;$B218,Corrupcion!$H$2:$H$377,0))="","",INDEX(Corrupcion!$F$2:$F$377,MATCH($A218&amp;"|"&amp;$B218,Corrupcion!$H$2:$H$377,0))),"")</f>
        <v/>
      </c>
      <c r="H218" s="17">
        <f>IFERROR(IF(INDEX(Corrupcion!$G$2:$G$377,MATCH($A218&amp;"|"&amp;$B218,Corrupcion!$H$2:$H$377,0))="","",INDEX(Corrupcion!$G$2:$G$377,MATCH($A218&amp;"|"&amp;$B218,Corrupcion!$H$2:$H$377,0))),"")</f>
        <v/>
      </c>
      <c r="I218" s="8">
        <f>IF(COUNTBLANK(C218:E218)+COUNTBLANK(F218)=0,1,0)</f>
        <v/>
      </c>
      <c r="J218" s="8">
        <f>IF(COUNTBLANK(C218:E218)+COUNTBLANK(G218)=0,1,0)</f>
        <v/>
      </c>
      <c r="K218" s="8">
        <f>IF(COUNTBLANK(C218:E218)+COUNTBLANK(H218)=0,1,0)</f>
        <v/>
      </c>
    </row>
    <row r="219">
      <c r="A219" s="8" t="inlineStr">
        <is>
          <t>Honduras</t>
        </is>
      </c>
      <c r="B219" s="8" t="n">
        <v>2024</v>
      </c>
      <c r="C219" s="18">
        <f>IF(Categorias!C220="","",Categorias!C220)</f>
        <v/>
      </c>
      <c r="D219" s="18">
        <f>IF(Categorias!H220="","",Categorias!H220)</f>
        <v/>
      </c>
      <c r="E219" s="17">
        <f>IFERROR(IF(INDEX(Gini!$C$2:$C$377,MATCH($A219&amp;"|"&amp;$B219,Gini!$E$2:$E$377,0))="","",INDEX(Gini!$C$2:$C$377,MATCH($A219&amp;"|"&amp;$B219,Gini!$E$2:$E$377,0))),"")</f>
        <v/>
      </c>
      <c r="F219" s="19">
        <f>IFERROR(IF(INDEX(Corrupcion!$E$2:$E$377,MATCH($A219&amp;"|"&amp;$B219,Corrupcion!$H$2:$H$377,0))="","",INDEX(Corrupcion!$E$2:$E$377,MATCH($A219&amp;"|"&amp;$B219,Corrupcion!$H$2:$H$377,0))),"")</f>
        <v/>
      </c>
      <c r="G219" s="20">
        <f>IFERROR(IF(INDEX(Corrupcion!$F$2:$F$377,MATCH($A219&amp;"|"&amp;$B219,Corrupcion!$H$2:$H$377,0))="","",INDEX(Corrupcion!$F$2:$F$377,MATCH($A219&amp;"|"&amp;$B219,Corrupcion!$H$2:$H$377,0))),"")</f>
        <v/>
      </c>
      <c r="H219" s="17">
        <f>IFERROR(IF(INDEX(Corrupcion!$G$2:$G$377,MATCH($A219&amp;"|"&amp;$B219,Corrupcion!$H$2:$H$377,0))="","",INDEX(Corrupcion!$G$2:$G$377,MATCH($A219&amp;"|"&amp;$B219,Corrupcion!$H$2:$H$377,0))),"")</f>
        <v/>
      </c>
      <c r="I219" s="8">
        <f>IF(COUNTBLANK(C219:E219)+COUNTBLANK(F219)=0,1,0)</f>
        <v/>
      </c>
      <c r="J219" s="8">
        <f>IF(COUNTBLANK(C219:E219)+COUNTBLANK(G219)=0,1,0)</f>
        <v/>
      </c>
      <c r="K219" s="8">
        <f>IF(COUNTBLANK(C219:E219)+COUNTBLANK(H219)=0,1,0)</f>
        <v/>
      </c>
    </row>
    <row r="220">
      <c r="A220" s="8" t="inlineStr">
        <is>
          <t>México</t>
        </is>
      </c>
      <c r="B220" s="8" t="n">
        <v>1995</v>
      </c>
      <c r="C220" s="18">
        <f>IF(Categorias!C221="","",Categorias!C221)</f>
        <v/>
      </c>
      <c r="D220" s="18">
        <f>IF(Categorias!H221="","",Categorias!H221)</f>
        <v/>
      </c>
      <c r="E220" s="17">
        <f>IFERROR(IF(INDEX(Gini!$C$2:$C$377,MATCH($A220&amp;"|"&amp;$B220,Gini!$E$2:$E$377,0))="","",INDEX(Gini!$C$2:$C$377,MATCH($A220&amp;"|"&amp;$B220,Gini!$E$2:$E$377,0))),"")</f>
        <v/>
      </c>
      <c r="F220" s="19">
        <f>IFERROR(IF(INDEX(Corrupcion!$E$2:$E$377,MATCH($A220&amp;"|"&amp;$B220,Corrupcion!$H$2:$H$377,0))="","",INDEX(Corrupcion!$E$2:$E$377,MATCH($A220&amp;"|"&amp;$B220,Corrupcion!$H$2:$H$377,0))),"")</f>
        <v/>
      </c>
      <c r="G220" s="20">
        <f>IFERROR(IF(INDEX(Corrupcion!$F$2:$F$377,MATCH($A220&amp;"|"&amp;$B220,Corrupcion!$H$2:$H$377,0))="","",INDEX(Corrupcion!$F$2:$F$377,MATCH($A220&amp;"|"&amp;$B220,Corrupcion!$H$2:$H$377,0))),"")</f>
        <v/>
      </c>
      <c r="H220" s="17">
        <f>IFERROR(IF(INDEX(Corrupcion!$G$2:$G$377,MATCH($A220&amp;"|"&amp;$B220,Corrupcion!$H$2:$H$377,0))="","",INDEX(Corrupcion!$G$2:$G$377,MATCH($A220&amp;"|"&amp;$B220,Corrupcion!$H$2:$H$377,0))),"")</f>
        <v/>
      </c>
      <c r="I220" s="8">
        <f>IF(COUNTBLANK(C220:E220)+COUNTBLANK(F220)=0,1,0)</f>
        <v/>
      </c>
      <c r="J220" s="8">
        <f>IF(COUNTBLANK(C220:E220)+COUNTBLANK(G220)=0,1,0)</f>
        <v/>
      </c>
      <c r="K220" s="8">
        <f>IF(COUNTBLANK(C220:E220)+COUNTBLANK(H220)=0,1,0)</f>
        <v/>
      </c>
    </row>
    <row r="221">
      <c r="A221" s="8" t="inlineStr">
        <is>
          <t>México</t>
        </is>
      </c>
      <c r="B221" s="8" t="n">
        <v>1996</v>
      </c>
      <c r="C221" s="18">
        <f>IF(Categorias!C222="","",Categorias!C222)</f>
        <v/>
      </c>
      <c r="D221" s="18">
        <f>IF(Categorias!H222="","",Categorias!H222)</f>
        <v/>
      </c>
      <c r="E221" s="17">
        <f>IFERROR(IF(INDEX(Gini!$C$2:$C$377,MATCH($A221&amp;"|"&amp;$B221,Gini!$E$2:$E$377,0))="","",INDEX(Gini!$C$2:$C$377,MATCH($A221&amp;"|"&amp;$B221,Gini!$E$2:$E$377,0))),"")</f>
        <v/>
      </c>
      <c r="F221" s="19">
        <f>IFERROR(IF(INDEX(Corrupcion!$E$2:$E$377,MATCH($A221&amp;"|"&amp;$B221,Corrupcion!$H$2:$H$377,0))="","",INDEX(Corrupcion!$E$2:$E$377,MATCH($A221&amp;"|"&amp;$B221,Corrupcion!$H$2:$H$377,0))),"")</f>
        <v/>
      </c>
      <c r="G221" s="20">
        <f>IFERROR(IF(INDEX(Corrupcion!$F$2:$F$377,MATCH($A221&amp;"|"&amp;$B221,Corrupcion!$H$2:$H$377,0))="","",INDEX(Corrupcion!$F$2:$F$377,MATCH($A221&amp;"|"&amp;$B221,Corrupcion!$H$2:$H$377,0))),"")</f>
        <v/>
      </c>
      <c r="H221" s="17">
        <f>IFERROR(IF(INDEX(Corrupcion!$G$2:$G$377,MATCH($A221&amp;"|"&amp;$B221,Corrupcion!$H$2:$H$377,0))="","",INDEX(Corrupcion!$G$2:$G$377,MATCH($A221&amp;"|"&amp;$B221,Corrupcion!$H$2:$H$377,0))),"")</f>
        <v/>
      </c>
      <c r="I221" s="8">
        <f>IF(COUNTBLANK(C221:E221)+COUNTBLANK(F221)=0,1,0)</f>
        <v/>
      </c>
      <c r="J221" s="8">
        <f>IF(COUNTBLANK(C221:E221)+COUNTBLANK(G221)=0,1,0)</f>
        <v/>
      </c>
      <c r="K221" s="8">
        <f>IF(COUNTBLANK(C221:E221)+COUNTBLANK(H221)=0,1,0)</f>
        <v/>
      </c>
    </row>
    <row r="222">
      <c r="A222" s="8" t="inlineStr">
        <is>
          <t>México</t>
        </is>
      </c>
      <c r="B222" s="8" t="n">
        <v>1997</v>
      </c>
      <c r="C222" s="18">
        <f>IF(Categorias!C223="","",Categorias!C223)</f>
        <v/>
      </c>
      <c r="D222" s="18">
        <f>IF(Categorias!H223="","",Categorias!H223)</f>
        <v/>
      </c>
      <c r="E222" s="17">
        <f>IFERROR(IF(INDEX(Gini!$C$2:$C$377,MATCH($A222&amp;"|"&amp;$B222,Gini!$E$2:$E$377,0))="","",INDEX(Gini!$C$2:$C$377,MATCH($A222&amp;"|"&amp;$B222,Gini!$E$2:$E$377,0))),"")</f>
        <v/>
      </c>
      <c r="F222" s="19">
        <f>IFERROR(IF(INDEX(Corrupcion!$E$2:$E$377,MATCH($A222&amp;"|"&amp;$B222,Corrupcion!$H$2:$H$377,0))="","",INDEX(Corrupcion!$E$2:$E$377,MATCH($A222&amp;"|"&amp;$B222,Corrupcion!$H$2:$H$377,0))),"")</f>
        <v/>
      </c>
      <c r="G222" s="20">
        <f>IFERROR(IF(INDEX(Corrupcion!$F$2:$F$377,MATCH($A222&amp;"|"&amp;$B222,Corrupcion!$H$2:$H$377,0))="","",INDEX(Corrupcion!$F$2:$F$377,MATCH($A222&amp;"|"&amp;$B222,Corrupcion!$H$2:$H$377,0))),"")</f>
        <v/>
      </c>
      <c r="H222" s="17">
        <f>IFERROR(IF(INDEX(Corrupcion!$G$2:$G$377,MATCH($A222&amp;"|"&amp;$B222,Corrupcion!$H$2:$H$377,0))="","",INDEX(Corrupcion!$G$2:$G$377,MATCH($A222&amp;"|"&amp;$B222,Corrupcion!$H$2:$H$377,0))),"")</f>
        <v/>
      </c>
      <c r="I222" s="8">
        <f>IF(COUNTBLANK(C222:E222)+COUNTBLANK(F222)=0,1,0)</f>
        <v/>
      </c>
      <c r="J222" s="8">
        <f>IF(COUNTBLANK(C222:E222)+COUNTBLANK(G222)=0,1,0)</f>
        <v/>
      </c>
      <c r="K222" s="8">
        <f>IF(COUNTBLANK(C222:E222)+COUNTBLANK(H222)=0,1,0)</f>
        <v/>
      </c>
    </row>
    <row r="223">
      <c r="A223" s="8" t="inlineStr">
        <is>
          <t>México</t>
        </is>
      </c>
      <c r="B223" s="8" t="n">
        <v>1998</v>
      </c>
      <c r="C223" s="18">
        <f>IF(Categorias!C224="","",Categorias!C224)</f>
        <v/>
      </c>
      <c r="D223" s="18">
        <f>IF(Categorias!H224="","",Categorias!H224)</f>
        <v/>
      </c>
      <c r="E223" s="17">
        <f>IFERROR(IF(INDEX(Gini!$C$2:$C$377,MATCH($A223&amp;"|"&amp;$B223,Gini!$E$2:$E$377,0))="","",INDEX(Gini!$C$2:$C$377,MATCH($A223&amp;"|"&amp;$B223,Gini!$E$2:$E$377,0))),"")</f>
        <v/>
      </c>
      <c r="F223" s="19">
        <f>IFERROR(IF(INDEX(Corrupcion!$E$2:$E$377,MATCH($A223&amp;"|"&amp;$B223,Corrupcion!$H$2:$H$377,0))="","",INDEX(Corrupcion!$E$2:$E$377,MATCH($A223&amp;"|"&amp;$B223,Corrupcion!$H$2:$H$377,0))),"")</f>
        <v/>
      </c>
      <c r="G223" s="20">
        <f>IFERROR(IF(INDEX(Corrupcion!$F$2:$F$377,MATCH($A223&amp;"|"&amp;$B223,Corrupcion!$H$2:$H$377,0))="","",INDEX(Corrupcion!$F$2:$F$377,MATCH($A223&amp;"|"&amp;$B223,Corrupcion!$H$2:$H$377,0))),"")</f>
        <v/>
      </c>
      <c r="H223" s="17">
        <f>IFERROR(IF(INDEX(Corrupcion!$G$2:$G$377,MATCH($A223&amp;"|"&amp;$B223,Corrupcion!$H$2:$H$377,0))="","",INDEX(Corrupcion!$G$2:$G$377,MATCH($A223&amp;"|"&amp;$B223,Corrupcion!$H$2:$H$377,0))),"")</f>
        <v/>
      </c>
      <c r="I223" s="8">
        <f>IF(COUNTBLANK(C223:E223)+COUNTBLANK(F223)=0,1,0)</f>
        <v/>
      </c>
      <c r="J223" s="8">
        <f>IF(COUNTBLANK(C223:E223)+COUNTBLANK(G223)=0,1,0)</f>
        <v/>
      </c>
      <c r="K223" s="8">
        <f>IF(COUNTBLANK(C223:E223)+COUNTBLANK(H223)=0,1,0)</f>
        <v/>
      </c>
    </row>
    <row r="224">
      <c r="A224" s="8" t="inlineStr">
        <is>
          <t>México</t>
        </is>
      </c>
      <c r="B224" s="8" t="n">
        <v>2000</v>
      </c>
      <c r="C224" s="18">
        <f>IF(Categorias!C225="","",Categorias!C225)</f>
        <v/>
      </c>
      <c r="D224" s="18">
        <f>IF(Categorias!H225="","",Categorias!H225)</f>
        <v/>
      </c>
      <c r="E224" s="17">
        <f>IFERROR(IF(INDEX(Gini!$C$2:$C$377,MATCH($A224&amp;"|"&amp;$B224,Gini!$E$2:$E$377,0))="","",INDEX(Gini!$C$2:$C$377,MATCH($A224&amp;"|"&amp;$B224,Gini!$E$2:$E$377,0))),"")</f>
        <v/>
      </c>
      <c r="F224" s="19">
        <f>IFERROR(IF(INDEX(Corrupcion!$E$2:$E$377,MATCH($A224&amp;"|"&amp;$B224,Corrupcion!$H$2:$H$377,0))="","",INDEX(Corrupcion!$E$2:$E$377,MATCH($A224&amp;"|"&amp;$B224,Corrupcion!$H$2:$H$377,0))),"")</f>
        <v/>
      </c>
      <c r="G224" s="20">
        <f>IFERROR(IF(INDEX(Corrupcion!$F$2:$F$377,MATCH($A224&amp;"|"&amp;$B224,Corrupcion!$H$2:$H$377,0))="","",INDEX(Corrupcion!$F$2:$F$377,MATCH($A224&amp;"|"&amp;$B224,Corrupcion!$H$2:$H$377,0))),"")</f>
        <v/>
      </c>
      <c r="H224" s="17">
        <f>IFERROR(IF(INDEX(Corrupcion!$G$2:$G$377,MATCH($A224&amp;"|"&amp;$B224,Corrupcion!$H$2:$H$377,0))="","",INDEX(Corrupcion!$G$2:$G$377,MATCH($A224&amp;"|"&amp;$B224,Corrupcion!$H$2:$H$377,0))),"")</f>
        <v/>
      </c>
      <c r="I224" s="8">
        <f>IF(COUNTBLANK(C224:E224)+COUNTBLANK(F224)=0,1,0)</f>
        <v/>
      </c>
      <c r="J224" s="8">
        <f>IF(COUNTBLANK(C224:E224)+COUNTBLANK(G224)=0,1,0)</f>
        <v/>
      </c>
      <c r="K224" s="8">
        <f>IF(COUNTBLANK(C224:E224)+COUNTBLANK(H224)=0,1,0)</f>
        <v/>
      </c>
    </row>
    <row r="225">
      <c r="A225" s="8" t="inlineStr">
        <is>
          <t>México</t>
        </is>
      </c>
      <c r="B225" s="8" t="n">
        <v>2001</v>
      </c>
      <c r="C225" s="18">
        <f>IF(Categorias!C226="","",Categorias!C226)</f>
        <v/>
      </c>
      <c r="D225" s="18">
        <f>IF(Categorias!H226="","",Categorias!H226)</f>
        <v/>
      </c>
      <c r="E225" s="17">
        <f>IFERROR(IF(INDEX(Gini!$C$2:$C$377,MATCH($A225&amp;"|"&amp;$B225,Gini!$E$2:$E$377,0))="","",INDEX(Gini!$C$2:$C$377,MATCH($A225&amp;"|"&amp;$B225,Gini!$E$2:$E$377,0))),"")</f>
        <v/>
      </c>
      <c r="F225" s="19">
        <f>IFERROR(IF(INDEX(Corrupcion!$E$2:$E$377,MATCH($A225&amp;"|"&amp;$B225,Corrupcion!$H$2:$H$377,0))="","",INDEX(Corrupcion!$E$2:$E$377,MATCH($A225&amp;"|"&amp;$B225,Corrupcion!$H$2:$H$377,0))),"")</f>
        <v/>
      </c>
      <c r="G225" s="20">
        <f>IFERROR(IF(INDEX(Corrupcion!$F$2:$F$377,MATCH($A225&amp;"|"&amp;$B225,Corrupcion!$H$2:$H$377,0))="","",INDEX(Corrupcion!$F$2:$F$377,MATCH($A225&amp;"|"&amp;$B225,Corrupcion!$H$2:$H$377,0))),"")</f>
        <v/>
      </c>
      <c r="H225" s="17">
        <f>IFERROR(IF(INDEX(Corrupcion!$G$2:$G$377,MATCH($A225&amp;"|"&amp;$B225,Corrupcion!$H$2:$H$377,0))="","",INDEX(Corrupcion!$G$2:$G$377,MATCH($A225&amp;"|"&amp;$B225,Corrupcion!$H$2:$H$377,0))),"")</f>
        <v/>
      </c>
      <c r="I225" s="8">
        <f>IF(COUNTBLANK(C225:E225)+COUNTBLANK(F225)=0,1,0)</f>
        <v/>
      </c>
      <c r="J225" s="8">
        <f>IF(COUNTBLANK(C225:E225)+COUNTBLANK(G225)=0,1,0)</f>
        <v/>
      </c>
      <c r="K225" s="8">
        <f>IF(COUNTBLANK(C225:E225)+COUNTBLANK(H225)=0,1,0)</f>
        <v/>
      </c>
    </row>
    <row r="226">
      <c r="A226" s="8" t="inlineStr">
        <is>
          <t>México</t>
        </is>
      </c>
      <c r="B226" s="8" t="n">
        <v>2002</v>
      </c>
      <c r="C226" s="18">
        <f>IF(Categorias!C227="","",Categorias!C227)</f>
        <v/>
      </c>
      <c r="D226" s="18">
        <f>IF(Categorias!H227="","",Categorias!H227)</f>
        <v/>
      </c>
      <c r="E226" s="17">
        <f>IFERROR(IF(INDEX(Gini!$C$2:$C$377,MATCH($A226&amp;"|"&amp;$B226,Gini!$E$2:$E$377,0))="","",INDEX(Gini!$C$2:$C$377,MATCH($A226&amp;"|"&amp;$B226,Gini!$E$2:$E$377,0))),"")</f>
        <v/>
      </c>
      <c r="F226" s="19">
        <f>IFERROR(IF(INDEX(Corrupcion!$E$2:$E$377,MATCH($A226&amp;"|"&amp;$B226,Corrupcion!$H$2:$H$377,0))="","",INDEX(Corrupcion!$E$2:$E$377,MATCH($A226&amp;"|"&amp;$B226,Corrupcion!$H$2:$H$377,0))),"")</f>
        <v/>
      </c>
      <c r="G226" s="20">
        <f>IFERROR(IF(INDEX(Corrupcion!$F$2:$F$377,MATCH($A226&amp;"|"&amp;$B226,Corrupcion!$H$2:$H$377,0))="","",INDEX(Corrupcion!$F$2:$F$377,MATCH($A226&amp;"|"&amp;$B226,Corrupcion!$H$2:$H$377,0))),"")</f>
        <v/>
      </c>
      <c r="H226" s="17">
        <f>IFERROR(IF(INDEX(Corrupcion!$G$2:$G$377,MATCH($A226&amp;"|"&amp;$B226,Corrupcion!$H$2:$H$377,0))="","",INDEX(Corrupcion!$G$2:$G$377,MATCH($A226&amp;"|"&amp;$B226,Corrupcion!$H$2:$H$377,0))),"")</f>
        <v/>
      </c>
      <c r="I226" s="8">
        <f>IF(COUNTBLANK(C226:E226)+COUNTBLANK(F226)=0,1,0)</f>
        <v/>
      </c>
      <c r="J226" s="8">
        <f>IF(COUNTBLANK(C226:E226)+COUNTBLANK(G226)=0,1,0)</f>
        <v/>
      </c>
      <c r="K226" s="8">
        <f>IF(COUNTBLANK(C226:E226)+COUNTBLANK(H226)=0,1,0)</f>
        <v/>
      </c>
    </row>
    <row r="227">
      <c r="A227" s="8" t="inlineStr">
        <is>
          <t>México</t>
        </is>
      </c>
      <c r="B227" s="8" t="n">
        <v>2003</v>
      </c>
      <c r="C227" s="18">
        <f>IF(Categorias!C228="","",Categorias!C228)</f>
        <v/>
      </c>
      <c r="D227" s="18">
        <f>IF(Categorias!H228="","",Categorias!H228)</f>
        <v/>
      </c>
      <c r="E227" s="17">
        <f>IFERROR(IF(INDEX(Gini!$C$2:$C$377,MATCH($A227&amp;"|"&amp;$B227,Gini!$E$2:$E$377,0))="","",INDEX(Gini!$C$2:$C$377,MATCH($A227&amp;"|"&amp;$B227,Gini!$E$2:$E$377,0))),"")</f>
        <v/>
      </c>
      <c r="F227" s="19">
        <f>IFERROR(IF(INDEX(Corrupcion!$E$2:$E$377,MATCH($A227&amp;"|"&amp;$B227,Corrupcion!$H$2:$H$377,0))="","",INDEX(Corrupcion!$E$2:$E$377,MATCH($A227&amp;"|"&amp;$B227,Corrupcion!$H$2:$H$377,0))),"")</f>
        <v/>
      </c>
      <c r="G227" s="20">
        <f>IFERROR(IF(INDEX(Corrupcion!$F$2:$F$377,MATCH($A227&amp;"|"&amp;$B227,Corrupcion!$H$2:$H$377,0))="","",INDEX(Corrupcion!$F$2:$F$377,MATCH($A227&amp;"|"&amp;$B227,Corrupcion!$H$2:$H$377,0))),"")</f>
        <v/>
      </c>
      <c r="H227" s="17">
        <f>IFERROR(IF(INDEX(Corrupcion!$G$2:$G$377,MATCH($A227&amp;"|"&amp;$B227,Corrupcion!$H$2:$H$377,0))="","",INDEX(Corrupcion!$G$2:$G$377,MATCH($A227&amp;"|"&amp;$B227,Corrupcion!$H$2:$H$377,0))),"")</f>
        <v/>
      </c>
      <c r="I227" s="8">
        <f>IF(COUNTBLANK(C227:E227)+COUNTBLANK(F227)=0,1,0)</f>
        <v/>
      </c>
      <c r="J227" s="8">
        <f>IF(COUNTBLANK(C227:E227)+COUNTBLANK(G227)=0,1,0)</f>
        <v/>
      </c>
      <c r="K227" s="8">
        <f>IF(COUNTBLANK(C227:E227)+COUNTBLANK(H227)=0,1,0)</f>
        <v/>
      </c>
    </row>
    <row r="228">
      <c r="A228" s="8" t="inlineStr">
        <is>
          <t>México</t>
        </is>
      </c>
      <c r="B228" s="8" t="n">
        <v>2004</v>
      </c>
      <c r="C228" s="18">
        <f>IF(Categorias!C229="","",Categorias!C229)</f>
        <v/>
      </c>
      <c r="D228" s="18">
        <f>IF(Categorias!H229="","",Categorias!H229)</f>
        <v/>
      </c>
      <c r="E228" s="17">
        <f>IFERROR(IF(INDEX(Gini!$C$2:$C$377,MATCH($A228&amp;"|"&amp;$B228,Gini!$E$2:$E$377,0))="","",INDEX(Gini!$C$2:$C$377,MATCH($A228&amp;"|"&amp;$B228,Gini!$E$2:$E$377,0))),"")</f>
        <v/>
      </c>
      <c r="F228" s="19">
        <f>IFERROR(IF(INDEX(Corrupcion!$E$2:$E$377,MATCH($A228&amp;"|"&amp;$B228,Corrupcion!$H$2:$H$377,0))="","",INDEX(Corrupcion!$E$2:$E$377,MATCH($A228&amp;"|"&amp;$B228,Corrupcion!$H$2:$H$377,0))),"")</f>
        <v/>
      </c>
      <c r="G228" s="20">
        <f>IFERROR(IF(INDEX(Corrupcion!$F$2:$F$377,MATCH($A228&amp;"|"&amp;$B228,Corrupcion!$H$2:$H$377,0))="","",INDEX(Corrupcion!$F$2:$F$377,MATCH($A228&amp;"|"&amp;$B228,Corrupcion!$H$2:$H$377,0))),"")</f>
        <v/>
      </c>
      <c r="H228" s="17">
        <f>IFERROR(IF(INDEX(Corrupcion!$G$2:$G$377,MATCH($A228&amp;"|"&amp;$B228,Corrupcion!$H$2:$H$377,0))="","",INDEX(Corrupcion!$G$2:$G$377,MATCH($A228&amp;"|"&amp;$B228,Corrupcion!$H$2:$H$377,0))),"")</f>
        <v/>
      </c>
      <c r="I228" s="8">
        <f>IF(COUNTBLANK(C228:E228)+COUNTBLANK(F228)=0,1,0)</f>
        <v/>
      </c>
      <c r="J228" s="8">
        <f>IF(COUNTBLANK(C228:E228)+COUNTBLANK(G228)=0,1,0)</f>
        <v/>
      </c>
      <c r="K228" s="8">
        <f>IF(COUNTBLANK(C228:E228)+COUNTBLANK(H228)=0,1,0)</f>
        <v/>
      </c>
    </row>
    <row r="229">
      <c r="A229" s="8" t="inlineStr">
        <is>
          <t>México</t>
        </is>
      </c>
      <c r="B229" s="8" t="n">
        <v>2005</v>
      </c>
      <c r="C229" s="18">
        <f>IF(Categorias!C230="","",Categorias!C230)</f>
        <v/>
      </c>
      <c r="D229" s="18">
        <f>IF(Categorias!H230="","",Categorias!H230)</f>
        <v/>
      </c>
      <c r="E229" s="17">
        <f>IFERROR(IF(INDEX(Gini!$C$2:$C$377,MATCH($A229&amp;"|"&amp;$B229,Gini!$E$2:$E$377,0))="","",INDEX(Gini!$C$2:$C$377,MATCH($A229&amp;"|"&amp;$B229,Gini!$E$2:$E$377,0))),"")</f>
        <v/>
      </c>
      <c r="F229" s="19">
        <f>IFERROR(IF(INDEX(Corrupcion!$E$2:$E$377,MATCH($A229&amp;"|"&amp;$B229,Corrupcion!$H$2:$H$377,0))="","",INDEX(Corrupcion!$E$2:$E$377,MATCH($A229&amp;"|"&amp;$B229,Corrupcion!$H$2:$H$377,0))),"")</f>
        <v/>
      </c>
      <c r="G229" s="20">
        <f>IFERROR(IF(INDEX(Corrupcion!$F$2:$F$377,MATCH($A229&amp;"|"&amp;$B229,Corrupcion!$H$2:$H$377,0))="","",INDEX(Corrupcion!$F$2:$F$377,MATCH($A229&amp;"|"&amp;$B229,Corrupcion!$H$2:$H$377,0))),"")</f>
        <v/>
      </c>
      <c r="H229" s="17">
        <f>IFERROR(IF(INDEX(Corrupcion!$G$2:$G$377,MATCH($A229&amp;"|"&amp;$B229,Corrupcion!$H$2:$H$377,0))="","",INDEX(Corrupcion!$G$2:$G$377,MATCH($A229&amp;"|"&amp;$B229,Corrupcion!$H$2:$H$377,0))),"")</f>
        <v/>
      </c>
      <c r="I229" s="8">
        <f>IF(COUNTBLANK(C229:E229)+COUNTBLANK(F229)=0,1,0)</f>
        <v/>
      </c>
      <c r="J229" s="8">
        <f>IF(COUNTBLANK(C229:E229)+COUNTBLANK(G229)=0,1,0)</f>
        <v/>
      </c>
      <c r="K229" s="8">
        <f>IF(COUNTBLANK(C229:E229)+COUNTBLANK(H229)=0,1,0)</f>
        <v/>
      </c>
    </row>
    <row r="230">
      <c r="A230" s="8" t="inlineStr">
        <is>
          <t>México</t>
        </is>
      </c>
      <c r="B230" s="8" t="n">
        <v>2006</v>
      </c>
      <c r="C230" s="18">
        <f>IF(Categorias!C231="","",Categorias!C231)</f>
        <v/>
      </c>
      <c r="D230" s="18">
        <f>IF(Categorias!H231="","",Categorias!H231)</f>
        <v/>
      </c>
      <c r="E230" s="17">
        <f>IFERROR(IF(INDEX(Gini!$C$2:$C$377,MATCH($A230&amp;"|"&amp;$B230,Gini!$E$2:$E$377,0))="","",INDEX(Gini!$C$2:$C$377,MATCH($A230&amp;"|"&amp;$B230,Gini!$E$2:$E$377,0))),"")</f>
        <v/>
      </c>
      <c r="F230" s="19">
        <f>IFERROR(IF(INDEX(Corrupcion!$E$2:$E$377,MATCH($A230&amp;"|"&amp;$B230,Corrupcion!$H$2:$H$377,0))="","",INDEX(Corrupcion!$E$2:$E$377,MATCH($A230&amp;"|"&amp;$B230,Corrupcion!$H$2:$H$377,0))),"")</f>
        <v/>
      </c>
      <c r="G230" s="20">
        <f>IFERROR(IF(INDEX(Corrupcion!$F$2:$F$377,MATCH($A230&amp;"|"&amp;$B230,Corrupcion!$H$2:$H$377,0))="","",INDEX(Corrupcion!$F$2:$F$377,MATCH($A230&amp;"|"&amp;$B230,Corrupcion!$H$2:$H$377,0))),"")</f>
        <v/>
      </c>
      <c r="H230" s="17">
        <f>IFERROR(IF(INDEX(Corrupcion!$G$2:$G$377,MATCH($A230&amp;"|"&amp;$B230,Corrupcion!$H$2:$H$377,0))="","",INDEX(Corrupcion!$G$2:$G$377,MATCH($A230&amp;"|"&amp;$B230,Corrupcion!$H$2:$H$377,0))),"")</f>
        <v/>
      </c>
      <c r="I230" s="8">
        <f>IF(COUNTBLANK(C230:E230)+COUNTBLANK(F230)=0,1,0)</f>
        <v/>
      </c>
      <c r="J230" s="8">
        <f>IF(COUNTBLANK(C230:E230)+COUNTBLANK(G230)=0,1,0)</f>
        <v/>
      </c>
      <c r="K230" s="8">
        <f>IF(COUNTBLANK(C230:E230)+COUNTBLANK(H230)=0,1,0)</f>
        <v/>
      </c>
    </row>
    <row r="231">
      <c r="A231" s="8" t="inlineStr">
        <is>
          <t>México</t>
        </is>
      </c>
      <c r="B231" s="8" t="n">
        <v>2007</v>
      </c>
      <c r="C231" s="18">
        <f>IF(Categorias!C232="","",Categorias!C232)</f>
        <v/>
      </c>
      <c r="D231" s="18">
        <f>IF(Categorias!H232="","",Categorias!H232)</f>
        <v/>
      </c>
      <c r="E231" s="17">
        <f>IFERROR(IF(INDEX(Gini!$C$2:$C$377,MATCH($A231&amp;"|"&amp;$B231,Gini!$E$2:$E$377,0))="","",INDEX(Gini!$C$2:$C$377,MATCH($A231&amp;"|"&amp;$B231,Gini!$E$2:$E$377,0))),"")</f>
        <v/>
      </c>
      <c r="F231" s="19">
        <f>IFERROR(IF(INDEX(Corrupcion!$E$2:$E$377,MATCH($A231&amp;"|"&amp;$B231,Corrupcion!$H$2:$H$377,0))="","",INDEX(Corrupcion!$E$2:$E$377,MATCH($A231&amp;"|"&amp;$B231,Corrupcion!$H$2:$H$377,0))),"")</f>
        <v/>
      </c>
      <c r="G231" s="20">
        <f>IFERROR(IF(INDEX(Corrupcion!$F$2:$F$377,MATCH($A231&amp;"|"&amp;$B231,Corrupcion!$H$2:$H$377,0))="","",INDEX(Corrupcion!$F$2:$F$377,MATCH($A231&amp;"|"&amp;$B231,Corrupcion!$H$2:$H$377,0))),"")</f>
        <v/>
      </c>
      <c r="H231" s="17">
        <f>IFERROR(IF(INDEX(Corrupcion!$G$2:$G$377,MATCH($A231&amp;"|"&amp;$B231,Corrupcion!$H$2:$H$377,0))="","",INDEX(Corrupcion!$G$2:$G$377,MATCH($A231&amp;"|"&amp;$B231,Corrupcion!$H$2:$H$377,0))),"")</f>
        <v/>
      </c>
      <c r="I231" s="8">
        <f>IF(COUNTBLANK(C231:E231)+COUNTBLANK(F231)=0,1,0)</f>
        <v/>
      </c>
      <c r="J231" s="8">
        <f>IF(COUNTBLANK(C231:E231)+COUNTBLANK(G231)=0,1,0)</f>
        <v/>
      </c>
      <c r="K231" s="8">
        <f>IF(COUNTBLANK(C231:E231)+COUNTBLANK(H231)=0,1,0)</f>
        <v/>
      </c>
    </row>
    <row r="232">
      <c r="A232" s="8" t="inlineStr">
        <is>
          <t>México</t>
        </is>
      </c>
      <c r="B232" s="8" t="n">
        <v>2008</v>
      </c>
      <c r="C232" s="18">
        <f>IF(Categorias!C233="","",Categorias!C233)</f>
        <v/>
      </c>
      <c r="D232" s="18">
        <f>IF(Categorias!H233="","",Categorias!H233)</f>
        <v/>
      </c>
      <c r="E232" s="17">
        <f>IFERROR(IF(INDEX(Gini!$C$2:$C$377,MATCH($A232&amp;"|"&amp;$B232,Gini!$E$2:$E$377,0))="","",INDEX(Gini!$C$2:$C$377,MATCH($A232&amp;"|"&amp;$B232,Gini!$E$2:$E$377,0))),"")</f>
        <v/>
      </c>
      <c r="F232" s="19">
        <f>IFERROR(IF(INDEX(Corrupcion!$E$2:$E$377,MATCH($A232&amp;"|"&amp;$B232,Corrupcion!$H$2:$H$377,0))="","",INDEX(Corrupcion!$E$2:$E$377,MATCH($A232&amp;"|"&amp;$B232,Corrupcion!$H$2:$H$377,0))),"")</f>
        <v/>
      </c>
      <c r="G232" s="20">
        <f>IFERROR(IF(INDEX(Corrupcion!$F$2:$F$377,MATCH($A232&amp;"|"&amp;$B232,Corrupcion!$H$2:$H$377,0))="","",INDEX(Corrupcion!$F$2:$F$377,MATCH($A232&amp;"|"&amp;$B232,Corrupcion!$H$2:$H$377,0))),"")</f>
        <v/>
      </c>
      <c r="H232" s="17">
        <f>IFERROR(IF(INDEX(Corrupcion!$G$2:$G$377,MATCH($A232&amp;"|"&amp;$B232,Corrupcion!$H$2:$H$377,0))="","",INDEX(Corrupcion!$G$2:$G$377,MATCH($A232&amp;"|"&amp;$B232,Corrupcion!$H$2:$H$377,0))),"")</f>
        <v/>
      </c>
      <c r="I232" s="8">
        <f>IF(COUNTBLANK(C232:E232)+COUNTBLANK(F232)=0,1,0)</f>
        <v/>
      </c>
      <c r="J232" s="8">
        <f>IF(COUNTBLANK(C232:E232)+COUNTBLANK(G232)=0,1,0)</f>
        <v/>
      </c>
      <c r="K232" s="8">
        <f>IF(COUNTBLANK(C232:E232)+COUNTBLANK(H232)=0,1,0)</f>
        <v/>
      </c>
    </row>
    <row r="233">
      <c r="A233" s="8" t="inlineStr">
        <is>
          <t>México</t>
        </is>
      </c>
      <c r="B233" s="8" t="n">
        <v>2009</v>
      </c>
      <c r="C233" s="18">
        <f>IF(Categorias!C234="","",Categorias!C234)</f>
        <v/>
      </c>
      <c r="D233" s="18">
        <f>IF(Categorias!H234="","",Categorias!H234)</f>
        <v/>
      </c>
      <c r="E233" s="17">
        <f>IFERROR(IF(INDEX(Gini!$C$2:$C$377,MATCH($A233&amp;"|"&amp;$B233,Gini!$E$2:$E$377,0))="","",INDEX(Gini!$C$2:$C$377,MATCH($A233&amp;"|"&amp;$B233,Gini!$E$2:$E$377,0))),"")</f>
        <v/>
      </c>
      <c r="F233" s="19">
        <f>IFERROR(IF(INDEX(Corrupcion!$E$2:$E$377,MATCH($A233&amp;"|"&amp;$B233,Corrupcion!$H$2:$H$377,0))="","",INDEX(Corrupcion!$E$2:$E$377,MATCH($A233&amp;"|"&amp;$B233,Corrupcion!$H$2:$H$377,0))),"")</f>
        <v/>
      </c>
      <c r="G233" s="20">
        <f>IFERROR(IF(INDEX(Corrupcion!$F$2:$F$377,MATCH($A233&amp;"|"&amp;$B233,Corrupcion!$H$2:$H$377,0))="","",INDEX(Corrupcion!$F$2:$F$377,MATCH($A233&amp;"|"&amp;$B233,Corrupcion!$H$2:$H$377,0))),"")</f>
        <v/>
      </c>
      <c r="H233" s="17">
        <f>IFERROR(IF(INDEX(Corrupcion!$G$2:$G$377,MATCH($A233&amp;"|"&amp;$B233,Corrupcion!$H$2:$H$377,0))="","",INDEX(Corrupcion!$G$2:$G$377,MATCH($A233&amp;"|"&amp;$B233,Corrupcion!$H$2:$H$377,0))),"")</f>
        <v/>
      </c>
      <c r="I233" s="8">
        <f>IF(COUNTBLANK(C233:E233)+COUNTBLANK(F233)=0,1,0)</f>
        <v/>
      </c>
      <c r="J233" s="8">
        <f>IF(COUNTBLANK(C233:E233)+COUNTBLANK(G233)=0,1,0)</f>
        <v/>
      </c>
      <c r="K233" s="8">
        <f>IF(COUNTBLANK(C233:E233)+COUNTBLANK(H233)=0,1,0)</f>
        <v/>
      </c>
    </row>
    <row r="234">
      <c r="A234" s="8" t="inlineStr">
        <is>
          <t>México</t>
        </is>
      </c>
      <c r="B234" s="8" t="n">
        <v>2010</v>
      </c>
      <c r="C234" s="18">
        <f>IF(Categorias!C235="","",Categorias!C235)</f>
        <v/>
      </c>
      <c r="D234" s="18">
        <f>IF(Categorias!H235="","",Categorias!H235)</f>
        <v/>
      </c>
      <c r="E234" s="17">
        <f>IFERROR(IF(INDEX(Gini!$C$2:$C$377,MATCH($A234&amp;"|"&amp;$B234,Gini!$E$2:$E$377,0))="","",INDEX(Gini!$C$2:$C$377,MATCH($A234&amp;"|"&amp;$B234,Gini!$E$2:$E$377,0))),"")</f>
        <v/>
      </c>
      <c r="F234" s="19">
        <f>IFERROR(IF(INDEX(Corrupcion!$E$2:$E$377,MATCH($A234&amp;"|"&amp;$B234,Corrupcion!$H$2:$H$377,0))="","",INDEX(Corrupcion!$E$2:$E$377,MATCH($A234&amp;"|"&amp;$B234,Corrupcion!$H$2:$H$377,0))),"")</f>
        <v/>
      </c>
      <c r="G234" s="20">
        <f>IFERROR(IF(INDEX(Corrupcion!$F$2:$F$377,MATCH($A234&amp;"|"&amp;$B234,Corrupcion!$H$2:$H$377,0))="","",INDEX(Corrupcion!$F$2:$F$377,MATCH($A234&amp;"|"&amp;$B234,Corrupcion!$H$2:$H$377,0))),"")</f>
        <v/>
      </c>
      <c r="H234" s="17">
        <f>IFERROR(IF(INDEX(Corrupcion!$G$2:$G$377,MATCH($A234&amp;"|"&amp;$B234,Corrupcion!$H$2:$H$377,0))="","",INDEX(Corrupcion!$G$2:$G$377,MATCH($A234&amp;"|"&amp;$B234,Corrupcion!$H$2:$H$377,0))),"")</f>
        <v/>
      </c>
      <c r="I234" s="8">
        <f>IF(COUNTBLANK(C234:E234)+COUNTBLANK(F234)=0,1,0)</f>
        <v/>
      </c>
      <c r="J234" s="8">
        <f>IF(COUNTBLANK(C234:E234)+COUNTBLANK(G234)=0,1,0)</f>
        <v/>
      </c>
      <c r="K234" s="8">
        <f>IF(COUNTBLANK(C234:E234)+COUNTBLANK(H234)=0,1,0)</f>
        <v/>
      </c>
    </row>
    <row r="235">
      <c r="A235" s="8" t="inlineStr">
        <is>
          <t>México</t>
        </is>
      </c>
      <c r="B235" s="8" t="n">
        <v>2011</v>
      </c>
      <c r="C235" s="18">
        <f>IF(Categorias!C236="","",Categorias!C236)</f>
        <v/>
      </c>
      <c r="D235" s="18">
        <f>IF(Categorias!H236="","",Categorias!H236)</f>
        <v/>
      </c>
      <c r="E235" s="17">
        <f>IFERROR(IF(INDEX(Gini!$C$2:$C$377,MATCH($A235&amp;"|"&amp;$B235,Gini!$E$2:$E$377,0))="","",INDEX(Gini!$C$2:$C$377,MATCH($A235&amp;"|"&amp;$B235,Gini!$E$2:$E$377,0))),"")</f>
        <v/>
      </c>
      <c r="F235" s="19">
        <f>IFERROR(IF(INDEX(Corrupcion!$E$2:$E$377,MATCH($A235&amp;"|"&amp;$B235,Corrupcion!$H$2:$H$377,0))="","",INDEX(Corrupcion!$E$2:$E$377,MATCH($A235&amp;"|"&amp;$B235,Corrupcion!$H$2:$H$377,0))),"")</f>
        <v/>
      </c>
      <c r="G235" s="20">
        <f>IFERROR(IF(INDEX(Corrupcion!$F$2:$F$377,MATCH($A235&amp;"|"&amp;$B235,Corrupcion!$H$2:$H$377,0))="","",INDEX(Corrupcion!$F$2:$F$377,MATCH($A235&amp;"|"&amp;$B235,Corrupcion!$H$2:$H$377,0))),"")</f>
        <v/>
      </c>
      <c r="H235" s="17">
        <f>IFERROR(IF(INDEX(Corrupcion!$G$2:$G$377,MATCH($A235&amp;"|"&amp;$B235,Corrupcion!$H$2:$H$377,0))="","",INDEX(Corrupcion!$G$2:$G$377,MATCH($A235&amp;"|"&amp;$B235,Corrupcion!$H$2:$H$377,0))),"")</f>
        <v/>
      </c>
      <c r="I235" s="8">
        <f>IF(COUNTBLANK(C235:E235)+COUNTBLANK(F235)=0,1,0)</f>
        <v/>
      </c>
      <c r="J235" s="8">
        <f>IF(COUNTBLANK(C235:E235)+COUNTBLANK(G235)=0,1,0)</f>
        <v/>
      </c>
      <c r="K235" s="8">
        <f>IF(COUNTBLANK(C235:E235)+COUNTBLANK(H235)=0,1,0)</f>
        <v/>
      </c>
    </row>
    <row r="236">
      <c r="A236" s="8" t="inlineStr">
        <is>
          <t>México</t>
        </is>
      </c>
      <c r="B236" s="8" t="n">
        <v>2015</v>
      </c>
      <c r="C236" s="18">
        <f>IF(Categorias!C237="","",Categorias!C237)</f>
        <v/>
      </c>
      <c r="D236" s="18">
        <f>IF(Categorias!H237="","",Categorias!H237)</f>
        <v/>
      </c>
      <c r="E236" s="17">
        <f>IFERROR(IF(INDEX(Gini!$C$2:$C$377,MATCH($A236&amp;"|"&amp;$B236,Gini!$E$2:$E$377,0))="","",INDEX(Gini!$C$2:$C$377,MATCH($A236&amp;"|"&amp;$B236,Gini!$E$2:$E$377,0))),"")</f>
        <v/>
      </c>
      <c r="F236" s="19">
        <f>IFERROR(IF(INDEX(Corrupcion!$E$2:$E$377,MATCH($A236&amp;"|"&amp;$B236,Corrupcion!$H$2:$H$377,0))="","",INDEX(Corrupcion!$E$2:$E$377,MATCH($A236&amp;"|"&amp;$B236,Corrupcion!$H$2:$H$377,0))),"")</f>
        <v/>
      </c>
      <c r="G236" s="20">
        <f>IFERROR(IF(INDEX(Corrupcion!$F$2:$F$377,MATCH($A236&amp;"|"&amp;$B236,Corrupcion!$H$2:$H$377,0))="","",INDEX(Corrupcion!$F$2:$F$377,MATCH($A236&amp;"|"&amp;$B236,Corrupcion!$H$2:$H$377,0))),"")</f>
        <v/>
      </c>
      <c r="H236" s="17">
        <f>IFERROR(IF(INDEX(Corrupcion!$G$2:$G$377,MATCH($A236&amp;"|"&amp;$B236,Corrupcion!$H$2:$H$377,0))="","",INDEX(Corrupcion!$G$2:$G$377,MATCH($A236&amp;"|"&amp;$B236,Corrupcion!$H$2:$H$377,0))),"")</f>
        <v/>
      </c>
      <c r="I236" s="8">
        <f>IF(COUNTBLANK(C236:E236)+COUNTBLANK(F236)=0,1,0)</f>
        <v/>
      </c>
      <c r="J236" s="8">
        <f>IF(COUNTBLANK(C236:E236)+COUNTBLANK(G236)=0,1,0)</f>
        <v/>
      </c>
      <c r="K236" s="8">
        <f>IF(COUNTBLANK(C236:E236)+COUNTBLANK(H236)=0,1,0)</f>
        <v/>
      </c>
    </row>
    <row r="237">
      <c r="A237" s="8" t="inlineStr">
        <is>
          <t>México</t>
        </is>
      </c>
      <c r="B237" s="8" t="n">
        <v>2016</v>
      </c>
      <c r="C237" s="18">
        <f>IF(Categorias!C238="","",Categorias!C238)</f>
        <v/>
      </c>
      <c r="D237" s="18">
        <f>IF(Categorias!H238="","",Categorias!H238)</f>
        <v/>
      </c>
      <c r="E237" s="17">
        <f>IFERROR(IF(INDEX(Gini!$C$2:$C$377,MATCH($A237&amp;"|"&amp;$B237,Gini!$E$2:$E$377,0))="","",INDEX(Gini!$C$2:$C$377,MATCH($A237&amp;"|"&amp;$B237,Gini!$E$2:$E$377,0))),"")</f>
        <v/>
      </c>
      <c r="F237" s="19">
        <f>IFERROR(IF(INDEX(Corrupcion!$E$2:$E$377,MATCH($A237&amp;"|"&amp;$B237,Corrupcion!$H$2:$H$377,0))="","",INDEX(Corrupcion!$E$2:$E$377,MATCH($A237&amp;"|"&amp;$B237,Corrupcion!$H$2:$H$377,0))),"")</f>
        <v/>
      </c>
      <c r="G237" s="20">
        <f>IFERROR(IF(INDEX(Corrupcion!$F$2:$F$377,MATCH($A237&amp;"|"&amp;$B237,Corrupcion!$H$2:$H$377,0))="","",INDEX(Corrupcion!$F$2:$F$377,MATCH($A237&amp;"|"&amp;$B237,Corrupcion!$H$2:$H$377,0))),"")</f>
        <v/>
      </c>
      <c r="H237" s="17">
        <f>IFERROR(IF(INDEX(Corrupcion!$G$2:$G$377,MATCH($A237&amp;"|"&amp;$B237,Corrupcion!$H$2:$H$377,0))="","",INDEX(Corrupcion!$G$2:$G$377,MATCH($A237&amp;"|"&amp;$B237,Corrupcion!$H$2:$H$377,0))),"")</f>
        <v/>
      </c>
      <c r="I237" s="8">
        <f>IF(COUNTBLANK(C237:E237)+COUNTBLANK(F237)=0,1,0)</f>
        <v/>
      </c>
      <c r="J237" s="8">
        <f>IF(COUNTBLANK(C237:E237)+COUNTBLANK(G237)=0,1,0)</f>
        <v/>
      </c>
      <c r="K237" s="8">
        <f>IF(COUNTBLANK(C237:E237)+COUNTBLANK(H237)=0,1,0)</f>
        <v/>
      </c>
    </row>
    <row r="238">
      <c r="A238" s="8" t="inlineStr">
        <is>
          <t>México</t>
        </is>
      </c>
      <c r="B238" s="8" t="n">
        <v>2017</v>
      </c>
      <c r="C238" s="18">
        <f>IF(Categorias!C239="","",Categorias!C239)</f>
        <v/>
      </c>
      <c r="D238" s="18">
        <f>IF(Categorias!H239="","",Categorias!H239)</f>
        <v/>
      </c>
      <c r="E238" s="17">
        <f>IFERROR(IF(INDEX(Gini!$C$2:$C$377,MATCH($A238&amp;"|"&amp;$B238,Gini!$E$2:$E$377,0))="","",INDEX(Gini!$C$2:$C$377,MATCH($A238&amp;"|"&amp;$B238,Gini!$E$2:$E$377,0))),"")</f>
        <v/>
      </c>
      <c r="F238" s="19">
        <f>IFERROR(IF(INDEX(Corrupcion!$E$2:$E$377,MATCH($A238&amp;"|"&amp;$B238,Corrupcion!$H$2:$H$377,0))="","",INDEX(Corrupcion!$E$2:$E$377,MATCH($A238&amp;"|"&amp;$B238,Corrupcion!$H$2:$H$377,0))),"")</f>
        <v/>
      </c>
      <c r="G238" s="20">
        <f>IFERROR(IF(INDEX(Corrupcion!$F$2:$F$377,MATCH($A238&amp;"|"&amp;$B238,Corrupcion!$H$2:$H$377,0))="","",INDEX(Corrupcion!$F$2:$F$377,MATCH($A238&amp;"|"&amp;$B238,Corrupcion!$H$2:$H$377,0))),"")</f>
        <v/>
      </c>
      <c r="H238" s="17">
        <f>IFERROR(IF(INDEX(Corrupcion!$G$2:$G$377,MATCH($A238&amp;"|"&amp;$B238,Corrupcion!$H$2:$H$377,0))="","",INDEX(Corrupcion!$G$2:$G$377,MATCH($A238&amp;"|"&amp;$B238,Corrupcion!$H$2:$H$377,0))),"")</f>
        <v/>
      </c>
      <c r="I238" s="8">
        <f>IF(COUNTBLANK(C238:E238)+COUNTBLANK(F238)=0,1,0)</f>
        <v/>
      </c>
      <c r="J238" s="8">
        <f>IF(COUNTBLANK(C238:E238)+COUNTBLANK(G238)=0,1,0)</f>
        <v/>
      </c>
      <c r="K238" s="8">
        <f>IF(COUNTBLANK(C238:E238)+COUNTBLANK(H238)=0,1,0)</f>
        <v/>
      </c>
    </row>
    <row r="239">
      <c r="A239" s="8" t="inlineStr">
        <is>
          <t>México</t>
        </is>
      </c>
      <c r="B239" s="8" t="n">
        <v>2018</v>
      </c>
      <c r="C239" s="18">
        <f>IF(Categorias!C240="","",Categorias!C240)</f>
        <v/>
      </c>
      <c r="D239" s="18">
        <f>IF(Categorias!H240="","",Categorias!H240)</f>
        <v/>
      </c>
      <c r="E239" s="17">
        <f>IFERROR(IF(INDEX(Gini!$C$2:$C$377,MATCH($A239&amp;"|"&amp;$B239,Gini!$E$2:$E$377,0))="","",INDEX(Gini!$C$2:$C$377,MATCH($A239&amp;"|"&amp;$B239,Gini!$E$2:$E$377,0))),"")</f>
        <v/>
      </c>
      <c r="F239" s="19">
        <f>IFERROR(IF(INDEX(Corrupcion!$E$2:$E$377,MATCH($A239&amp;"|"&amp;$B239,Corrupcion!$H$2:$H$377,0))="","",INDEX(Corrupcion!$E$2:$E$377,MATCH($A239&amp;"|"&amp;$B239,Corrupcion!$H$2:$H$377,0))),"")</f>
        <v/>
      </c>
      <c r="G239" s="20">
        <f>IFERROR(IF(INDEX(Corrupcion!$F$2:$F$377,MATCH($A239&amp;"|"&amp;$B239,Corrupcion!$H$2:$H$377,0))="","",INDEX(Corrupcion!$F$2:$F$377,MATCH($A239&amp;"|"&amp;$B239,Corrupcion!$H$2:$H$377,0))),"")</f>
        <v/>
      </c>
      <c r="H239" s="17">
        <f>IFERROR(IF(INDEX(Corrupcion!$G$2:$G$377,MATCH($A239&amp;"|"&amp;$B239,Corrupcion!$H$2:$H$377,0))="","",INDEX(Corrupcion!$G$2:$G$377,MATCH($A239&amp;"|"&amp;$B239,Corrupcion!$H$2:$H$377,0))),"")</f>
        <v/>
      </c>
      <c r="I239" s="8">
        <f>IF(COUNTBLANK(C239:E239)+COUNTBLANK(F239)=0,1,0)</f>
        <v/>
      </c>
      <c r="J239" s="8">
        <f>IF(COUNTBLANK(C239:E239)+COUNTBLANK(G239)=0,1,0)</f>
        <v/>
      </c>
      <c r="K239" s="8">
        <f>IF(COUNTBLANK(C239:E239)+COUNTBLANK(H239)=0,1,0)</f>
        <v/>
      </c>
    </row>
    <row r="240">
      <c r="A240" s="8" t="inlineStr">
        <is>
          <t>México</t>
        </is>
      </c>
      <c r="B240" s="8" t="n">
        <v>2020</v>
      </c>
      <c r="C240" s="18">
        <f>IF(Categorias!C241="","",Categorias!C241)</f>
        <v/>
      </c>
      <c r="D240" s="18">
        <f>IF(Categorias!H241="","",Categorias!H241)</f>
        <v/>
      </c>
      <c r="E240" s="17">
        <f>IFERROR(IF(INDEX(Gini!$C$2:$C$377,MATCH($A240&amp;"|"&amp;$B240,Gini!$E$2:$E$377,0))="","",INDEX(Gini!$C$2:$C$377,MATCH($A240&amp;"|"&amp;$B240,Gini!$E$2:$E$377,0))),"")</f>
        <v/>
      </c>
      <c r="F240" s="19">
        <f>IFERROR(IF(INDEX(Corrupcion!$E$2:$E$377,MATCH($A240&amp;"|"&amp;$B240,Corrupcion!$H$2:$H$377,0))="","",INDEX(Corrupcion!$E$2:$E$377,MATCH($A240&amp;"|"&amp;$B240,Corrupcion!$H$2:$H$377,0))),"")</f>
        <v/>
      </c>
      <c r="G240" s="20">
        <f>IFERROR(IF(INDEX(Corrupcion!$F$2:$F$377,MATCH($A240&amp;"|"&amp;$B240,Corrupcion!$H$2:$H$377,0))="","",INDEX(Corrupcion!$F$2:$F$377,MATCH($A240&amp;"|"&amp;$B240,Corrupcion!$H$2:$H$377,0))),"")</f>
        <v/>
      </c>
      <c r="H240" s="17">
        <f>IFERROR(IF(INDEX(Corrupcion!$G$2:$G$377,MATCH($A240&amp;"|"&amp;$B240,Corrupcion!$H$2:$H$377,0))="","",INDEX(Corrupcion!$G$2:$G$377,MATCH($A240&amp;"|"&amp;$B240,Corrupcion!$H$2:$H$377,0))),"")</f>
        <v/>
      </c>
      <c r="I240" s="8">
        <f>IF(COUNTBLANK(C240:E240)+COUNTBLANK(F240)=0,1,0)</f>
        <v/>
      </c>
      <c r="J240" s="8">
        <f>IF(COUNTBLANK(C240:E240)+COUNTBLANK(G240)=0,1,0)</f>
        <v/>
      </c>
      <c r="K240" s="8">
        <f>IF(COUNTBLANK(C240:E240)+COUNTBLANK(H240)=0,1,0)</f>
        <v/>
      </c>
    </row>
    <row r="241">
      <c r="A241" s="8" t="inlineStr">
        <is>
          <t>México</t>
        </is>
      </c>
      <c r="B241" s="8" t="n">
        <v>2024</v>
      </c>
      <c r="C241" s="18">
        <f>IF(Categorias!C242="","",Categorias!C242)</f>
        <v/>
      </c>
      <c r="D241" s="18">
        <f>IF(Categorias!H242="","",Categorias!H242)</f>
        <v/>
      </c>
      <c r="E241" s="17">
        <f>IFERROR(IF(INDEX(Gini!$C$2:$C$377,MATCH($A241&amp;"|"&amp;$B241,Gini!$E$2:$E$377,0))="","",INDEX(Gini!$C$2:$C$377,MATCH($A241&amp;"|"&amp;$B241,Gini!$E$2:$E$377,0))),"")</f>
        <v/>
      </c>
      <c r="F241" s="19">
        <f>IFERROR(IF(INDEX(Corrupcion!$E$2:$E$377,MATCH($A241&amp;"|"&amp;$B241,Corrupcion!$H$2:$H$377,0))="","",INDEX(Corrupcion!$E$2:$E$377,MATCH($A241&amp;"|"&amp;$B241,Corrupcion!$H$2:$H$377,0))),"")</f>
        <v/>
      </c>
      <c r="G241" s="20">
        <f>IFERROR(IF(INDEX(Corrupcion!$F$2:$F$377,MATCH($A241&amp;"|"&amp;$B241,Corrupcion!$H$2:$H$377,0))="","",INDEX(Corrupcion!$F$2:$F$377,MATCH($A241&amp;"|"&amp;$B241,Corrupcion!$H$2:$H$377,0))),"")</f>
        <v/>
      </c>
      <c r="H241" s="17">
        <f>IFERROR(IF(INDEX(Corrupcion!$G$2:$G$377,MATCH($A241&amp;"|"&amp;$B241,Corrupcion!$H$2:$H$377,0))="","",INDEX(Corrupcion!$G$2:$G$377,MATCH($A241&amp;"|"&amp;$B241,Corrupcion!$H$2:$H$377,0))),"")</f>
        <v/>
      </c>
      <c r="I241" s="8">
        <f>IF(COUNTBLANK(C241:E241)+COUNTBLANK(F241)=0,1,0)</f>
        <v/>
      </c>
      <c r="J241" s="8">
        <f>IF(COUNTBLANK(C241:E241)+COUNTBLANK(G241)=0,1,0)</f>
        <v/>
      </c>
      <c r="K241" s="8">
        <f>IF(COUNTBLANK(C241:E241)+COUNTBLANK(H241)=0,1,0)</f>
        <v/>
      </c>
    </row>
    <row r="242">
      <c r="A242" s="8" t="inlineStr">
        <is>
          <t>Nicaragua</t>
        </is>
      </c>
      <c r="B242" s="8" t="n">
        <v>1996</v>
      </c>
      <c r="C242" s="18">
        <f>IF(Categorias!C243="","",Categorias!C243)</f>
        <v/>
      </c>
      <c r="D242" s="18">
        <f>IF(Categorias!H243="","",Categorias!H243)</f>
        <v/>
      </c>
      <c r="E242" s="17">
        <f>IFERROR(IF(INDEX(Gini!$C$2:$C$377,MATCH($A242&amp;"|"&amp;$B242,Gini!$E$2:$E$377,0))="","",INDEX(Gini!$C$2:$C$377,MATCH($A242&amp;"|"&amp;$B242,Gini!$E$2:$E$377,0))),"")</f>
        <v/>
      </c>
      <c r="F242" s="19">
        <f>IFERROR(IF(INDEX(Corrupcion!$E$2:$E$377,MATCH($A242&amp;"|"&amp;$B242,Corrupcion!$H$2:$H$377,0))="","",INDEX(Corrupcion!$E$2:$E$377,MATCH($A242&amp;"|"&amp;$B242,Corrupcion!$H$2:$H$377,0))),"")</f>
        <v/>
      </c>
      <c r="G242" s="20">
        <f>IFERROR(IF(INDEX(Corrupcion!$F$2:$F$377,MATCH($A242&amp;"|"&amp;$B242,Corrupcion!$H$2:$H$377,0))="","",INDEX(Corrupcion!$F$2:$F$377,MATCH($A242&amp;"|"&amp;$B242,Corrupcion!$H$2:$H$377,0))),"")</f>
        <v/>
      </c>
      <c r="H242" s="17">
        <f>IFERROR(IF(INDEX(Corrupcion!$G$2:$G$377,MATCH($A242&amp;"|"&amp;$B242,Corrupcion!$H$2:$H$377,0))="","",INDEX(Corrupcion!$G$2:$G$377,MATCH($A242&amp;"|"&amp;$B242,Corrupcion!$H$2:$H$377,0))),"")</f>
        <v/>
      </c>
      <c r="I242" s="8">
        <f>IF(COUNTBLANK(C242:E242)+COUNTBLANK(F242)=0,1,0)</f>
        <v/>
      </c>
      <c r="J242" s="8">
        <f>IF(COUNTBLANK(C242:E242)+COUNTBLANK(G242)=0,1,0)</f>
        <v/>
      </c>
      <c r="K242" s="8">
        <f>IF(COUNTBLANK(C242:E242)+COUNTBLANK(H242)=0,1,0)</f>
        <v/>
      </c>
    </row>
    <row r="243">
      <c r="A243" s="8" t="inlineStr">
        <is>
          <t>Nicaragua</t>
        </is>
      </c>
      <c r="B243" s="8" t="n">
        <v>1997</v>
      </c>
      <c r="C243" s="18">
        <f>IF(Categorias!C244="","",Categorias!C244)</f>
        <v/>
      </c>
      <c r="D243" s="18">
        <f>IF(Categorias!H244="","",Categorias!H244)</f>
        <v/>
      </c>
      <c r="E243" s="17">
        <f>IFERROR(IF(INDEX(Gini!$C$2:$C$377,MATCH($A243&amp;"|"&amp;$B243,Gini!$E$2:$E$377,0))="","",INDEX(Gini!$C$2:$C$377,MATCH($A243&amp;"|"&amp;$B243,Gini!$E$2:$E$377,0))),"")</f>
        <v/>
      </c>
      <c r="F243" s="19">
        <f>IFERROR(IF(INDEX(Corrupcion!$E$2:$E$377,MATCH($A243&amp;"|"&amp;$B243,Corrupcion!$H$2:$H$377,0))="","",INDEX(Corrupcion!$E$2:$E$377,MATCH($A243&amp;"|"&amp;$B243,Corrupcion!$H$2:$H$377,0))),"")</f>
        <v/>
      </c>
      <c r="G243" s="20">
        <f>IFERROR(IF(INDEX(Corrupcion!$F$2:$F$377,MATCH($A243&amp;"|"&amp;$B243,Corrupcion!$H$2:$H$377,0))="","",INDEX(Corrupcion!$F$2:$F$377,MATCH($A243&amp;"|"&amp;$B243,Corrupcion!$H$2:$H$377,0))),"")</f>
        <v/>
      </c>
      <c r="H243" s="17">
        <f>IFERROR(IF(INDEX(Corrupcion!$G$2:$G$377,MATCH($A243&amp;"|"&amp;$B243,Corrupcion!$H$2:$H$377,0))="","",INDEX(Corrupcion!$G$2:$G$377,MATCH($A243&amp;"|"&amp;$B243,Corrupcion!$H$2:$H$377,0))),"")</f>
        <v/>
      </c>
      <c r="I243" s="8">
        <f>IF(COUNTBLANK(C243:E243)+COUNTBLANK(F243)=0,1,0)</f>
        <v/>
      </c>
      <c r="J243" s="8">
        <f>IF(COUNTBLANK(C243:E243)+COUNTBLANK(G243)=0,1,0)</f>
        <v/>
      </c>
      <c r="K243" s="8">
        <f>IF(COUNTBLANK(C243:E243)+COUNTBLANK(H243)=0,1,0)</f>
        <v/>
      </c>
    </row>
    <row r="244">
      <c r="A244" s="8" t="inlineStr">
        <is>
          <t>Nicaragua</t>
        </is>
      </c>
      <c r="B244" s="8" t="n">
        <v>1998</v>
      </c>
      <c r="C244" s="18">
        <f>IF(Categorias!C245="","",Categorias!C245)</f>
        <v/>
      </c>
      <c r="D244" s="18">
        <f>IF(Categorias!H245="","",Categorias!H245)</f>
        <v/>
      </c>
      <c r="E244" s="17">
        <f>IFERROR(IF(INDEX(Gini!$C$2:$C$377,MATCH($A244&amp;"|"&amp;$B244,Gini!$E$2:$E$377,0))="","",INDEX(Gini!$C$2:$C$377,MATCH($A244&amp;"|"&amp;$B244,Gini!$E$2:$E$377,0))),"")</f>
        <v/>
      </c>
      <c r="F244" s="19">
        <f>IFERROR(IF(INDEX(Corrupcion!$E$2:$E$377,MATCH($A244&amp;"|"&amp;$B244,Corrupcion!$H$2:$H$377,0))="","",INDEX(Corrupcion!$E$2:$E$377,MATCH($A244&amp;"|"&amp;$B244,Corrupcion!$H$2:$H$377,0))),"")</f>
        <v/>
      </c>
      <c r="G244" s="20">
        <f>IFERROR(IF(INDEX(Corrupcion!$F$2:$F$377,MATCH($A244&amp;"|"&amp;$B244,Corrupcion!$H$2:$H$377,0))="","",INDEX(Corrupcion!$F$2:$F$377,MATCH($A244&amp;"|"&amp;$B244,Corrupcion!$H$2:$H$377,0))),"")</f>
        <v/>
      </c>
      <c r="H244" s="17">
        <f>IFERROR(IF(INDEX(Corrupcion!$G$2:$G$377,MATCH($A244&amp;"|"&amp;$B244,Corrupcion!$H$2:$H$377,0))="","",INDEX(Corrupcion!$G$2:$G$377,MATCH($A244&amp;"|"&amp;$B244,Corrupcion!$H$2:$H$377,0))),"")</f>
        <v/>
      </c>
      <c r="I244" s="8">
        <f>IF(COUNTBLANK(C244:E244)+COUNTBLANK(F244)=0,1,0)</f>
        <v/>
      </c>
      <c r="J244" s="8">
        <f>IF(COUNTBLANK(C244:E244)+COUNTBLANK(G244)=0,1,0)</f>
        <v/>
      </c>
      <c r="K244" s="8">
        <f>IF(COUNTBLANK(C244:E244)+COUNTBLANK(H244)=0,1,0)</f>
        <v/>
      </c>
    </row>
    <row r="245">
      <c r="A245" s="8" t="inlineStr">
        <is>
          <t>Nicaragua</t>
        </is>
      </c>
      <c r="B245" s="8" t="n">
        <v>2000</v>
      </c>
      <c r="C245" s="18">
        <f>IF(Categorias!C246="","",Categorias!C246)</f>
        <v/>
      </c>
      <c r="D245" s="18">
        <f>IF(Categorias!H246="","",Categorias!H246)</f>
        <v/>
      </c>
      <c r="E245" s="17">
        <f>IFERROR(IF(INDEX(Gini!$C$2:$C$377,MATCH($A245&amp;"|"&amp;$B245,Gini!$E$2:$E$377,0))="","",INDEX(Gini!$C$2:$C$377,MATCH($A245&amp;"|"&amp;$B245,Gini!$E$2:$E$377,0))),"")</f>
        <v/>
      </c>
      <c r="F245" s="19">
        <f>IFERROR(IF(INDEX(Corrupcion!$E$2:$E$377,MATCH($A245&amp;"|"&amp;$B245,Corrupcion!$H$2:$H$377,0))="","",INDEX(Corrupcion!$E$2:$E$377,MATCH($A245&amp;"|"&amp;$B245,Corrupcion!$H$2:$H$377,0))),"")</f>
        <v/>
      </c>
      <c r="G245" s="20">
        <f>IFERROR(IF(INDEX(Corrupcion!$F$2:$F$377,MATCH($A245&amp;"|"&amp;$B245,Corrupcion!$H$2:$H$377,0))="","",INDEX(Corrupcion!$F$2:$F$377,MATCH($A245&amp;"|"&amp;$B245,Corrupcion!$H$2:$H$377,0))),"")</f>
        <v/>
      </c>
      <c r="H245" s="17">
        <f>IFERROR(IF(INDEX(Corrupcion!$G$2:$G$377,MATCH($A245&amp;"|"&amp;$B245,Corrupcion!$H$2:$H$377,0))="","",INDEX(Corrupcion!$G$2:$G$377,MATCH($A245&amp;"|"&amp;$B245,Corrupcion!$H$2:$H$377,0))),"")</f>
        <v/>
      </c>
      <c r="I245" s="8">
        <f>IF(COUNTBLANK(C245:E245)+COUNTBLANK(F245)=0,1,0)</f>
        <v/>
      </c>
      <c r="J245" s="8">
        <f>IF(COUNTBLANK(C245:E245)+COUNTBLANK(G245)=0,1,0)</f>
        <v/>
      </c>
      <c r="K245" s="8">
        <f>IF(COUNTBLANK(C245:E245)+COUNTBLANK(H245)=0,1,0)</f>
        <v/>
      </c>
    </row>
    <row r="246">
      <c r="A246" s="8" t="inlineStr">
        <is>
          <t>Nicaragua</t>
        </is>
      </c>
      <c r="B246" s="8" t="n">
        <v>2001</v>
      </c>
      <c r="C246" s="18">
        <f>IF(Categorias!C247="","",Categorias!C247)</f>
        <v/>
      </c>
      <c r="D246" s="18">
        <f>IF(Categorias!H247="","",Categorias!H247)</f>
        <v/>
      </c>
      <c r="E246" s="17">
        <f>IFERROR(IF(INDEX(Gini!$C$2:$C$377,MATCH($A246&amp;"|"&amp;$B246,Gini!$E$2:$E$377,0))="","",INDEX(Gini!$C$2:$C$377,MATCH($A246&amp;"|"&amp;$B246,Gini!$E$2:$E$377,0))),"")</f>
        <v/>
      </c>
      <c r="F246" s="19">
        <f>IFERROR(IF(INDEX(Corrupcion!$E$2:$E$377,MATCH($A246&amp;"|"&amp;$B246,Corrupcion!$H$2:$H$377,0))="","",INDEX(Corrupcion!$E$2:$E$377,MATCH($A246&amp;"|"&amp;$B246,Corrupcion!$H$2:$H$377,0))),"")</f>
        <v/>
      </c>
      <c r="G246" s="20">
        <f>IFERROR(IF(INDEX(Corrupcion!$F$2:$F$377,MATCH($A246&amp;"|"&amp;$B246,Corrupcion!$H$2:$H$377,0))="","",INDEX(Corrupcion!$F$2:$F$377,MATCH($A246&amp;"|"&amp;$B246,Corrupcion!$H$2:$H$377,0))),"")</f>
        <v/>
      </c>
      <c r="H246" s="17">
        <f>IFERROR(IF(INDEX(Corrupcion!$G$2:$G$377,MATCH($A246&amp;"|"&amp;$B246,Corrupcion!$H$2:$H$377,0))="","",INDEX(Corrupcion!$G$2:$G$377,MATCH($A246&amp;"|"&amp;$B246,Corrupcion!$H$2:$H$377,0))),"")</f>
        <v/>
      </c>
      <c r="I246" s="8">
        <f>IF(COUNTBLANK(C246:E246)+COUNTBLANK(F246)=0,1,0)</f>
        <v/>
      </c>
      <c r="J246" s="8">
        <f>IF(COUNTBLANK(C246:E246)+COUNTBLANK(G246)=0,1,0)</f>
        <v/>
      </c>
      <c r="K246" s="8">
        <f>IF(COUNTBLANK(C246:E246)+COUNTBLANK(H246)=0,1,0)</f>
        <v/>
      </c>
    </row>
    <row r="247">
      <c r="A247" s="8" t="inlineStr">
        <is>
          <t>Nicaragua</t>
        </is>
      </c>
      <c r="B247" s="8" t="n">
        <v>2002</v>
      </c>
      <c r="C247" s="18">
        <f>IF(Categorias!C248="","",Categorias!C248)</f>
        <v/>
      </c>
      <c r="D247" s="18">
        <f>IF(Categorias!H248="","",Categorias!H248)</f>
        <v/>
      </c>
      <c r="E247" s="17">
        <f>IFERROR(IF(INDEX(Gini!$C$2:$C$377,MATCH($A247&amp;"|"&amp;$B247,Gini!$E$2:$E$377,0))="","",INDEX(Gini!$C$2:$C$377,MATCH($A247&amp;"|"&amp;$B247,Gini!$E$2:$E$377,0))),"")</f>
        <v/>
      </c>
      <c r="F247" s="19">
        <f>IFERROR(IF(INDEX(Corrupcion!$E$2:$E$377,MATCH($A247&amp;"|"&amp;$B247,Corrupcion!$H$2:$H$377,0))="","",INDEX(Corrupcion!$E$2:$E$377,MATCH($A247&amp;"|"&amp;$B247,Corrupcion!$H$2:$H$377,0))),"")</f>
        <v/>
      </c>
      <c r="G247" s="20">
        <f>IFERROR(IF(INDEX(Corrupcion!$F$2:$F$377,MATCH($A247&amp;"|"&amp;$B247,Corrupcion!$H$2:$H$377,0))="","",INDEX(Corrupcion!$F$2:$F$377,MATCH($A247&amp;"|"&amp;$B247,Corrupcion!$H$2:$H$377,0))),"")</f>
        <v/>
      </c>
      <c r="H247" s="17">
        <f>IFERROR(IF(INDEX(Corrupcion!$G$2:$G$377,MATCH($A247&amp;"|"&amp;$B247,Corrupcion!$H$2:$H$377,0))="","",INDEX(Corrupcion!$G$2:$G$377,MATCH($A247&amp;"|"&amp;$B247,Corrupcion!$H$2:$H$377,0))),"")</f>
        <v/>
      </c>
      <c r="I247" s="8">
        <f>IF(COUNTBLANK(C247:E247)+COUNTBLANK(F247)=0,1,0)</f>
        <v/>
      </c>
      <c r="J247" s="8">
        <f>IF(COUNTBLANK(C247:E247)+COUNTBLANK(G247)=0,1,0)</f>
        <v/>
      </c>
      <c r="K247" s="8">
        <f>IF(COUNTBLANK(C247:E247)+COUNTBLANK(H247)=0,1,0)</f>
        <v/>
      </c>
    </row>
    <row r="248">
      <c r="A248" s="8" t="inlineStr">
        <is>
          <t>Nicaragua</t>
        </is>
      </c>
      <c r="B248" s="8" t="n">
        <v>2003</v>
      </c>
      <c r="C248" s="18">
        <f>IF(Categorias!C249="","",Categorias!C249)</f>
        <v/>
      </c>
      <c r="D248" s="18">
        <f>IF(Categorias!H249="","",Categorias!H249)</f>
        <v/>
      </c>
      <c r="E248" s="17">
        <f>IFERROR(IF(INDEX(Gini!$C$2:$C$377,MATCH($A248&amp;"|"&amp;$B248,Gini!$E$2:$E$377,0))="","",INDEX(Gini!$C$2:$C$377,MATCH($A248&amp;"|"&amp;$B248,Gini!$E$2:$E$377,0))),"")</f>
        <v/>
      </c>
      <c r="F248" s="19">
        <f>IFERROR(IF(INDEX(Corrupcion!$E$2:$E$377,MATCH($A248&amp;"|"&amp;$B248,Corrupcion!$H$2:$H$377,0))="","",INDEX(Corrupcion!$E$2:$E$377,MATCH($A248&amp;"|"&amp;$B248,Corrupcion!$H$2:$H$377,0))),"")</f>
        <v/>
      </c>
      <c r="G248" s="20">
        <f>IFERROR(IF(INDEX(Corrupcion!$F$2:$F$377,MATCH($A248&amp;"|"&amp;$B248,Corrupcion!$H$2:$H$377,0))="","",INDEX(Corrupcion!$F$2:$F$377,MATCH($A248&amp;"|"&amp;$B248,Corrupcion!$H$2:$H$377,0))),"")</f>
        <v/>
      </c>
      <c r="H248" s="17">
        <f>IFERROR(IF(INDEX(Corrupcion!$G$2:$G$377,MATCH($A248&amp;"|"&amp;$B248,Corrupcion!$H$2:$H$377,0))="","",INDEX(Corrupcion!$G$2:$G$377,MATCH($A248&amp;"|"&amp;$B248,Corrupcion!$H$2:$H$377,0))),"")</f>
        <v/>
      </c>
      <c r="I248" s="8">
        <f>IF(COUNTBLANK(C248:E248)+COUNTBLANK(F248)=0,1,0)</f>
        <v/>
      </c>
      <c r="J248" s="8">
        <f>IF(COUNTBLANK(C248:E248)+COUNTBLANK(G248)=0,1,0)</f>
        <v/>
      </c>
      <c r="K248" s="8">
        <f>IF(COUNTBLANK(C248:E248)+COUNTBLANK(H248)=0,1,0)</f>
        <v/>
      </c>
    </row>
    <row r="249">
      <c r="A249" s="8" t="inlineStr">
        <is>
          <t>Nicaragua</t>
        </is>
      </c>
      <c r="B249" s="8" t="n">
        <v>2004</v>
      </c>
      <c r="C249" s="18">
        <f>IF(Categorias!C250="","",Categorias!C250)</f>
        <v/>
      </c>
      <c r="D249" s="18">
        <f>IF(Categorias!H250="","",Categorias!H250)</f>
        <v/>
      </c>
      <c r="E249" s="17">
        <f>IFERROR(IF(INDEX(Gini!$C$2:$C$377,MATCH($A249&amp;"|"&amp;$B249,Gini!$E$2:$E$377,0))="","",INDEX(Gini!$C$2:$C$377,MATCH($A249&amp;"|"&amp;$B249,Gini!$E$2:$E$377,0))),"")</f>
        <v/>
      </c>
      <c r="F249" s="19">
        <f>IFERROR(IF(INDEX(Corrupcion!$E$2:$E$377,MATCH($A249&amp;"|"&amp;$B249,Corrupcion!$H$2:$H$377,0))="","",INDEX(Corrupcion!$E$2:$E$377,MATCH($A249&amp;"|"&amp;$B249,Corrupcion!$H$2:$H$377,0))),"")</f>
        <v/>
      </c>
      <c r="G249" s="20">
        <f>IFERROR(IF(INDEX(Corrupcion!$F$2:$F$377,MATCH($A249&amp;"|"&amp;$B249,Corrupcion!$H$2:$H$377,0))="","",INDEX(Corrupcion!$F$2:$F$377,MATCH($A249&amp;"|"&amp;$B249,Corrupcion!$H$2:$H$377,0))),"")</f>
        <v/>
      </c>
      <c r="H249" s="17">
        <f>IFERROR(IF(INDEX(Corrupcion!$G$2:$G$377,MATCH($A249&amp;"|"&amp;$B249,Corrupcion!$H$2:$H$377,0))="","",INDEX(Corrupcion!$G$2:$G$377,MATCH($A249&amp;"|"&amp;$B249,Corrupcion!$H$2:$H$377,0))),"")</f>
        <v/>
      </c>
      <c r="I249" s="8">
        <f>IF(COUNTBLANK(C249:E249)+COUNTBLANK(F249)=0,1,0)</f>
        <v/>
      </c>
      <c r="J249" s="8">
        <f>IF(COUNTBLANK(C249:E249)+COUNTBLANK(G249)=0,1,0)</f>
        <v/>
      </c>
      <c r="K249" s="8">
        <f>IF(COUNTBLANK(C249:E249)+COUNTBLANK(H249)=0,1,0)</f>
        <v/>
      </c>
    </row>
    <row r="250">
      <c r="A250" s="8" t="inlineStr">
        <is>
          <t>Nicaragua</t>
        </is>
      </c>
      <c r="B250" s="8" t="n">
        <v>2005</v>
      </c>
      <c r="C250" s="18">
        <f>IF(Categorias!C251="","",Categorias!C251)</f>
        <v/>
      </c>
      <c r="D250" s="18">
        <f>IF(Categorias!H251="","",Categorias!H251)</f>
        <v/>
      </c>
      <c r="E250" s="17">
        <f>IFERROR(IF(INDEX(Gini!$C$2:$C$377,MATCH($A250&amp;"|"&amp;$B250,Gini!$E$2:$E$377,0))="","",INDEX(Gini!$C$2:$C$377,MATCH($A250&amp;"|"&amp;$B250,Gini!$E$2:$E$377,0))),"")</f>
        <v/>
      </c>
      <c r="F250" s="19">
        <f>IFERROR(IF(INDEX(Corrupcion!$E$2:$E$377,MATCH($A250&amp;"|"&amp;$B250,Corrupcion!$H$2:$H$377,0))="","",INDEX(Corrupcion!$E$2:$E$377,MATCH($A250&amp;"|"&amp;$B250,Corrupcion!$H$2:$H$377,0))),"")</f>
        <v/>
      </c>
      <c r="G250" s="20">
        <f>IFERROR(IF(INDEX(Corrupcion!$F$2:$F$377,MATCH($A250&amp;"|"&amp;$B250,Corrupcion!$H$2:$H$377,0))="","",INDEX(Corrupcion!$F$2:$F$377,MATCH($A250&amp;"|"&amp;$B250,Corrupcion!$H$2:$H$377,0))),"")</f>
        <v/>
      </c>
      <c r="H250" s="17">
        <f>IFERROR(IF(INDEX(Corrupcion!$G$2:$G$377,MATCH($A250&amp;"|"&amp;$B250,Corrupcion!$H$2:$H$377,0))="","",INDEX(Corrupcion!$G$2:$G$377,MATCH($A250&amp;"|"&amp;$B250,Corrupcion!$H$2:$H$377,0))),"")</f>
        <v/>
      </c>
      <c r="I250" s="8">
        <f>IF(COUNTBLANK(C250:E250)+COUNTBLANK(F250)=0,1,0)</f>
        <v/>
      </c>
      <c r="J250" s="8">
        <f>IF(COUNTBLANK(C250:E250)+COUNTBLANK(G250)=0,1,0)</f>
        <v/>
      </c>
      <c r="K250" s="8">
        <f>IF(COUNTBLANK(C250:E250)+COUNTBLANK(H250)=0,1,0)</f>
        <v/>
      </c>
    </row>
    <row r="251">
      <c r="A251" s="8" t="inlineStr">
        <is>
          <t>Nicaragua</t>
        </is>
      </c>
      <c r="B251" s="8" t="n">
        <v>2006</v>
      </c>
      <c r="C251" s="18">
        <f>IF(Categorias!C252="","",Categorias!C252)</f>
        <v/>
      </c>
      <c r="D251" s="18">
        <f>IF(Categorias!H252="","",Categorias!H252)</f>
        <v/>
      </c>
      <c r="E251" s="17">
        <f>IFERROR(IF(INDEX(Gini!$C$2:$C$377,MATCH($A251&amp;"|"&amp;$B251,Gini!$E$2:$E$377,0))="","",INDEX(Gini!$C$2:$C$377,MATCH($A251&amp;"|"&amp;$B251,Gini!$E$2:$E$377,0))),"")</f>
        <v/>
      </c>
      <c r="F251" s="19">
        <f>IFERROR(IF(INDEX(Corrupcion!$E$2:$E$377,MATCH($A251&amp;"|"&amp;$B251,Corrupcion!$H$2:$H$377,0))="","",INDEX(Corrupcion!$E$2:$E$377,MATCH($A251&amp;"|"&amp;$B251,Corrupcion!$H$2:$H$377,0))),"")</f>
        <v/>
      </c>
      <c r="G251" s="20">
        <f>IFERROR(IF(INDEX(Corrupcion!$F$2:$F$377,MATCH($A251&amp;"|"&amp;$B251,Corrupcion!$H$2:$H$377,0))="","",INDEX(Corrupcion!$F$2:$F$377,MATCH($A251&amp;"|"&amp;$B251,Corrupcion!$H$2:$H$377,0))),"")</f>
        <v/>
      </c>
      <c r="H251" s="17">
        <f>IFERROR(IF(INDEX(Corrupcion!$G$2:$G$377,MATCH($A251&amp;"|"&amp;$B251,Corrupcion!$H$2:$H$377,0))="","",INDEX(Corrupcion!$G$2:$G$377,MATCH($A251&amp;"|"&amp;$B251,Corrupcion!$H$2:$H$377,0))),"")</f>
        <v/>
      </c>
      <c r="I251" s="8">
        <f>IF(COUNTBLANK(C251:E251)+COUNTBLANK(F251)=0,1,0)</f>
        <v/>
      </c>
      <c r="J251" s="8">
        <f>IF(COUNTBLANK(C251:E251)+COUNTBLANK(G251)=0,1,0)</f>
        <v/>
      </c>
      <c r="K251" s="8">
        <f>IF(COUNTBLANK(C251:E251)+COUNTBLANK(H251)=0,1,0)</f>
        <v/>
      </c>
    </row>
    <row r="252">
      <c r="A252" s="8" t="inlineStr">
        <is>
          <t>Nicaragua</t>
        </is>
      </c>
      <c r="B252" s="8" t="n">
        <v>2007</v>
      </c>
      <c r="C252" s="18">
        <f>IF(Categorias!C253="","",Categorias!C253)</f>
        <v/>
      </c>
      <c r="D252" s="18">
        <f>IF(Categorias!H253="","",Categorias!H253)</f>
        <v/>
      </c>
      <c r="E252" s="17">
        <f>IFERROR(IF(INDEX(Gini!$C$2:$C$377,MATCH($A252&amp;"|"&amp;$B252,Gini!$E$2:$E$377,0))="","",INDEX(Gini!$C$2:$C$377,MATCH($A252&amp;"|"&amp;$B252,Gini!$E$2:$E$377,0))),"")</f>
        <v/>
      </c>
      <c r="F252" s="19">
        <f>IFERROR(IF(INDEX(Corrupcion!$E$2:$E$377,MATCH($A252&amp;"|"&amp;$B252,Corrupcion!$H$2:$H$377,0))="","",INDEX(Corrupcion!$E$2:$E$377,MATCH($A252&amp;"|"&amp;$B252,Corrupcion!$H$2:$H$377,0))),"")</f>
        <v/>
      </c>
      <c r="G252" s="20">
        <f>IFERROR(IF(INDEX(Corrupcion!$F$2:$F$377,MATCH($A252&amp;"|"&amp;$B252,Corrupcion!$H$2:$H$377,0))="","",INDEX(Corrupcion!$F$2:$F$377,MATCH($A252&amp;"|"&amp;$B252,Corrupcion!$H$2:$H$377,0))),"")</f>
        <v/>
      </c>
      <c r="H252" s="17">
        <f>IFERROR(IF(INDEX(Corrupcion!$G$2:$G$377,MATCH($A252&amp;"|"&amp;$B252,Corrupcion!$H$2:$H$377,0))="","",INDEX(Corrupcion!$G$2:$G$377,MATCH($A252&amp;"|"&amp;$B252,Corrupcion!$H$2:$H$377,0))),"")</f>
        <v/>
      </c>
      <c r="I252" s="8">
        <f>IF(COUNTBLANK(C252:E252)+COUNTBLANK(F252)=0,1,0)</f>
        <v/>
      </c>
      <c r="J252" s="8">
        <f>IF(COUNTBLANK(C252:E252)+COUNTBLANK(G252)=0,1,0)</f>
        <v/>
      </c>
      <c r="K252" s="8">
        <f>IF(COUNTBLANK(C252:E252)+COUNTBLANK(H252)=0,1,0)</f>
        <v/>
      </c>
    </row>
    <row r="253">
      <c r="A253" s="8" t="inlineStr">
        <is>
          <t>Nicaragua</t>
        </is>
      </c>
      <c r="B253" s="8" t="n">
        <v>2008</v>
      </c>
      <c r="C253" s="18">
        <f>IF(Categorias!C254="","",Categorias!C254)</f>
        <v/>
      </c>
      <c r="D253" s="18">
        <f>IF(Categorias!H254="","",Categorias!H254)</f>
        <v/>
      </c>
      <c r="E253" s="17">
        <f>IFERROR(IF(INDEX(Gini!$C$2:$C$377,MATCH($A253&amp;"|"&amp;$B253,Gini!$E$2:$E$377,0))="","",INDEX(Gini!$C$2:$C$377,MATCH($A253&amp;"|"&amp;$B253,Gini!$E$2:$E$377,0))),"")</f>
        <v/>
      </c>
      <c r="F253" s="19">
        <f>IFERROR(IF(INDEX(Corrupcion!$E$2:$E$377,MATCH($A253&amp;"|"&amp;$B253,Corrupcion!$H$2:$H$377,0))="","",INDEX(Corrupcion!$E$2:$E$377,MATCH($A253&amp;"|"&amp;$B253,Corrupcion!$H$2:$H$377,0))),"")</f>
        <v/>
      </c>
      <c r="G253" s="20">
        <f>IFERROR(IF(INDEX(Corrupcion!$F$2:$F$377,MATCH($A253&amp;"|"&amp;$B253,Corrupcion!$H$2:$H$377,0))="","",INDEX(Corrupcion!$F$2:$F$377,MATCH($A253&amp;"|"&amp;$B253,Corrupcion!$H$2:$H$377,0))),"")</f>
        <v/>
      </c>
      <c r="H253" s="17">
        <f>IFERROR(IF(INDEX(Corrupcion!$G$2:$G$377,MATCH($A253&amp;"|"&amp;$B253,Corrupcion!$H$2:$H$377,0))="","",INDEX(Corrupcion!$G$2:$G$377,MATCH($A253&amp;"|"&amp;$B253,Corrupcion!$H$2:$H$377,0))),"")</f>
        <v/>
      </c>
      <c r="I253" s="8">
        <f>IF(COUNTBLANK(C253:E253)+COUNTBLANK(F253)=0,1,0)</f>
        <v/>
      </c>
      <c r="J253" s="8">
        <f>IF(COUNTBLANK(C253:E253)+COUNTBLANK(G253)=0,1,0)</f>
        <v/>
      </c>
      <c r="K253" s="8">
        <f>IF(COUNTBLANK(C253:E253)+COUNTBLANK(H253)=0,1,0)</f>
        <v/>
      </c>
    </row>
    <row r="254">
      <c r="A254" s="8" t="inlineStr">
        <is>
          <t>Nicaragua</t>
        </is>
      </c>
      <c r="B254" s="8" t="n">
        <v>2009</v>
      </c>
      <c r="C254" s="18">
        <f>IF(Categorias!C255="","",Categorias!C255)</f>
        <v/>
      </c>
      <c r="D254" s="18">
        <f>IF(Categorias!H255="","",Categorias!H255)</f>
        <v/>
      </c>
      <c r="E254" s="17">
        <f>IFERROR(IF(INDEX(Gini!$C$2:$C$377,MATCH($A254&amp;"|"&amp;$B254,Gini!$E$2:$E$377,0))="","",INDEX(Gini!$C$2:$C$377,MATCH($A254&amp;"|"&amp;$B254,Gini!$E$2:$E$377,0))),"")</f>
        <v/>
      </c>
      <c r="F254" s="19">
        <f>IFERROR(IF(INDEX(Corrupcion!$E$2:$E$377,MATCH($A254&amp;"|"&amp;$B254,Corrupcion!$H$2:$H$377,0))="","",INDEX(Corrupcion!$E$2:$E$377,MATCH($A254&amp;"|"&amp;$B254,Corrupcion!$H$2:$H$377,0))),"")</f>
        <v/>
      </c>
      <c r="G254" s="20">
        <f>IFERROR(IF(INDEX(Corrupcion!$F$2:$F$377,MATCH($A254&amp;"|"&amp;$B254,Corrupcion!$H$2:$H$377,0))="","",INDEX(Corrupcion!$F$2:$F$377,MATCH($A254&amp;"|"&amp;$B254,Corrupcion!$H$2:$H$377,0))),"")</f>
        <v/>
      </c>
      <c r="H254" s="17">
        <f>IFERROR(IF(INDEX(Corrupcion!$G$2:$G$377,MATCH($A254&amp;"|"&amp;$B254,Corrupcion!$H$2:$H$377,0))="","",INDEX(Corrupcion!$G$2:$G$377,MATCH($A254&amp;"|"&amp;$B254,Corrupcion!$H$2:$H$377,0))),"")</f>
        <v/>
      </c>
      <c r="I254" s="8">
        <f>IF(COUNTBLANK(C254:E254)+COUNTBLANK(F254)=0,1,0)</f>
        <v/>
      </c>
      <c r="J254" s="8">
        <f>IF(COUNTBLANK(C254:E254)+COUNTBLANK(G254)=0,1,0)</f>
        <v/>
      </c>
      <c r="K254" s="8">
        <f>IF(COUNTBLANK(C254:E254)+COUNTBLANK(H254)=0,1,0)</f>
        <v/>
      </c>
    </row>
    <row r="255">
      <c r="A255" s="8" t="inlineStr">
        <is>
          <t>Nicaragua</t>
        </is>
      </c>
      <c r="B255" s="8" t="n">
        <v>2010</v>
      </c>
      <c r="C255" s="18">
        <f>IF(Categorias!C256="","",Categorias!C256)</f>
        <v/>
      </c>
      <c r="D255" s="18">
        <f>IF(Categorias!H256="","",Categorias!H256)</f>
        <v/>
      </c>
      <c r="E255" s="17">
        <f>IFERROR(IF(INDEX(Gini!$C$2:$C$377,MATCH($A255&amp;"|"&amp;$B255,Gini!$E$2:$E$377,0))="","",INDEX(Gini!$C$2:$C$377,MATCH($A255&amp;"|"&amp;$B255,Gini!$E$2:$E$377,0))),"")</f>
        <v/>
      </c>
      <c r="F255" s="19">
        <f>IFERROR(IF(INDEX(Corrupcion!$E$2:$E$377,MATCH($A255&amp;"|"&amp;$B255,Corrupcion!$H$2:$H$377,0))="","",INDEX(Corrupcion!$E$2:$E$377,MATCH($A255&amp;"|"&amp;$B255,Corrupcion!$H$2:$H$377,0))),"")</f>
        <v/>
      </c>
      <c r="G255" s="20">
        <f>IFERROR(IF(INDEX(Corrupcion!$F$2:$F$377,MATCH($A255&amp;"|"&amp;$B255,Corrupcion!$H$2:$H$377,0))="","",INDEX(Corrupcion!$F$2:$F$377,MATCH($A255&amp;"|"&amp;$B255,Corrupcion!$H$2:$H$377,0))),"")</f>
        <v/>
      </c>
      <c r="H255" s="17">
        <f>IFERROR(IF(INDEX(Corrupcion!$G$2:$G$377,MATCH($A255&amp;"|"&amp;$B255,Corrupcion!$H$2:$H$377,0))="","",INDEX(Corrupcion!$G$2:$G$377,MATCH($A255&amp;"|"&amp;$B255,Corrupcion!$H$2:$H$377,0))),"")</f>
        <v/>
      </c>
      <c r="I255" s="8">
        <f>IF(COUNTBLANK(C255:E255)+COUNTBLANK(F255)=0,1,0)</f>
        <v/>
      </c>
      <c r="J255" s="8">
        <f>IF(COUNTBLANK(C255:E255)+COUNTBLANK(G255)=0,1,0)</f>
        <v/>
      </c>
      <c r="K255" s="8">
        <f>IF(COUNTBLANK(C255:E255)+COUNTBLANK(H255)=0,1,0)</f>
        <v/>
      </c>
    </row>
    <row r="256">
      <c r="A256" s="8" t="inlineStr">
        <is>
          <t>Nicaragua</t>
        </is>
      </c>
      <c r="B256" s="8" t="n">
        <v>2011</v>
      </c>
      <c r="C256" s="18">
        <f>IF(Categorias!C257="","",Categorias!C257)</f>
        <v/>
      </c>
      <c r="D256" s="18">
        <f>IF(Categorias!H257="","",Categorias!H257)</f>
        <v/>
      </c>
      <c r="E256" s="17">
        <f>IFERROR(IF(INDEX(Gini!$C$2:$C$377,MATCH($A256&amp;"|"&amp;$B256,Gini!$E$2:$E$377,0))="","",INDEX(Gini!$C$2:$C$377,MATCH($A256&amp;"|"&amp;$B256,Gini!$E$2:$E$377,0))),"")</f>
        <v/>
      </c>
      <c r="F256" s="19">
        <f>IFERROR(IF(INDEX(Corrupcion!$E$2:$E$377,MATCH($A256&amp;"|"&amp;$B256,Corrupcion!$H$2:$H$377,0))="","",INDEX(Corrupcion!$E$2:$E$377,MATCH($A256&amp;"|"&amp;$B256,Corrupcion!$H$2:$H$377,0))),"")</f>
        <v/>
      </c>
      <c r="G256" s="20">
        <f>IFERROR(IF(INDEX(Corrupcion!$F$2:$F$377,MATCH($A256&amp;"|"&amp;$B256,Corrupcion!$H$2:$H$377,0))="","",INDEX(Corrupcion!$F$2:$F$377,MATCH($A256&amp;"|"&amp;$B256,Corrupcion!$H$2:$H$377,0))),"")</f>
        <v/>
      </c>
      <c r="H256" s="17">
        <f>IFERROR(IF(INDEX(Corrupcion!$G$2:$G$377,MATCH($A256&amp;"|"&amp;$B256,Corrupcion!$H$2:$H$377,0))="","",INDEX(Corrupcion!$G$2:$G$377,MATCH($A256&amp;"|"&amp;$B256,Corrupcion!$H$2:$H$377,0))),"")</f>
        <v/>
      </c>
      <c r="I256" s="8">
        <f>IF(COUNTBLANK(C256:E256)+COUNTBLANK(F256)=0,1,0)</f>
        <v/>
      </c>
      <c r="J256" s="8">
        <f>IF(COUNTBLANK(C256:E256)+COUNTBLANK(G256)=0,1,0)</f>
        <v/>
      </c>
      <c r="K256" s="8">
        <f>IF(COUNTBLANK(C256:E256)+COUNTBLANK(H256)=0,1,0)</f>
        <v/>
      </c>
    </row>
    <row r="257">
      <c r="A257" s="8" t="inlineStr">
        <is>
          <t>Nicaragua</t>
        </is>
      </c>
      <c r="B257" s="8" t="n">
        <v>2016</v>
      </c>
      <c r="C257" s="18">
        <f>IF(Categorias!C258="","",Categorias!C258)</f>
        <v/>
      </c>
      <c r="D257" s="18">
        <f>IF(Categorias!H258="","",Categorias!H258)</f>
        <v/>
      </c>
      <c r="E257" s="17">
        <f>IFERROR(IF(INDEX(Gini!$C$2:$C$377,MATCH($A257&amp;"|"&amp;$B257,Gini!$E$2:$E$377,0))="","",INDEX(Gini!$C$2:$C$377,MATCH($A257&amp;"|"&amp;$B257,Gini!$E$2:$E$377,0))),"")</f>
        <v/>
      </c>
      <c r="F257" s="19">
        <f>IFERROR(IF(INDEX(Corrupcion!$E$2:$E$377,MATCH($A257&amp;"|"&amp;$B257,Corrupcion!$H$2:$H$377,0))="","",INDEX(Corrupcion!$E$2:$E$377,MATCH($A257&amp;"|"&amp;$B257,Corrupcion!$H$2:$H$377,0))),"")</f>
        <v/>
      </c>
      <c r="G257" s="20">
        <f>IFERROR(IF(INDEX(Corrupcion!$F$2:$F$377,MATCH($A257&amp;"|"&amp;$B257,Corrupcion!$H$2:$H$377,0))="","",INDEX(Corrupcion!$F$2:$F$377,MATCH($A257&amp;"|"&amp;$B257,Corrupcion!$H$2:$H$377,0))),"")</f>
        <v/>
      </c>
      <c r="H257" s="17">
        <f>IFERROR(IF(INDEX(Corrupcion!$G$2:$G$377,MATCH($A257&amp;"|"&amp;$B257,Corrupcion!$H$2:$H$377,0))="","",INDEX(Corrupcion!$G$2:$G$377,MATCH($A257&amp;"|"&amp;$B257,Corrupcion!$H$2:$H$377,0))),"")</f>
        <v/>
      </c>
      <c r="I257" s="8">
        <f>IF(COUNTBLANK(C257:E257)+COUNTBLANK(F257)=0,1,0)</f>
        <v/>
      </c>
      <c r="J257" s="8">
        <f>IF(COUNTBLANK(C257:E257)+COUNTBLANK(G257)=0,1,0)</f>
        <v/>
      </c>
      <c r="K257" s="8">
        <f>IF(COUNTBLANK(C257:E257)+COUNTBLANK(H257)=0,1,0)</f>
        <v/>
      </c>
    </row>
    <row r="258">
      <c r="A258" s="8" t="inlineStr">
        <is>
          <t>Nicaragua</t>
        </is>
      </c>
      <c r="B258" s="8" t="n">
        <v>2017</v>
      </c>
      <c r="C258" s="18">
        <f>IF(Categorias!C259="","",Categorias!C259)</f>
        <v/>
      </c>
      <c r="D258" s="18">
        <f>IF(Categorias!H259="","",Categorias!H259)</f>
        <v/>
      </c>
      <c r="E258" s="17">
        <f>IFERROR(IF(INDEX(Gini!$C$2:$C$377,MATCH($A258&amp;"|"&amp;$B258,Gini!$E$2:$E$377,0))="","",INDEX(Gini!$C$2:$C$377,MATCH($A258&amp;"|"&amp;$B258,Gini!$E$2:$E$377,0))),"")</f>
        <v/>
      </c>
      <c r="F258" s="19">
        <f>IFERROR(IF(INDEX(Corrupcion!$E$2:$E$377,MATCH($A258&amp;"|"&amp;$B258,Corrupcion!$H$2:$H$377,0))="","",INDEX(Corrupcion!$E$2:$E$377,MATCH($A258&amp;"|"&amp;$B258,Corrupcion!$H$2:$H$377,0))),"")</f>
        <v/>
      </c>
      <c r="G258" s="20">
        <f>IFERROR(IF(INDEX(Corrupcion!$F$2:$F$377,MATCH($A258&amp;"|"&amp;$B258,Corrupcion!$H$2:$H$377,0))="","",INDEX(Corrupcion!$F$2:$F$377,MATCH($A258&amp;"|"&amp;$B258,Corrupcion!$H$2:$H$377,0))),"")</f>
        <v/>
      </c>
      <c r="H258" s="17">
        <f>IFERROR(IF(INDEX(Corrupcion!$G$2:$G$377,MATCH($A258&amp;"|"&amp;$B258,Corrupcion!$H$2:$H$377,0))="","",INDEX(Corrupcion!$G$2:$G$377,MATCH($A258&amp;"|"&amp;$B258,Corrupcion!$H$2:$H$377,0))),"")</f>
        <v/>
      </c>
      <c r="I258" s="8">
        <f>IF(COUNTBLANK(C258:E258)+COUNTBLANK(F258)=0,1,0)</f>
        <v/>
      </c>
      <c r="J258" s="8">
        <f>IF(COUNTBLANK(C258:E258)+COUNTBLANK(G258)=0,1,0)</f>
        <v/>
      </c>
      <c r="K258" s="8">
        <f>IF(COUNTBLANK(C258:E258)+COUNTBLANK(H258)=0,1,0)</f>
        <v/>
      </c>
    </row>
    <row r="259">
      <c r="A259" s="8" t="inlineStr">
        <is>
          <t>Nicaragua</t>
        </is>
      </c>
      <c r="B259" s="8" t="n">
        <v>2018</v>
      </c>
      <c r="C259" s="18">
        <f>IF(Categorias!C260="","",Categorias!C260)</f>
        <v/>
      </c>
      <c r="D259" s="18">
        <f>IF(Categorias!H260="","",Categorias!H260)</f>
        <v/>
      </c>
      <c r="E259" s="17">
        <f>IFERROR(IF(INDEX(Gini!$C$2:$C$377,MATCH($A259&amp;"|"&amp;$B259,Gini!$E$2:$E$377,0))="","",INDEX(Gini!$C$2:$C$377,MATCH($A259&amp;"|"&amp;$B259,Gini!$E$2:$E$377,0))),"")</f>
        <v/>
      </c>
      <c r="F259" s="19">
        <f>IFERROR(IF(INDEX(Corrupcion!$E$2:$E$377,MATCH($A259&amp;"|"&amp;$B259,Corrupcion!$H$2:$H$377,0))="","",INDEX(Corrupcion!$E$2:$E$377,MATCH($A259&amp;"|"&amp;$B259,Corrupcion!$H$2:$H$377,0))),"")</f>
        <v/>
      </c>
      <c r="G259" s="20">
        <f>IFERROR(IF(INDEX(Corrupcion!$F$2:$F$377,MATCH($A259&amp;"|"&amp;$B259,Corrupcion!$H$2:$H$377,0))="","",INDEX(Corrupcion!$F$2:$F$377,MATCH($A259&amp;"|"&amp;$B259,Corrupcion!$H$2:$H$377,0))),"")</f>
        <v/>
      </c>
      <c r="H259" s="17">
        <f>IFERROR(IF(INDEX(Corrupcion!$G$2:$G$377,MATCH($A259&amp;"|"&amp;$B259,Corrupcion!$H$2:$H$377,0))="","",INDEX(Corrupcion!$G$2:$G$377,MATCH($A259&amp;"|"&amp;$B259,Corrupcion!$H$2:$H$377,0))),"")</f>
        <v/>
      </c>
      <c r="I259" s="8">
        <f>IF(COUNTBLANK(C259:E259)+COUNTBLANK(F259)=0,1,0)</f>
        <v/>
      </c>
      <c r="J259" s="8">
        <f>IF(COUNTBLANK(C259:E259)+COUNTBLANK(G259)=0,1,0)</f>
        <v/>
      </c>
      <c r="K259" s="8">
        <f>IF(COUNTBLANK(C259:E259)+COUNTBLANK(H259)=0,1,0)</f>
        <v/>
      </c>
    </row>
    <row r="260">
      <c r="A260" s="8" t="inlineStr">
        <is>
          <t>Nicaragua</t>
        </is>
      </c>
      <c r="B260" s="8" t="n">
        <v>2020</v>
      </c>
      <c r="C260" s="18">
        <f>IF(Categorias!C261="","",Categorias!C261)</f>
        <v/>
      </c>
      <c r="D260" s="18">
        <f>IF(Categorias!H261="","",Categorias!H261)</f>
        <v/>
      </c>
      <c r="E260" s="17">
        <f>IFERROR(IF(INDEX(Gini!$C$2:$C$377,MATCH($A260&amp;"|"&amp;$B260,Gini!$E$2:$E$377,0))="","",INDEX(Gini!$C$2:$C$377,MATCH($A260&amp;"|"&amp;$B260,Gini!$E$2:$E$377,0))),"")</f>
        <v/>
      </c>
      <c r="F260" s="19">
        <f>IFERROR(IF(INDEX(Corrupcion!$E$2:$E$377,MATCH($A260&amp;"|"&amp;$B260,Corrupcion!$H$2:$H$377,0))="","",INDEX(Corrupcion!$E$2:$E$377,MATCH($A260&amp;"|"&amp;$B260,Corrupcion!$H$2:$H$377,0))),"")</f>
        <v/>
      </c>
      <c r="G260" s="20">
        <f>IFERROR(IF(INDEX(Corrupcion!$F$2:$F$377,MATCH($A260&amp;"|"&amp;$B260,Corrupcion!$H$2:$H$377,0))="","",INDEX(Corrupcion!$F$2:$F$377,MATCH($A260&amp;"|"&amp;$B260,Corrupcion!$H$2:$H$377,0))),"")</f>
        <v/>
      </c>
      <c r="H260" s="17">
        <f>IFERROR(IF(INDEX(Corrupcion!$G$2:$G$377,MATCH($A260&amp;"|"&amp;$B260,Corrupcion!$H$2:$H$377,0))="","",INDEX(Corrupcion!$G$2:$G$377,MATCH($A260&amp;"|"&amp;$B260,Corrupcion!$H$2:$H$377,0))),"")</f>
        <v/>
      </c>
      <c r="I260" s="8">
        <f>IF(COUNTBLANK(C260:E260)+COUNTBLANK(F260)=0,1,0)</f>
        <v/>
      </c>
      <c r="J260" s="8">
        <f>IF(COUNTBLANK(C260:E260)+COUNTBLANK(G260)=0,1,0)</f>
        <v/>
      </c>
      <c r="K260" s="8">
        <f>IF(COUNTBLANK(C260:E260)+COUNTBLANK(H260)=0,1,0)</f>
        <v/>
      </c>
    </row>
    <row r="261">
      <c r="A261" s="8" t="inlineStr">
        <is>
          <t>Panamá</t>
        </is>
      </c>
      <c r="B261" s="8" t="n">
        <v>1996</v>
      </c>
      <c r="C261" s="18">
        <f>IF(Categorias!C262="","",Categorias!C262)</f>
        <v/>
      </c>
      <c r="D261" s="18">
        <f>IF(Categorias!H262="","",Categorias!H262)</f>
        <v/>
      </c>
      <c r="E261" s="17">
        <f>IFERROR(IF(INDEX(Gini!$C$2:$C$377,MATCH($A261&amp;"|"&amp;$B261,Gini!$E$2:$E$377,0))="","",INDEX(Gini!$C$2:$C$377,MATCH($A261&amp;"|"&amp;$B261,Gini!$E$2:$E$377,0))),"")</f>
        <v/>
      </c>
      <c r="F261" s="19">
        <f>IFERROR(IF(INDEX(Corrupcion!$E$2:$E$377,MATCH($A261&amp;"|"&amp;$B261,Corrupcion!$H$2:$H$377,0))="","",INDEX(Corrupcion!$E$2:$E$377,MATCH($A261&amp;"|"&amp;$B261,Corrupcion!$H$2:$H$377,0))),"")</f>
        <v/>
      </c>
      <c r="G261" s="20">
        <f>IFERROR(IF(INDEX(Corrupcion!$F$2:$F$377,MATCH($A261&amp;"|"&amp;$B261,Corrupcion!$H$2:$H$377,0))="","",INDEX(Corrupcion!$F$2:$F$377,MATCH($A261&amp;"|"&amp;$B261,Corrupcion!$H$2:$H$377,0))),"")</f>
        <v/>
      </c>
      <c r="H261" s="17">
        <f>IFERROR(IF(INDEX(Corrupcion!$G$2:$G$377,MATCH($A261&amp;"|"&amp;$B261,Corrupcion!$H$2:$H$377,0))="","",INDEX(Corrupcion!$G$2:$G$377,MATCH($A261&amp;"|"&amp;$B261,Corrupcion!$H$2:$H$377,0))),"")</f>
        <v/>
      </c>
      <c r="I261" s="8">
        <f>IF(COUNTBLANK(C261:E261)+COUNTBLANK(F261)=0,1,0)</f>
        <v/>
      </c>
      <c r="J261" s="8">
        <f>IF(COUNTBLANK(C261:E261)+COUNTBLANK(G261)=0,1,0)</f>
        <v/>
      </c>
      <c r="K261" s="8">
        <f>IF(COUNTBLANK(C261:E261)+COUNTBLANK(H261)=0,1,0)</f>
        <v/>
      </c>
    </row>
    <row r="262">
      <c r="A262" s="8" t="inlineStr">
        <is>
          <t>Panamá</t>
        </is>
      </c>
      <c r="B262" s="8" t="n">
        <v>1997</v>
      </c>
      <c r="C262" s="18">
        <f>IF(Categorias!C263="","",Categorias!C263)</f>
        <v/>
      </c>
      <c r="D262" s="18">
        <f>IF(Categorias!H263="","",Categorias!H263)</f>
        <v/>
      </c>
      <c r="E262" s="17">
        <f>IFERROR(IF(INDEX(Gini!$C$2:$C$377,MATCH($A262&amp;"|"&amp;$B262,Gini!$E$2:$E$377,0))="","",INDEX(Gini!$C$2:$C$377,MATCH($A262&amp;"|"&amp;$B262,Gini!$E$2:$E$377,0))),"")</f>
        <v/>
      </c>
      <c r="F262" s="19">
        <f>IFERROR(IF(INDEX(Corrupcion!$E$2:$E$377,MATCH($A262&amp;"|"&amp;$B262,Corrupcion!$H$2:$H$377,0))="","",INDEX(Corrupcion!$E$2:$E$377,MATCH($A262&amp;"|"&amp;$B262,Corrupcion!$H$2:$H$377,0))),"")</f>
        <v/>
      </c>
      <c r="G262" s="20">
        <f>IFERROR(IF(INDEX(Corrupcion!$F$2:$F$377,MATCH($A262&amp;"|"&amp;$B262,Corrupcion!$H$2:$H$377,0))="","",INDEX(Corrupcion!$F$2:$F$377,MATCH($A262&amp;"|"&amp;$B262,Corrupcion!$H$2:$H$377,0))),"")</f>
        <v/>
      </c>
      <c r="H262" s="17">
        <f>IFERROR(IF(INDEX(Corrupcion!$G$2:$G$377,MATCH($A262&amp;"|"&amp;$B262,Corrupcion!$H$2:$H$377,0))="","",INDEX(Corrupcion!$G$2:$G$377,MATCH($A262&amp;"|"&amp;$B262,Corrupcion!$H$2:$H$377,0))),"")</f>
        <v/>
      </c>
      <c r="I262" s="8">
        <f>IF(COUNTBLANK(C262:E262)+COUNTBLANK(F262)=0,1,0)</f>
        <v/>
      </c>
      <c r="J262" s="8">
        <f>IF(COUNTBLANK(C262:E262)+COUNTBLANK(G262)=0,1,0)</f>
        <v/>
      </c>
      <c r="K262" s="8">
        <f>IF(COUNTBLANK(C262:E262)+COUNTBLANK(H262)=0,1,0)</f>
        <v/>
      </c>
    </row>
    <row r="263">
      <c r="A263" s="8" t="inlineStr">
        <is>
          <t>Panamá</t>
        </is>
      </c>
      <c r="B263" s="8" t="n">
        <v>1998</v>
      </c>
      <c r="C263" s="18">
        <f>IF(Categorias!C264="","",Categorias!C264)</f>
        <v/>
      </c>
      <c r="D263" s="18">
        <f>IF(Categorias!H264="","",Categorias!H264)</f>
        <v/>
      </c>
      <c r="E263" s="17">
        <f>IFERROR(IF(INDEX(Gini!$C$2:$C$377,MATCH($A263&amp;"|"&amp;$B263,Gini!$E$2:$E$377,0))="","",INDEX(Gini!$C$2:$C$377,MATCH($A263&amp;"|"&amp;$B263,Gini!$E$2:$E$377,0))),"")</f>
        <v/>
      </c>
      <c r="F263" s="19">
        <f>IFERROR(IF(INDEX(Corrupcion!$E$2:$E$377,MATCH($A263&amp;"|"&amp;$B263,Corrupcion!$H$2:$H$377,0))="","",INDEX(Corrupcion!$E$2:$E$377,MATCH($A263&amp;"|"&amp;$B263,Corrupcion!$H$2:$H$377,0))),"")</f>
        <v/>
      </c>
      <c r="G263" s="20">
        <f>IFERROR(IF(INDEX(Corrupcion!$F$2:$F$377,MATCH($A263&amp;"|"&amp;$B263,Corrupcion!$H$2:$H$377,0))="","",INDEX(Corrupcion!$F$2:$F$377,MATCH($A263&amp;"|"&amp;$B263,Corrupcion!$H$2:$H$377,0))),"")</f>
        <v/>
      </c>
      <c r="H263" s="17">
        <f>IFERROR(IF(INDEX(Corrupcion!$G$2:$G$377,MATCH($A263&amp;"|"&amp;$B263,Corrupcion!$H$2:$H$377,0))="","",INDEX(Corrupcion!$G$2:$G$377,MATCH($A263&amp;"|"&amp;$B263,Corrupcion!$H$2:$H$377,0))),"")</f>
        <v/>
      </c>
      <c r="I263" s="8">
        <f>IF(COUNTBLANK(C263:E263)+COUNTBLANK(F263)=0,1,0)</f>
        <v/>
      </c>
      <c r="J263" s="8">
        <f>IF(COUNTBLANK(C263:E263)+COUNTBLANK(G263)=0,1,0)</f>
        <v/>
      </c>
      <c r="K263" s="8">
        <f>IF(COUNTBLANK(C263:E263)+COUNTBLANK(H263)=0,1,0)</f>
        <v/>
      </c>
    </row>
    <row r="264">
      <c r="A264" s="8" t="inlineStr">
        <is>
          <t>Panamá</t>
        </is>
      </c>
      <c r="B264" s="8" t="n">
        <v>2000</v>
      </c>
      <c r="C264" s="18">
        <f>IF(Categorias!C265="","",Categorias!C265)</f>
        <v/>
      </c>
      <c r="D264" s="18">
        <f>IF(Categorias!H265="","",Categorias!H265)</f>
        <v/>
      </c>
      <c r="E264" s="17">
        <f>IFERROR(IF(INDEX(Gini!$C$2:$C$377,MATCH($A264&amp;"|"&amp;$B264,Gini!$E$2:$E$377,0))="","",INDEX(Gini!$C$2:$C$377,MATCH($A264&amp;"|"&amp;$B264,Gini!$E$2:$E$377,0))),"")</f>
        <v/>
      </c>
      <c r="F264" s="19">
        <f>IFERROR(IF(INDEX(Corrupcion!$E$2:$E$377,MATCH($A264&amp;"|"&amp;$B264,Corrupcion!$H$2:$H$377,0))="","",INDEX(Corrupcion!$E$2:$E$377,MATCH($A264&amp;"|"&amp;$B264,Corrupcion!$H$2:$H$377,0))),"")</f>
        <v/>
      </c>
      <c r="G264" s="20">
        <f>IFERROR(IF(INDEX(Corrupcion!$F$2:$F$377,MATCH($A264&amp;"|"&amp;$B264,Corrupcion!$H$2:$H$377,0))="","",INDEX(Corrupcion!$F$2:$F$377,MATCH($A264&amp;"|"&amp;$B264,Corrupcion!$H$2:$H$377,0))),"")</f>
        <v/>
      </c>
      <c r="H264" s="17">
        <f>IFERROR(IF(INDEX(Corrupcion!$G$2:$G$377,MATCH($A264&amp;"|"&amp;$B264,Corrupcion!$H$2:$H$377,0))="","",INDEX(Corrupcion!$G$2:$G$377,MATCH($A264&amp;"|"&amp;$B264,Corrupcion!$H$2:$H$377,0))),"")</f>
        <v/>
      </c>
      <c r="I264" s="8">
        <f>IF(COUNTBLANK(C264:E264)+COUNTBLANK(F264)=0,1,0)</f>
        <v/>
      </c>
      <c r="J264" s="8">
        <f>IF(COUNTBLANK(C264:E264)+COUNTBLANK(G264)=0,1,0)</f>
        <v/>
      </c>
      <c r="K264" s="8">
        <f>IF(COUNTBLANK(C264:E264)+COUNTBLANK(H264)=0,1,0)</f>
        <v/>
      </c>
    </row>
    <row r="265">
      <c r="A265" s="8" t="inlineStr">
        <is>
          <t>Panamá</t>
        </is>
      </c>
      <c r="B265" s="8" t="n">
        <v>2001</v>
      </c>
      <c r="C265" s="18">
        <f>IF(Categorias!C266="","",Categorias!C266)</f>
        <v/>
      </c>
      <c r="D265" s="18">
        <f>IF(Categorias!H266="","",Categorias!H266)</f>
        <v/>
      </c>
      <c r="E265" s="17">
        <f>IFERROR(IF(INDEX(Gini!$C$2:$C$377,MATCH($A265&amp;"|"&amp;$B265,Gini!$E$2:$E$377,0))="","",INDEX(Gini!$C$2:$C$377,MATCH($A265&amp;"|"&amp;$B265,Gini!$E$2:$E$377,0))),"")</f>
        <v/>
      </c>
      <c r="F265" s="19">
        <f>IFERROR(IF(INDEX(Corrupcion!$E$2:$E$377,MATCH($A265&amp;"|"&amp;$B265,Corrupcion!$H$2:$H$377,0))="","",INDEX(Corrupcion!$E$2:$E$377,MATCH($A265&amp;"|"&amp;$B265,Corrupcion!$H$2:$H$377,0))),"")</f>
        <v/>
      </c>
      <c r="G265" s="20">
        <f>IFERROR(IF(INDEX(Corrupcion!$F$2:$F$377,MATCH($A265&amp;"|"&amp;$B265,Corrupcion!$H$2:$H$377,0))="","",INDEX(Corrupcion!$F$2:$F$377,MATCH($A265&amp;"|"&amp;$B265,Corrupcion!$H$2:$H$377,0))),"")</f>
        <v/>
      </c>
      <c r="H265" s="17">
        <f>IFERROR(IF(INDEX(Corrupcion!$G$2:$G$377,MATCH($A265&amp;"|"&amp;$B265,Corrupcion!$H$2:$H$377,0))="","",INDEX(Corrupcion!$G$2:$G$377,MATCH($A265&amp;"|"&amp;$B265,Corrupcion!$H$2:$H$377,0))),"")</f>
        <v/>
      </c>
      <c r="I265" s="8">
        <f>IF(COUNTBLANK(C265:E265)+COUNTBLANK(F265)=0,1,0)</f>
        <v/>
      </c>
      <c r="J265" s="8">
        <f>IF(COUNTBLANK(C265:E265)+COUNTBLANK(G265)=0,1,0)</f>
        <v/>
      </c>
      <c r="K265" s="8">
        <f>IF(COUNTBLANK(C265:E265)+COUNTBLANK(H265)=0,1,0)</f>
        <v/>
      </c>
    </row>
    <row r="266">
      <c r="A266" s="8" t="inlineStr">
        <is>
          <t>Panamá</t>
        </is>
      </c>
      <c r="B266" s="8" t="n">
        <v>2002</v>
      </c>
      <c r="C266" s="18">
        <f>IF(Categorias!C267="","",Categorias!C267)</f>
        <v/>
      </c>
      <c r="D266" s="18">
        <f>IF(Categorias!H267="","",Categorias!H267)</f>
        <v/>
      </c>
      <c r="E266" s="17">
        <f>IFERROR(IF(INDEX(Gini!$C$2:$C$377,MATCH($A266&amp;"|"&amp;$B266,Gini!$E$2:$E$377,0))="","",INDEX(Gini!$C$2:$C$377,MATCH($A266&amp;"|"&amp;$B266,Gini!$E$2:$E$377,0))),"")</f>
        <v/>
      </c>
      <c r="F266" s="19">
        <f>IFERROR(IF(INDEX(Corrupcion!$E$2:$E$377,MATCH($A266&amp;"|"&amp;$B266,Corrupcion!$H$2:$H$377,0))="","",INDEX(Corrupcion!$E$2:$E$377,MATCH($A266&amp;"|"&amp;$B266,Corrupcion!$H$2:$H$377,0))),"")</f>
        <v/>
      </c>
      <c r="G266" s="20">
        <f>IFERROR(IF(INDEX(Corrupcion!$F$2:$F$377,MATCH($A266&amp;"|"&amp;$B266,Corrupcion!$H$2:$H$377,0))="","",INDEX(Corrupcion!$F$2:$F$377,MATCH($A266&amp;"|"&amp;$B266,Corrupcion!$H$2:$H$377,0))),"")</f>
        <v/>
      </c>
      <c r="H266" s="17">
        <f>IFERROR(IF(INDEX(Corrupcion!$G$2:$G$377,MATCH($A266&amp;"|"&amp;$B266,Corrupcion!$H$2:$H$377,0))="","",INDEX(Corrupcion!$G$2:$G$377,MATCH($A266&amp;"|"&amp;$B266,Corrupcion!$H$2:$H$377,0))),"")</f>
        <v/>
      </c>
      <c r="I266" s="8">
        <f>IF(COUNTBLANK(C266:E266)+COUNTBLANK(F266)=0,1,0)</f>
        <v/>
      </c>
      <c r="J266" s="8">
        <f>IF(COUNTBLANK(C266:E266)+COUNTBLANK(G266)=0,1,0)</f>
        <v/>
      </c>
      <c r="K266" s="8">
        <f>IF(COUNTBLANK(C266:E266)+COUNTBLANK(H266)=0,1,0)</f>
        <v/>
      </c>
    </row>
    <row r="267">
      <c r="A267" s="8" t="inlineStr">
        <is>
          <t>Panamá</t>
        </is>
      </c>
      <c r="B267" s="8" t="n">
        <v>2003</v>
      </c>
      <c r="C267" s="18">
        <f>IF(Categorias!C268="","",Categorias!C268)</f>
        <v/>
      </c>
      <c r="D267" s="18">
        <f>IF(Categorias!H268="","",Categorias!H268)</f>
        <v/>
      </c>
      <c r="E267" s="17">
        <f>IFERROR(IF(INDEX(Gini!$C$2:$C$377,MATCH($A267&amp;"|"&amp;$B267,Gini!$E$2:$E$377,0))="","",INDEX(Gini!$C$2:$C$377,MATCH($A267&amp;"|"&amp;$B267,Gini!$E$2:$E$377,0))),"")</f>
        <v/>
      </c>
      <c r="F267" s="19">
        <f>IFERROR(IF(INDEX(Corrupcion!$E$2:$E$377,MATCH($A267&amp;"|"&amp;$B267,Corrupcion!$H$2:$H$377,0))="","",INDEX(Corrupcion!$E$2:$E$377,MATCH($A267&amp;"|"&amp;$B267,Corrupcion!$H$2:$H$377,0))),"")</f>
        <v/>
      </c>
      <c r="G267" s="20">
        <f>IFERROR(IF(INDEX(Corrupcion!$F$2:$F$377,MATCH($A267&amp;"|"&amp;$B267,Corrupcion!$H$2:$H$377,0))="","",INDEX(Corrupcion!$F$2:$F$377,MATCH($A267&amp;"|"&amp;$B267,Corrupcion!$H$2:$H$377,0))),"")</f>
        <v/>
      </c>
      <c r="H267" s="17">
        <f>IFERROR(IF(INDEX(Corrupcion!$G$2:$G$377,MATCH($A267&amp;"|"&amp;$B267,Corrupcion!$H$2:$H$377,0))="","",INDEX(Corrupcion!$G$2:$G$377,MATCH($A267&amp;"|"&amp;$B267,Corrupcion!$H$2:$H$377,0))),"")</f>
        <v/>
      </c>
      <c r="I267" s="8">
        <f>IF(COUNTBLANK(C267:E267)+COUNTBLANK(F267)=0,1,0)</f>
        <v/>
      </c>
      <c r="J267" s="8">
        <f>IF(COUNTBLANK(C267:E267)+COUNTBLANK(G267)=0,1,0)</f>
        <v/>
      </c>
      <c r="K267" s="8">
        <f>IF(COUNTBLANK(C267:E267)+COUNTBLANK(H267)=0,1,0)</f>
        <v/>
      </c>
    </row>
    <row r="268">
      <c r="A268" s="8" t="inlineStr">
        <is>
          <t>Panamá</t>
        </is>
      </c>
      <c r="B268" s="8" t="n">
        <v>2004</v>
      </c>
      <c r="C268" s="18">
        <f>IF(Categorias!C269="","",Categorias!C269)</f>
        <v/>
      </c>
      <c r="D268" s="18">
        <f>IF(Categorias!H269="","",Categorias!H269)</f>
        <v/>
      </c>
      <c r="E268" s="17">
        <f>IFERROR(IF(INDEX(Gini!$C$2:$C$377,MATCH($A268&amp;"|"&amp;$B268,Gini!$E$2:$E$377,0))="","",INDEX(Gini!$C$2:$C$377,MATCH($A268&amp;"|"&amp;$B268,Gini!$E$2:$E$377,0))),"")</f>
        <v/>
      </c>
      <c r="F268" s="19">
        <f>IFERROR(IF(INDEX(Corrupcion!$E$2:$E$377,MATCH($A268&amp;"|"&amp;$B268,Corrupcion!$H$2:$H$377,0))="","",INDEX(Corrupcion!$E$2:$E$377,MATCH($A268&amp;"|"&amp;$B268,Corrupcion!$H$2:$H$377,0))),"")</f>
        <v/>
      </c>
      <c r="G268" s="20">
        <f>IFERROR(IF(INDEX(Corrupcion!$F$2:$F$377,MATCH($A268&amp;"|"&amp;$B268,Corrupcion!$H$2:$H$377,0))="","",INDEX(Corrupcion!$F$2:$F$377,MATCH($A268&amp;"|"&amp;$B268,Corrupcion!$H$2:$H$377,0))),"")</f>
        <v/>
      </c>
      <c r="H268" s="17">
        <f>IFERROR(IF(INDEX(Corrupcion!$G$2:$G$377,MATCH($A268&amp;"|"&amp;$B268,Corrupcion!$H$2:$H$377,0))="","",INDEX(Corrupcion!$G$2:$G$377,MATCH($A268&amp;"|"&amp;$B268,Corrupcion!$H$2:$H$377,0))),"")</f>
        <v/>
      </c>
      <c r="I268" s="8">
        <f>IF(COUNTBLANK(C268:E268)+COUNTBLANK(F268)=0,1,0)</f>
        <v/>
      </c>
      <c r="J268" s="8">
        <f>IF(COUNTBLANK(C268:E268)+COUNTBLANK(G268)=0,1,0)</f>
        <v/>
      </c>
      <c r="K268" s="8">
        <f>IF(COUNTBLANK(C268:E268)+COUNTBLANK(H268)=0,1,0)</f>
        <v/>
      </c>
    </row>
    <row r="269">
      <c r="A269" s="8" t="inlineStr">
        <is>
          <t>Panamá</t>
        </is>
      </c>
      <c r="B269" s="8" t="n">
        <v>2005</v>
      </c>
      <c r="C269" s="18">
        <f>IF(Categorias!C270="","",Categorias!C270)</f>
        <v/>
      </c>
      <c r="D269" s="18">
        <f>IF(Categorias!H270="","",Categorias!H270)</f>
        <v/>
      </c>
      <c r="E269" s="17">
        <f>IFERROR(IF(INDEX(Gini!$C$2:$C$377,MATCH($A269&amp;"|"&amp;$B269,Gini!$E$2:$E$377,0))="","",INDEX(Gini!$C$2:$C$377,MATCH($A269&amp;"|"&amp;$B269,Gini!$E$2:$E$377,0))),"")</f>
        <v/>
      </c>
      <c r="F269" s="19">
        <f>IFERROR(IF(INDEX(Corrupcion!$E$2:$E$377,MATCH($A269&amp;"|"&amp;$B269,Corrupcion!$H$2:$H$377,0))="","",INDEX(Corrupcion!$E$2:$E$377,MATCH($A269&amp;"|"&amp;$B269,Corrupcion!$H$2:$H$377,0))),"")</f>
        <v/>
      </c>
      <c r="G269" s="20">
        <f>IFERROR(IF(INDEX(Corrupcion!$F$2:$F$377,MATCH($A269&amp;"|"&amp;$B269,Corrupcion!$H$2:$H$377,0))="","",INDEX(Corrupcion!$F$2:$F$377,MATCH($A269&amp;"|"&amp;$B269,Corrupcion!$H$2:$H$377,0))),"")</f>
        <v/>
      </c>
      <c r="H269" s="17">
        <f>IFERROR(IF(INDEX(Corrupcion!$G$2:$G$377,MATCH($A269&amp;"|"&amp;$B269,Corrupcion!$H$2:$H$377,0))="","",INDEX(Corrupcion!$G$2:$G$377,MATCH($A269&amp;"|"&amp;$B269,Corrupcion!$H$2:$H$377,0))),"")</f>
        <v/>
      </c>
      <c r="I269" s="8">
        <f>IF(COUNTBLANK(C269:E269)+COUNTBLANK(F269)=0,1,0)</f>
        <v/>
      </c>
      <c r="J269" s="8">
        <f>IF(COUNTBLANK(C269:E269)+COUNTBLANK(G269)=0,1,0)</f>
        <v/>
      </c>
      <c r="K269" s="8">
        <f>IF(COUNTBLANK(C269:E269)+COUNTBLANK(H269)=0,1,0)</f>
        <v/>
      </c>
    </row>
    <row r="270">
      <c r="A270" s="8" t="inlineStr">
        <is>
          <t>Panamá</t>
        </is>
      </c>
      <c r="B270" s="8" t="n">
        <v>2006</v>
      </c>
      <c r="C270" s="18">
        <f>IF(Categorias!C271="","",Categorias!C271)</f>
        <v/>
      </c>
      <c r="D270" s="18">
        <f>IF(Categorias!H271="","",Categorias!H271)</f>
        <v/>
      </c>
      <c r="E270" s="17">
        <f>IFERROR(IF(INDEX(Gini!$C$2:$C$377,MATCH($A270&amp;"|"&amp;$B270,Gini!$E$2:$E$377,0))="","",INDEX(Gini!$C$2:$C$377,MATCH($A270&amp;"|"&amp;$B270,Gini!$E$2:$E$377,0))),"")</f>
        <v/>
      </c>
      <c r="F270" s="19">
        <f>IFERROR(IF(INDEX(Corrupcion!$E$2:$E$377,MATCH($A270&amp;"|"&amp;$B270,Corrupcion!$H$2:$H$377,0))="","",INDEX(Corrupcion!$E$2:$E$377,MATCH($A270&amp;"|"&amp;$B270,Corrupcion!$H$2:$H$377,0))),"")</f>
        <v/>
      </c>
      <c r="G270" s="20">
        <f>IFERROR(IF(INDEX(Corrupcion!$F$2:$F$377,MATCH($A270&amp;"|"&amp;$B270,Corrupcion!$H$2:$H$377,0))="","",INDEX(Corrupcion!$F$2:$F$377,MATCH($A270&amp;"|"&amp;$B270,Corrupcion!$H$2:$H$377,0))),"")</f>
        <v/>
      </c>
      <c r="H270" s="17">
        <f>IFERROR(IF(INDEX(Corrupcion!$G$2:$G$377,MATCH($A270&amp;"|"&amp;$B270,Corrupcion!$H$2:$H$377,0))="","",INDEX(Corrupcion!$G$2:$G$377,MATCH($A270&amp;"|"&amp;$B270,Corrupcion!$H$2:$H$377,0))),"")</f>
        <v/>
      </c>
      <c r="I270" s="8">
        <f>IF(COUNTBLANK(C270:E270)+COUNTBLANK(F270)=0,1,0)</f>
        <v/>
      </c>
      <c r="J270" s="8">
        <f>IF(COUNTBLANK(C270:E270)+COUNTBLANK(G270)=0,1,0)</f>
        <v/>
      </c>
      <c r="K270" s="8">
        <f>IF(COUNTBLANK(C270:E270)+COUNTBLANK(H270)=0,1,0)</f>
        <v/>
      </c>
    </row>
    <row r="271">
      <c r="A271" s="8" t="inlineStr">
        <is>
          <t>Panamá</t>
        </is>
      </c>
      <c r="B271" s="8" t="n">
        <v>2007</v>
      </c>
      <c r="C271" s="18">
        <f>IF(Categorias!C272="","",Categorias!C272)</f>
        <v/>
      </c>
      <c r="D271" s="18">
        <f>IF(Categorias!H272="","",Categorias!H272)</f>
        <v/>
      </c>
      <c r="E271" s="17">
        <f>IFERROR(IF(INDEX(Gini!$C$2:$C$377,MATCH($A271&amp;"|"&amp;$B271,Gini!$E$2:$E$377,0))="","",INDEX(Gini!$C$2:$C$377,MATCH($A271&amp;"|"&amp;$B271,Gini!$E$2:$E$377,0))),"")</f>
        <v/>
      </c>
      <c r="F271" s="19">
        <f>IFERROR(IF(INDEX(Corrupcion!$E$2:$E$377,MATCH($A271&amp;"|"&amp;$B271,Corrupcion!$H$2:$H$377,0))="","",INDEX(Corrupcion!$E$2:$E$377,MATCH($A271&amp;"|"&amp;$B271,Corrupcion!$H$2:$H$377,0))),"")</f>
        <v/>
      </c>
      <c r="G271" s="20">
        <f>IFERROR(IF(INDEX(Corrupcion!$F$2:$F$377,MATCH($A271&amp;"|"&amp;$B271,Corrupcion!$H$2:$H$377,0))="","",INDEX(Corrupcion!$F$2:$F$377,MATCH($A271&amp;"|"&amp;$B271,Corrupcion!$H$2:$H$377,0))),"")</f>
        <v/>
      </c>
      <c r="H271" s="17">
        <f>IFERROR(IF(INDEX(Corrupcion!$G$2:$G$377,MATCH($A271&amp;"|"&amp;$B271,Corrupcion!$H$2:$H$377,0))="","",INDEX(Corrupcion!$G$2:$G$377,MATCH($A271&amp;"|"&amp;$B271,Corrupcion!$H$2:$H$377,0))),"")</f>
        <v/>
      </c>
      <c r="I271" s="8">
        <f>IF(COUNTBLANK(C271:E271)+COUNTBLANK(F271)=0,1,0)</f>
        <v/>
      </c>
      <c r="J271" s="8">
        <f>IF(COUNTBLANK(C271:E271)+COUNTBLANK(G271)=0,1,0)</f>
        <v/>
      </c>
      <c r="K271" s="8">
        <f>IF(COUNTBLANK(C271:E271)+COUNTBLANK(H271)=0,1,0)</f>
        <v/>
      </c>
    </row>
    <row r="272">
      <c r="A272" s="8" t="inlineStr">
        <is>
          <t>Panamá</t>
        </is>
      </c>
      <c r="B272" s="8" t="n">
        <v>2008</v>
      </c>
      <c r="C272" s="18">
        <f>IF(Categorias!C273="","",Categorias!C273)</f>
        <v/>
      </c>
      <c r="D272" s="18">
        <f>IF(Categorias!H273="","",Categorias!H273)</f>
        <v/>
      </c>
      <c r="E272" s="17">
        <f>IFERROR(IF(INDEX(Gini!$C$2:$C$377,MATCH($A272&amp;"|"&amp;$B272,Gini!$E$2:$E$377,0))="","",INDEX(Gini!$C$2:$C$377,MATCH($A272&amp;"|"&amp;$B272,Gini!$E$2:$E$377,0))),"")</f>
        <v/>
      </c>
      <c r="F272" s="19">
        <f>IFERROR(IF(INDEX(Corrupcion!$E$2:$E$377,MATCH($A272&amp;"|"&amp;$B272,Corrupcion!$H$2:$H$377,0))="","",INDEX(Corrupcion!$E$2:$E$377,MATCH($A272&amp;"|"&amp;$B272,Corrupcion!$H$2:$H$377,0))),"")</f>
        <v/>
      </c>
      <c r="G272" s="20">
        <f>IFERROR(IF(INDEX(Corrupcion!$F$2:$F$377,MATCH($A272&amp;"|"&amp;$B272,Corrupcion!$H$2:$H$377,0))="","",INDEX(Corrupcion!$F$2:$F$377,MATCH($A272&amp;"|"&amp;$B272,Corrupcion!$H$2:$H$377,0))),"")</f>
        <v/>
      </c>
      <c r="H272" s="17">
        <f>IFERROR(IF(INDEX(Corrupcion!$G$2:$G$377,MATCH($A272&amp;"|"&amp;$B272,Corrupcion!$H$2:$H$377,0))="","",INDEX(Corrupcion!$G$2:$G$377,MATCH($A272&amp;"|"&amp;$B272,Corrupcion!$H$2:$H$377,0))),"")</f>
        <v/>
      </c>
      <c r="I272" s="8">
        <f>IF(COUNTBLANK(C272:E272)+COUNTBLANK(F272)=0,1,0)</f>
        <v/>
      </c>
      <c r="J272" s="8">
        <f>IF(COUNTBLANK(C272:E272)+COUNTBLANK(G272)=0,1,0)</f>
        <v/>
      </c>
      <c r="K272" s="8">
        <f>IF(COUNTBLANK(C272:E272)+COUNTBLANK(H272)=0,1,0)</f>
        <v/>
      </c>
    </row>
    <row r="273">
      <c r="A273" s="8" t="inlineStr">
        <is>
          <t>Panamá</t>
        </is>
      </c>
      <c r="B273" s="8" t="n">
        <v>2009</v>
      </c>
      <c r="C273" s="18">
        <f>IF(Categorias!C274="","",Categorias!C274)</f>
        <v/>
      </c>
      <c r="D273" s="18">
        <f>IF(Categorias!H274="","",Categorias!H274)</f>
        <v/>
      </c>
      <c r="E273" s="17">
        <f>IFERROR(IF(INDEX(Gini!$C$2:$C$377,MATCH($A273&amp;"|"&amp;$B273,Gini!$E$2:$E$377,0))="","",INDEX(Gini!$C$2:$C$377,MATCH($A273&amp;"|"&amp;$B273,Gini!$E$2:$E$377,0))),"")</f>
        <v/>
      </c>
      <c r="F273" s="19">
        <f>IFERROR(IF(INDEX(Corrupcion!$E$2:$E$377,MATCH($A273&amp;"|"&amp;$B273,Corrupcion!$H$2:$H$377,0))="","",INDEX(Corrupcion!$E$2:$E$377,MATCH($A273&amp;"|"&amp;$B273,Corrupcion!$H$2:$H$377,0))),"")</f>
        <v/>
      </c>
      <c r="G273" s="20">
        <f>IFERROR(IF(INDEX(Corrupcion!$F$2:$F$377,MATCH($A273&amp;"|"&amp;$B273,Corrupcion!$H$2:$H$377,0))="","",INDEX(Corrupcion!$F$2:$F$377,MATCH($A273&amp;"|"&amp;$B273,Corrupcion!$H$2:$H$377,0))),"")</f>
        <v/>
      </c>
      <c r="H273" s="17">
        <f>IFERROR(IF(INDEX(Corrupcion!$G$2:$G$377,MATCH($A273&amp;"|"&amp;$B273,Corrupcion!$H$2:$H$377,0))="","",INDEX(Corrupcion!$G$2:$G$377,MATCH($A273&amp;"|"&amp;$B273,Corrupcion!$H$2:$H$377,0))),"")</f>
        <v/>
      </c>
      <c r="I273" s="8">
        <f>IF(COUNTBLANK(C273:E273)+COUNTBLANK(F273)=0,1,0)</f>
        <v/>
      </c>
      <c r="J273" s="8">
        <f>IF(COUNTBLANK(C273:E273)+COUNTBLANK(G273)=0,1,0)</f>
        <v/>
      </c>
      <c r="K273" s="8">
        <f>IF(COUNTBLANK(C273:E273)+COUNTBLANK(H273)=0,1,0)</f>
        <v/>
      </c>
    </row>
    <row r="274">
      <c r="A274" s="8" t="inlineStr">
        <is>
          <t>Panamá</t>
        </is>
      </c>
      <c r="B274" s="8" t="n">
        <v>2010</v>
      </c>
      <c r="C274" s="18">
        <f>IF(Categorias!C275="","",Categorias!C275)</f>
        <v/>
      </c>
      <c r="D274" s="18">
        <f>IF(Categorias!H275="","",Categorias!H275)</f>
        <v/>
      </c>
      <c r="E274" s="17">
        <f>IFERROR(IF(INDEX(Gini!$C$2:$C$377,MATCH($A274&amp;"|"&amp;$B274,Gini!$E$2:$E$377,0))="","",INDEX(Gini!$C$2:$C$377,MATCH($A274&amp;"|"&amp;$B274,Gini!$E$2:$E$377,0))),"")</f>
        <v/>
      </c>
      <c r="F274" s="19">
        <f>IFERROR(IF(INDEX(Corrupcion!$E$2:$E$377,MATCH($A274&amp;"|"&amp;$B274,Corrupcion!$H$2:$H$377,0))="","",INDEX(Corrupcion!$E$2:$E$377,MATCH($A274&amp;"|"&amp;$B274,Corrupcion!$H$2:$H$377,0))),"")</f>
        <v/>
      </c>
      <c r="G274" s="20">
        <f>IFERROR(IF(INDEX(Corrupcion!$F$2:$F$377,MATCH($A274&amp;"|"&amp;$B274,Corrupcion!$H$2:$H$377,0))="","",INDEX(Corrupcion!$F$2:$F$377,MATCH($A274&amp;"|"&amp;$B274,Corrupcion!$H$2:$H$377,0))),"")</f>
        <v/>
      </c>
      <c r="H274" s="17">
        <f>IFERROR(IF(INDEX(Corrupcion!$G$2:$G$377,MATCH($A274&amp;"|"&amp;$B274,Corrupcion!$H$2:$H$377,0))="","",INDEX(Corrupcion!$G$2:$G$377,MATCH($A274&amp;"|"&amp;$B274,Corrupcion!$H$2:$H$377,0))),"")</f>
        <v/>
      </c>
      <c r="I274" s="8">
        <f>IF(COUNTBLANK(C274:E274)+COUNTBLANK(F274)=0,1,0)</f>
        <v/>
      </c>
      <c r="J274" s="8">
        <f>IF(COUNTBLANK(C274:E274)+COUNTBLANK(G274)=0,1,0)</f>
        <v/>
      </c>
      <c r="K274" s="8">
        <f>IF(COUNTBLANK(C274:E274)+COUNTBLANK(H274)=0,1,0)</f>
        <v/>
      </c>
    </row>
    <row r="275">
      <c r="A275" s="8" t="inlineStr">
        <is>
          <t>Panamá</t>
        </is>
      </c>
      <c r="B275" s="8" t="n">
        <v>2011</v>
      </c>
      <c r="C275" s="18">
        <f>IF(Categorias!C276="","",Categorias!C276)</f>
        <v/>
      </c>
      <c r="D275" s="18">
        <f>IF(Categorias!H276="","",Categorias!H276)</f>
        <v/>
      </c>
      <c r="E275" s="17">
        <f>IFERROR(IF(INDEX(Gini!$C$2:$C$377,MATCH($A275&amp;"|"&amp;$B275,Gini!$E$2:$E$377,0))="","",INDEX(Gini!$C$2:$C$377,MATCH($A275&amp;"|"&amp;$B275,Gini!$E$2:$E$377,0))),"")</f>
        <v/>
      </c>
      <c r="F275" s="19">
        <f>IFERROR(IF(INDEX(Corrupcion!$E$2:$E$377,MATCH($A275&amp;"|"&amp;$B275,Corrupcion!$H$2:$H$377,0))="","",INDEX(Corrupcion!$E$2:$E$377,MATCH($A275&amp;"|"&amp;$B275,Corrupcion!$H$2:$H$377,0))),"")</f>
        <v/>
      </c>
      <c r="G275" s="20">
        <f>IFERROR(IF(INDEX(Corrupcion!$F$2:$F$377,MATCH($A275&amp;"|"&amp;$B275,Corrupcion!$H$2:$H$377,0))="","",INDEX(Corrupcion!$F$2:$F$377,MATCH($A275&amp;"|"&amp;$B275,Corrupcion!$H$2:$H$377,0))),"")</f>
        <v/>
      </c>
      <c r="H275" s="17">
        <f>IFERROR(IF(INDEX(Corrupcion!$G$2:$G$377,MATCH($A275&amp;"|"&amp;$B275,Corrupcion!$H$2:$H$377,0))="","",INDEX(Corrupcion!$G$2:$G$377,MATCH($A275&amp;"|"&amp;$B275,Corrupcion!$H$2:$H$377,0))),"")</f>
        <v/>
      </c>
      <c r="I275" s="8">
        <f>IF(COUNTBLANK(C275:E275)+COUNTBLANK(F275)=0,1,0)</f>
        <v/>
      </c>
      <c r="J275" s="8">
        <f>IF(COUNTBLANK(C275:E275)+COUNTBLANK(G275)=0,1,0)</f>
        <v/>
      </c>
      <c r="K275" s="8">
        <f>IF(COUNTBLANK(C275:E275)+COUNTBLANK(H275)=0,1,0)</f>
        <v/>
      </c>
    </row>
    <row r="276">
      <c r="A276" s="8" t="inlineStr">
        <is>
          <t>Panamá</t>
        </is>
      </c>
      <c r="B276" s="8" t="n">
        <v>2016</v>
      </c>
      <c r="C276" s="18">
        <f>IF(Categorias!C277="","",Categorias!C277)</f>
        <v/>
      </c>
      <c r="D276" s="18">
        <f>IF(Categorias!H277="","",Categorias!H277)</f>
        <v/>
      </c>
      <c r="E276" s="17">
        <f>IFERROR(IF(INDEX(Gini!$C$2:$C$377,MATCH($A276&amp;"|"&amp;$B276,Gini!$E$2:$E$377,0))="","",INDEX(Gini!$C$2:$C$377,MATCH($A276&amp;"|"&amp;$B276,Gini!$E$2:$E$377,0))),"")</f>
        <v/>
      </c>
      <c r="F276" s="19">
        <f>IFERROR(IF(INDEX(Corrupcion!$E$2:$E$377,MATCH($A276&amp;"|"&amp;$B276,Corrupcion!$H$2:$H$377,0))="","",INDEX(Corrupcion!$E$2:$E$377,MATCH($A276&amp;"|"&amp;$B276,Corrupcion!$H$2:$H$377,0))),"")</f>
        <v/>
      </c>
      <c r="G276" s="20">
        <f>IFERROR(IF(INDEX(Corrupcion!$F$2:$F$377,MATCH($A276&amp;"|"&amp;$B276,Corrupcion!$H$2:$H$377,0))="","",INDEX(Corrupcion!$F$2:$F$377,MATCH($A276&amp;"|"&amp;$B276,Corrupcion!$H$2:$H$377,0))),"")</f>
        <v/>
      </c>
      <c r="H276" s="17">
        <f>IFERROR(IF(INDEX(Corrupcion!$G$2:$G$377,MATCH($A276&amp;"|"&amp;$B276,Corrupcion!$H$2:$H$377,0))="","",INDEX(Corrupcion!$G$2:$G$377,MATCH($A276&amp;"|"&amp;$B276,Corrupcion!$H$2:$H$377,0))),"")</f>
        <v/>
      </c>
      <c r="I276" s="8">
        <f>IF(COUNTBLANK(C276:E276)+COUNTBLANK(F276)=0,1,0)</f>
        <v/>
      </c>
      <c r="J276" s="8">
        <f>IF(COUNTBLANK(C276:E276)+COUNTBLANK(G276)=0,1,0)</f>
        <v/>
      </c>
      <c r="K276" s="8">
        <f>IF(COUNTBLANK(C276:E276)+COUNTBLANK(H276)=0,1,0)</f>
        <v/>
      </c>
    </row>
    <row r="277">
      <c r="A277" s="8" t="inlineStr">
        <is>
          <t>Panamá</t>
        </is>
      </c>
      <c r="B277" s="8" t="n">
        <v>2017</v>
      </c>
      <c r="C277" s="18">
        <f>IF(Categorias!C278="","",Categorias!C278)</f>
        <v/>
      </c>
      <c r="D277" s="18">
        <f>IF(Categorias!H278="","",Categorias!H278)</f>
        <v/>
      </c>
      <c r="E277" s="17">
        <f>IFERROR(IF(INDEX(Gini!$C$2:$C$377,MATCH($A277&amp;"|"&amp;$B277,Gini!$E$2:$E$377,0))="","",INDEX(Gini!$C$2:$C$377,MATCH($A277&amp;"|"&amp;$B277,Gini!$E$2:$E$377,0))),"")</f>
        <v/>
      </c>
      <c r="F277" s="19">
        <f>IFERROR(IF(INDEX(Corrupcion!$E$2:$E$377,MATCH($A277&amp;"|"&amp;$B277,Corrupcion!$H$2:$H$377,0))="","",INDEX(Corrupcion!$E$2:$E$377,MATCH($A277&amp;"|"&amp;$B277,Corrupcion!$H$2:$H$377,0))),"")</f>
        <v/>
      </c>
      <c r="G277" s="20">
        <f>IFERROR(IF(INDEX(Corrupcion!$F$2:$F$377,MATCH($A277&amp;"|"&amp;$B277,Corrupcion!$H$2:$H$377,0))="","",INDEX(Corrupcion!$F$2:$F$377,MATCH($A277&amp;"|"&amp;$B277,Corrupcion!$H$2:$H$377,0))),"")</f>
        <v/>
      </c>
      <c r="H277" s="17">
        <f>IFERROR(IF(INDEX(Corrupcion!$G$2:$G$377,MATCH($A277&amp;"|"&amp;$B277,Corrupcion!$H$2:$H$377,0))="","",INDEX(Corrupcion!$G$2:$G$377,MATCH($A277&amp;"|"&amp;$B277,Corrupcion!$H$2:$H$377,0))),"")</f>
        <v/>
      </c>
      <c r="I277" s="8">
        <f>IF(COUNTBLANK(C277:E277)+COUNTBLANK(F277)=0,1,0)</f>
        <v/>
      </c>
      <c r="J277" s="8">
        <f>IF(COUNTBLANK(C277:E277)+COUNTBLANK(G277)=0,1,0)</f>
        <v/>
      </c>
      <c r="K277" s="8">
        <f>IF(COUNTBLANK(C277:E277)+COUNTBLANK(H277)=0,1,0)</f>
        <v/>
      </c>
    </row>
    <row r="278">
      <c r="A278" s="8" t="inlineStr">
        <is>
          <t>Panamá</t>
        </is>
      </c>
      <c r="B278" s="8" t="n">
        <v>2018</v>
      </c>
      <c r="C278" s="18">
        <f>IF(Categorias!C279="","",Categorias!C279)</f>
        <v/>
      </c>
      <c r="D278" s="18">
        <f>IF(Categorias!H279="","",Categorias!H279)</f>
        <v/>
      </c>
      <c r="E278" s="17">
        <f>IFERROR(IF(INDEX(Gini!$C$2:$C$377,MATCH($A278&amp;"|"&amp;$B278,Gini!$E$2:$E$377,0))="","",INDEX(Gini!$C$2:$C$377,MATCH($A278&amp;"|"&amp;$B278,Gini!$E$2:$E$377,0))),"")</f>
        <v/>
      </c>
      <c r="F278" s="19">
        <f>IFERROR(IF(INDEX(Corrupcion!$E$2:$E$377,MATCH($A278&amp;"|"&amp;$B278,Corrupcion!$H$2:$H$377,0))="","",INDEX(Corrupcion!$E$2:$E$377,MATCH($A278&amp;"|"&amp;$B278,Corrupcion!$H$2:$H$377,0))),"")</f>
        <v/>
      </c>
      <c r="G278" s="20">
        <f>IFERROR(IF(INDEX(Corrupcion!$F$2:$F$377,MATCH($A278&amp;"|"&amp;$B278,Corrupcion!$H$2:$H$377,0))="","",INDEX(Corrupcion!$F$2:$F$377,MATCH($A278&amp;"|"&amp;$B278,Corrupcion!$H$2:$H$377,0))),"")</f>
        <v/>
      </c>
      <c r="H278" s="17">
        <f>IFERROR(IF(INDEX(Corrupcion!$G$2:$G$377,MATCH($A278&amp;"|"&amp;$B278,Corrupcion!$H$2:$H$377,0))="","",INDEX(Corrupcion!$G$2:$G$377,MATCH($A278&amp;"|"&amp;$B278,Corrupcion!$H$2:$H$377,0))),"")</f>
        <v/>
      </c>
      <c r="I278" s="8">
        <f>IF(COUNTBLANK(C278:E278)+COUNTBLANK(F278)=0,1,0)</f>
        <v/>
      </c>
      <c r="J278" s="8">
        <f>IF(COUNTBLANK(C278:E278)+COUNTBLANK(G278)=0,1,0)</f>
        <v/>
      </c>
      <c r="K278" s="8">
        <f>IF(COUNTBLANK(C278:E278)+COUNTBLANK(H278)=0,1,0)</f>
        <v/>
      </c>
    </row>
    <row r="279">
      <c r="A279" s="8" t="inlineStr">
        <is>
          <t>Panamá</t>
        </is>
      </c>
      <c r="B279" s="8" t="n">
        <v>2020</v>
      </c>
      <c r="C279" s="18">
        <f>IF(Categorias!C280="","",Categorias!C280)</f>
        <v/>
      </c>
      <c r="D279" s="18">
        <f>IF(Categorias!H280="","",Categorias!H280)</f>
        <v/>
      </c>
      <c r="E279" s="17">
        <f>IFERROR(IF(INDEX(Gini!$C$2:$C$377,MATCH($A279&amp;"|"&amp;$B279,Gini!$E$2:$E$377,0))="","",INDEX(Gini!$C$2:$C$377,MATCH($A279&amp;"|"&amp;$B279,Gini!$E$2:$E$377,0))),"")</f>
        <v/>
      </c>
      <c r="F279" s="19">
        <f>IFERROR(IF(INDEX(Corrupcion!$E$2:$E$377,MATCH($A279&amp;"|"&amp;$B279,Corrupcion!$H$2:$H$377,0))="","",INDEX(Corrupcion!$E$2:$E$377,MATCH($A279&amp;"|"&amp;$B279,Corrupcion!$H$2:$H$377,0))),"")</f>
        <v/>
      </c>
      <c r="G279" s="20">
        <f>IFERROR(IF(INDEX(Corrupcion!$F$2:$F$377,MATCH($A279&amp;"|"&amp;$B279,Corrupcion!$H$2:$H$377,0))="","",INDEX(Corrupcion!$F$2:$F$377,MATCH($A279&amp;"|"&amp;$B279,Corrupcion!$H$2:$H$377,0))),"")</f>
        <v/>
      </c>
      <c r="H279" s="17">
        <f>IFERROR(IF(INDEX(Corrupcion!$G$2:$G$377,MATCH($A279&amp;"|"&amp;$B279,Corrupcion!$H$2:$H$377,0))="","",INDEX(Corrupcion!$G$2:$G$377,MATCH($A279&amp;"|"&amp;$B279,Corrupcion!$H$2:$H$377,0))),"")</f>
        <v/>
      </c>
      <c r="I279" s="8">
        <f>IF(COUNTBLANK(C279:E279)+COUNTBLANK(F279)=0,1,0)</f>
        <v/>
      </c>
      <c r="J279" s="8">
        <f>IF(COUNTBLANK(C279:E279)+COUNTBLANK(G279)=0,1,0)</f>
        <v/>
      </c>
      <c r="K279" s="8">
        <f>IF(COUNTBLANK(C279:E279)+COUNTBLANK(H279)=0,1,0)</f>
        <v/>
      </c>
    </row>
    <row r="280">
      <c r="A280" s="8" t="inlineStr">
        <is>
          <t>Panamá</t>
        </is>
      </c>
      <c r="B280" s="8" t="n">
        <v>2024</v>
      </c>
      <c r="C280" s="18">
        <f>IF(Categorias!C281="","",Categorias!C281)</f>
        <v/>
      </c>
      <c r="D280" s="18">
        <f>IF(Categorias!H281="","",Categorias!H281)</f>
        <v/>
      </c>
      <c r="E280" s="17">
        <f>IFERROR(IF(INDEX(Gini!$C$2:$C$377,MATCH($A280&amp;"|"&amp;$B280,Gini!$E$2:$E$377,0))="","",INDEX(Gini!$C$2:$C$377,MATCH($A280&amp;"|"&amp;$B280,Gini!$E$2:$E$377,0))),"")</f>
        <v/>
      </c>
      <c r="F280" s="19">
        <f>IFERROR(IF(INDEX(Corrupcion!$E$2:$E$377,MATCH($A280&amp;"|"&amp;$B280,Corrupcion!$H$2:$H$377,0))="","",INDEX(Corrupcion!$E$2:$E$377,MATCH($A280&amp;"|"&amp;$B280,Corrupcion!$H$2:$H$377,0))),"")</f>
        <v/>
      </c>
      <c r="G280" s="20">
        <f>IFERROR(IF(INDEX(Corrupcion!$F$2:$F$377,MATCH($A280&amp;"|"&amp;$B280,Corrupcion!$H$2:$H$377,0))="","",INDEX(Corrupcion!$F$2:$F$377,MATCH($A280&amp;"|"&amp;$B280,Corrupcion!$H$2:$H$377,0))),"")</f>
        <v/>
      </c>
      <c r="H280" s="17">
        <f>IFERROR(IF(INDEX(Corrupcion!$G$2:$G$377,MATCH($A280&amp;"|"&amp;$B280,Corrupcion!$H$2:$H$377,0))="","",INDEX(Corrupcion!$G$2:$G$377,MATCH($A280&amp;"|"&amp;$B280,Corrupcion!$H$2:$H$377,0))),"")</f>
        <v/>
      </c>
      <c r="I280" s="8">
        <f>IF(COUNTBLANK(C280:E280)+COUNTBLANK(F280)=0,1,0)</f>
        <v/>
      </c>
      <c r="J280" s="8">
        <f>IF(COUNTBLANK(C280:E280)+COUNTBLANK(G280)=0,1,0)</f>
        <v/>
      </c>
      <c r="K280" s="8">
        <f>IF(COUNTBLANK(C280:E280)+COUNTBLANK(H280)=0,1,0)</f>
        <v/>
      </c>
    </row>
    <row r="281">
      <c r="A281" s="8" t="inlineStr">
        <is>
          <t>Paraguay</t>
        </is>
      </c>
      <c r="B281" s="8" t="n">
        <v>1995</v>
      </c>
      <c r="C281" s="18">
        <f>IF(Categorias!C282="","",Categorias!C282)</f>
        <v/>
      </c>
      <c r="D281" s="18">
        <f>IF(Categorias!H282="","",Categorias!H282)</f>
        <v/>
      </c>
      <c r="E281" s="17">
        <f>IFERROR(IF(INDEX(Gini!$C$2:$C$377,MATCH($A281&amp;"|"&amp;$B281,Gini!$E$2:$E$377,0))="","",INDEX(Gini!$C$2:$C$377,MATCH($A281&amp;"|"&amp;$B281,Gini!$E$2:$E$377,0))),"")</f>
        <v/>
      </c>
      <c r="F281" s="19">
        <f>IFERROR(IF(INDEX(Corrupcion!$E$2:$E$377,MATCH($A281&amp;"|"&amp;$B281,Corrupcion!$H$2:$H$377,0))="","",INDEX(Corrupcion!$E$2:$E$377,MATCH($A281&amp;"|"&amp;$B281,Corrupcion!$H$2:$H$377,0))),"")</f>
        <v/>
      </c>
      <c r="G281" s="20">
        <f>IFERROR(IF(INDEX(Corrupcion!$F$2:$F$377,MATCH($A281&amp;"|"&amp;$B281,Corrupcion!$H$2:$H$377,0))="","",INDEX(Corrupcion!$F$2:$F$377,MATCH($A281&amp;"|"&amp;$B281,Corrupcion!$H$2:$H$377,0))),"")</f>
        <v/>
      </c>
      <c r="H281" s="17">
        <f>IFERROR(IF(INDEX(Corrupcion!$G$2:$G$377,MATCH($A281&amp;"|"&amp;$B281,Corrupcion!$H$2:$H$377,0))="","",INDEX(Corrupcion!$G$2:$G$377,MATCH($A281&amp;"|"&amp;$B281,Corrupcion!$H$2:$H$377,0))),"")</f>
        <v/>
      </c>
      <c r="I281" s="8">
        <f>IF(COUNTBLANK(C281:E281)+COUNTBLANK(F281)=0,1,0)</f>
        <v/>
      </c>
      <c r="J281" s="8">
        <f>IF(COUNTBLANK(C281:E281)+COUNTBLANK(G281)=0,1,0)</f>
        <v/>
      </c>
      <c r="K281" s="8">
        <f>IF(COUNTBLANK(C281:E281)+COUNTBLANK(H281)=0,1,0)</f>
        <v/>
      </c>
    </row>
    <row r="282">
      <c r="A282" s="8" t="inlineStr">
        <is>
          <t>Paraguay</t>
        </is>
      </c>
      <c r="B282" s="8" t="n">
        <v>1996</v>
      </c>
      <c r="C282" s="18">
        <f>IF(Categorias!C283="","",Categorias!C283)</f>
        <v/>
      </c>
      <c r="D282" s="18">
        <f>IF(Categorias!H283="","",Categorias!H283)</f>
        <v/>
      </c>
      <c r="E282" s="17">
        <f>IFERROR(IF(INDEX(Gini!$C$2:$C$377,MATCH($A282&amp;"|"&amp;$B282,Gini!$E$2:$E$377,0))="","",INDEX(Gini!$C$2:$C$377,MATCH($A282&amp;"|"&amp;$B282,Gini!$E$2:$E$377,0))),"")</f>
        <v/>
      </c>
      <c r="F282" s="19">
        <f>IFERROR(IF(INDEX(Corrupcion!$E$2:$E$377,MATCH($A282&amp;"|"&amp;$B282,Corrupcion!$H$2:$H$377,0))="","",INDEX(Corrupcion!$E$2:$E$377,MATCH($A282&amp;"|"&amp;$B282,Corrupcion!$H$2:$H$377,0))),"")</f>
        <v/>
      </c>
      <c r="G282" s="20">
        <f>IFERROR(IF(INDEX(Corrupcion!$F$2:$F$377,MATCH($A282&amp;"|"&amp;$B282,Corrupcion!$H$2:$H$377,0))="","",INDEX(Corrupcion!$F$2:$F$377,MATCH($A282&amp;"|"&amp;$B282,Corrupcion!$H$2:$H$377,0))),"")</f>
        <v/>
      </c>
      <c r="H282" s="17">
        <f>IFERROR(IF(INDEX(Corrupcion!$G$2:$G$377,MATCH($A282&amp;"|"&amp;$B282,Corrupcion!$H$2:$H$377,0))="","",INDEX(Corrupcion!$G$2:$G$377,MATCH($A282&amp;"|"&amp;$B282,Corrupcion!$H$2:$H$377,0))),"")</f>
        <v/>
      </c>
      <c r="I282" s="8">
        <f>IF(COUNTBLANK(C282:E282)+COUNTBLANK(F282)=0,1,0)</f>
        <v/>
      </c>
      <c r="J282" s="8">
        <f>IF(COUNTBLANK(C282:E282)+COUNTBLANK(G282)=0,1,0)</f>
        <v/>
      </c>
      <c r="K282" s="8">
        <f>IF(COUNTBLANK(C282:E282)+COUNTBLANK(H282)=0,1,0)</f>
        <v/>
      </c>
    </row>
    <row r="283">
      <c r="A283" s="8" t="inlineStr">
        <is>
          <t>Paraguay</t>
        </is>
      </c>
      <c r="B283" s="8" t="n">
        <v>1997</v>
      </c>
      <c r="C283" s="18">
        <f>IF(Categorias!C284="","",Categorias!C284)</f>
        <v/>
      </c>
      <c r="D283" s="18">
        <f>IF(Categorias!H284="","",Categorias!H284)</f>
        <v/>
      </c>
      <c r="E283" s="17">
        <f>IFERROR(IF(INDEX(Gini!$C$2:$C$377,MATCH($A283&amp;"|"&amp;$B283,Gini!$E$2:$E$377,0))="","",INDEX(Gini!$C$2:$C$377,MATCH($A283&amp;"|"&amp;$B283,Gini!$E$2:$E$377,0))),"")</f>
        <v/>
      </c>
      <c r="F283" s="19">
        <f>IFERROR(IF(INDEX(Corrupcion!$E$2:$E$377,MATCH($A283&amp;"|"&amp;$B283,Corrupcion!$H$2:$H$377,0))="","",INDEX(Corrupcion!$E$2:$E$377,MATCH($A283&amp;"|"&amp;$B283,Corrupcion!$H$2:$H$377,0))),"")</f>
        <v/>
      </c>
      <c r="G283" s="20">
        <f>IFERROR(IF(INDEX(Corrupcion!$F$2:$F$377,MATCH($A283&amp;"|"&amp;$B283,Corrupcion!$H$2:$H$377,0))="","",INDEX(Corrupcion!$F$2:$F$377,MATCH($A283&amp;"|"&amp;$B283,Corrupcion!$H$2:$H$377,0))),"")</f>
        <v/>
      </c>
      <c r="H283" s="17">
        <f>IFERROR(IF(INDEX(Corrupcion!$G$2:$G$377,MATCH($A283&amp;"|"&amp;$B283,Corrupcion!$H$2:$H$377,0))="","",INDEX(Corrupcion!$G$2:$G$377,MATCH($A283&amp;"|"&amp;$B283,Corrupcion!$H$2:$H$377,0))),"")</f>
        <v/>
      </c>
      <c r="I283" s="8">
        <f>IF(COUNTBLANK(C283:E283)+COUNTBLANK(F283)=0,1,0)</f>
        <v/>
      </c>
      <c r="J283" s="8">
        <f>IF(COUNTBLANK(C283:E283)+COUNTBLANK(G283)=0,1,0)</f>
        <v/>
      </c>
      <c r="K283" s="8">
        <f>IF(COUNTBLANK(C283:E283)+COUNTBLANK(H283)=0,1,0)</f>
        <v/>
      </c>
    </row>
    <row r="284">
      <c r="A284" s="8" t="inlineStr">
        <is>
          <t>Paraguay</t>
        </is>
      </c>
      <c r="B284" s="8" t="n">
        <v>1998</v>
      </c>
      <c r="C284" s="18">
        <f>IF(Categorias!C285="","",Categorias!C285)</f>
        <v/>
      </c>
      <c r="D284" s="18">
        <f>IF(Categorias!H285="","",Categorias!H285)</f>
        <v/>
      </c>
      <c r="E284" s="17">
        <f>IFERROR(IF(INDEX(Gini!$C$2:$C$377,MATCH($A284&amp;"|"&amp;$B284,Gini!$E$2:$E$377,0))="","",INDEX(Gini!$C$2:$C$377,MATCH($A284&amp;"|"&amp;$B284,Gini!$E$2:$E$377,0))),"")</f>
        <v/>
      </c>
      <c r="F284" s="19">
        <f>IFERROR(IF(INDEX(Corrupcion!$E$2:$E$377,MATCH($A284&amp;"|"&amp;$B284,Corrupcion!$H$2:$H$377,0))="","",INDEX(Corrupcion!$E$2:$E$377,MATCH($A284&amp;"|"&amp;$B284,Corrupcion!$H$2:$H$377,0))),"")</f>
        <v/>
      </c>
      <c r="G284" s="20">
        <f>IFERROR(IF(INDEX(Corrupcion!$F$2:$F$377,MATCH($A284&amp;"|"&amp;$B284,Corrupcion!$H$2:$H$377,0))="","",INDEX(Corrupcion!$F$2:$F$377,MATCH($A284&amp;"|"&amp;$B284,Corrupcion!$H$2:$H$377,0))),"")</f>
        <v/>
      </c>
      <c r="H284" s="17">
        <f>IFERROR(IF(INDEX(Corrupcion!$G$2:$G$377,MATCH($A284&amp;"|"&amp;$B284,Corrupcion!$H$2:$H$377,0))="","",INDEX(Corrupcion!$G$2:$G$377,MATCH($A284&amp;"|"&amp;$B284,Corrupcion!$H$2:$H$377,0))),"")</f>
        <v/>
      </c>
      <c r="I284" s="8">
        <f>IF(COUNTBLANK(C284:E284)+COUNTBLANK(F284)=0,1,0)</f>
        <v/>
      </c>
      <c r="J284" s="8">
        <f>IF(COUNTBLANK(C284:E284)+COUNTBLANK(G284)=0,1,0)</f>
        <v/>
      </c>
      <c r="K284" s="8">
        <f>IF(COUNTBLANK(C284:E284)+COUNTBLANK(H284)=0,1,0)</f>
        <v/>
      </c>
    </row>
    <row r="285">
      <c r="A285" s="8" t="inlineStr">
        <is>
          <t>Paraguay</t>
        </is>
      </c>
      <c r="B285" s="8" t="n">
        <v>2000</v>
      </c>
      <c r="C285" s="18">
        <f>IF(Categorias!C286="","",Categorias!C286)</f>
        <v/>
      </c>
      <c r="D285" s="18">
        <f>IF(Categorias!H286="","",Categorias!H286)</f>
        <v/>
      </c>
      <c r="E285" s="17">
        <f>IFERROR(IF(INDEX(Gini!$C$2:$C$377,MATCH($A285&amp;"|"&amp;$B285,Gini!$E$2:$E$377,0))="","",INDEX(Gini!$C$2:$C$377,MATCH($A285&amp;"|"&amp;$B285,Gini!$E$2:$E$377,0))),"")</f>
        <v/>
      </c>
      <c r="F285" s="19">
        <f>IFERROR(IF(INDEX(Corrupcion!$E$2:$E$377,MATCH($A285&amp;"|"&amp;$B285,Corrupcion!$H$2:$H$377,0))="","",INDEX(Corrupcion!$E$2:$E$377,MATCH($A285&amp;"|"&amp;$B285,Corrupcion!$H$2:$H$377,0))),"")</f>
        <v/>
      </c>
      <c r="G285" s="20">
        <f>IFERROR(IF(INDEX(Corrupcion!$F$2:$F$377,MATCH($A285&amp;"|"&amp;$B285,Corrupcion!$H$2:$H$377,0))="","",INDEX(Corrupcion!$F$2:$F$377,MATCH($A285&amp;"|"&amp;$B285,Corrupcion!$H$2:$H$377,0))),"")</f>
        <v/>
      </c>
      <c r="H285" s="17">
        <f>IFERROR(IF(INDEX(Corrupcion!$G$2:$G$377,MATCH($A285&amp;"|"&amp;$B285,Corrupcion!$H$2:$H$377,0))="","",INDEX(Corrupcion!$G$2:$G$377,MATCH($A285&amp;"|"&amp;$B285,Corrupcion!$H$2:$H$377,0))),"")</f>
        <v/>
      </c>
      <c r="I285" s="8">
        <f>IF(COUNTBLANK(C285:E285)+COUNTBLANK(F285)=0,1,0)</f>
        <v/>
      </c>
      <c r="J285" s="8">
        <f>IF(COUNTBLANK(C285:E285)+COUNTBLANK(G285)=0,1,0)</f>
        <v/>
      </c>
      <c r="K285" s="8">
        <f>IF(COUNTBLANK(C285:E285)+COUNTBLANK(H285)=0,1,0)</f>
        <v/>
      </c>
    </row>
    <row r="286">
      <c r="A286" s="8" t="inlineStr">
        <is>
          <t>Paraguay</t>
        </is>
      </c>
      <c r="B286" s="8" t="n">
        <v>2001</v>
      </c>
      <c r="C286" s="18">
        <f>IF(Categorias!C287="","",Categorias!C287)</f>
        <v/>
      </c>
      <c r="D286" s="18">
        <f>IF(Categorias!H287="","",Categorias!H287)</f>
        <v/>
      </c>
      <c r="E286" s="17">
        <f>IFERROR(IF(INDEX(Gini!$C$2:$C$377,MATCH($A286&amp;"|"&amp;$B286,Gini!$E$2:$E$377,0))="","",INDEX(Gini!$C$2:$C$377,MATCH($A286&amp;"|"&amp;$B286,Gini!$E$2:$E$377,0))),"")</f>
        <v/>
      </c>
      <c r="F286" s="19">
        <f>IFERROR(IF(INDEX(Corrupcion!$E$2:$E$377,MATCH($A286&amp;"|"&amp;$B286,Corrupcion!$H$2:$H$377,0))="","",INDEX(Corrupcion!$E$2:$E$377,MATCH($A286&amp;"|"&amp;$B286,Corrupcion!$H$2:$H$377,0))),"")</f>
        <v/>
      </c>
      <c r="G286" s="20">
        <f>IFERROR(IF(INDEX(Corrupcion!$F$2:$F$377,MATCH($A286&amp;"|"&amp;$B286,Corrupcion!$H$2:$H$377,0))="","",INDEX(Corrupcion!$F$2:$F$377,MATCH($A286&amp;"|"&amp;$B286,Corrupcion!$H$2:$H$377,0))),"")</f>
        <v/>
      </c>
      <c r="H286" s="17">
        <f>IFERROR(IF(INDEX(Corrupcion!$G$2:$G$377,MATCH($A286&amp;"|"&amp;$B286,Corrupcion!$H$2:$H$377,0))="","",INDEX(Corrupcion!$G$2:$G$377,MATCH($A286&amp;"|"&amp;$B286,Corrupcion!$H$2:$H$377,0))),"")</f>
        <v/>
      </c>
      <c r="I286" s="8">
        <f>IF(COUNTBLANK(C286:E286)+COUNTBLANK(F286)=0,1,0)</f>
        <v/>
      </c>
      <c r="J286" s="8">
        <f>IF(COUNTBLANK(C286:E286)+COUNTBLANK(G286)=0,1,0)</f>
        <v/>
      </c>
      <c r="K286" s="8">
        <f>IF(COUNTBLANK(C286:E286)+COUNTBLANK(H286)=0,1,0)</f>
        <v/>
      </c>
    </row>
    <row r="287">
      <c r="A287" s="8" t="inlineStr">
        <is>
          <t>Paraguay</t>
        </is>
      </c>
      <c r="B287" s="8" t="n">
        <v>2002</v>
      </c>
      <c r="C287" s="18">
        <f>IF(Categorias!C288="","",Categorias!C288)</f>
        <v/>
      </c>
      <c r="D287" s="18">
        <f>IF(Categorias!H288="","",Categorias!H288)</f>
        <v/>
      </c>
      <c r="E287" s="17">
        <f>IFERROR(IF(INDEX(Gini!$C$2:$C$377,MATCH($A287&amp;"|"&amp;$B287,Gini!$E$2:$E$377,0))="","",INDEX(Gini!$C$2:$C$377,MATCH($A287&amp;"|"&amp;$B287,Gini!$E$2:$E$377,0))),"")</f>
        <v/>
      </c>
      <c r="F287" s="19">
        <f>IFERROR(IF(INDEX(Corrupcion!$E$2:$E$377,MATCH($A287&amp;"|"&amp;$B287,Corrupcion!$H$2:$H$377,0))="","",INDEX(Corrupcion!$E$2:$E$377,MATCH($A287&amp;"|"&amp;$B287,Corrupcion!$H$2:$H$377,0))),"")</f>
        <v/>
      </c>
      <c r="G287" s="20">
        <f>IFERROR(IF(INDEX(Corrupcion!$F$2:$F$377,MATCH($A287&amp;"|"&amp;$B287,Corrupcion!$H$2:$H$377,0))="","",INDEX(Corrupcion!$F$2:$F$377,MATCH($A287&amp;"|"&amp;$B287,Corrupcion!$H$2:$H$377,0))),"")</f>
        <v/>
      </c>
      <c r="H287" s="17">
        <f>IFERROR(IF(INDEX(Corrupcion!$G$2:$G$377,MATCH($A287&amp;"|"&amp;$B287,Corrupcion!$H$2:$H$377,0))="","",INDEX(Corrupcion!$G$2:$G$377,MATCH($A287&amp;"|"&amp;$B287,Corrupcion!$H$2:$H$377,0))),"")</f>
        <v/>
      </c>
      <c r="I287" s="8">
        <f>IF(COUNTBLANK(C287:E287)+COUNTBLANK(F287)=0,1,0)</f>
        <v/>
      </c>
      <c r="J287" s="8">
        <f>IF(COUNTBLANK(C287:E287)+COUNTBLANK(G287)=0,1,0)</f>
        <v/>
      </c>
      <c r="K287" s="8">
        <f>IF(COUNTBLANK(C287:E287)+COUNTBLANK(H287)=0,1,0)</f>
        <v/>
      </c>
    </row>
    <row r="288">
      <c r="A288" s="8" t="inlineStr">
        <is>
          <t>Paraguay</t>
        </is>
      </c>
      <c r="B288" s="8" t="n">
        <v>2003</v>
      </c>
      <c r="C288" s="18">
        <f>IF(Categorias!C289="","",Categorias!C289)</f>
        <v/>
      </c>
      <c r="D288" s="18">
        <f>IF(Categorias!H289="","",Categorias!H289)</f>
        <v/>
      </c>
      <c r="E288" s="17">
        <f>IFERROR(IF(INDEX(Gini!$C$2:$C$377,MATCH($A288&amp;"|"&amp;$B288,Gini!$E$2:$E$377,0))="","",INDEX(Gini!$C$2:$C$377,MATCH($A288&amp;"|"&amp;$B288,Gini!$E$2:$E$377,0))),"")</f>
        <v/>
      </c>
      <c r="F288" s="19">
        <f>IFERROR(IF(INDEX(Corrupcion!$E$2:$E$377,MATCH($A288&amp;"|"&amp;$B288,Corrupcion!$H$2:$H$377,0))="","",INDEX(Corrupcion!$E$2:$E$377,MATCH($A288&amp;"|"&amp;$B288,Corrupcion!$H$2:$H$377,0))),"")</f>
        <v/>
      </c>
      <c r="G288" s="20">
        <f>IFERROR(IF(INDEX(Corrupcion!$F$2:$F$377,MATCH($A288&amp;"|"&amp;$B288,Corrupcion!$H$2:$H$377,0))="","",INDEX(Corrupcion!$F$2:$F$377,MATCH($A288&amp;"|"&amp;$B288,Corrupcion!$H$2:$H$377,0))),"")</f>
        <v/>
      </c>
      <c r="H288" s="17">
        <f>IFERROR(IF(INDEX(Corrupcion!$G$2:$G$377,MATCH($A288&amp;"|"&amp;$B288,Corrupcion!$H$2:$H$377,0))="","",INDEX(Corrupcion!$G$2:$G$377,MATCH($A288&amp;"|"&amp;$B288,Corrupcion!$H$2:$H$377,0))),"")</f>
        <v/>
      </c>
      <c r="I288" s="8">
        <f>IF(COUNTBLANK(C288:E288)+COUNTBLANK(F288)=0,1,0)</f>
        <v/>
      </c>
      <c r="J288" s="8">
        <f>IF(COUNTBLANK(C288:E288)+COUNTBLANK(G288)=0,1,0)</f>
        <v/>
      </c>
      <c r="K288" s="8">
        <f>IF(COUNTBLANK(C288:E288)+COUNTBLANK(H288)=0,1,0)</f>
        <v/>
      </c>
    </row>
    <row r="289">
      <c r="A289" s="8" t="inlineStr">
        <is>
          <t>Paraguay</t>
        </is>
      </c>
      <c r="B289" s="8" t="n">
        <v>2004</v>
      </c>
      <c r="C289" s="18">
        <f>IF(Categorias!C290="","",Categorias!C290)</f>
        <v/>
      </c>
      <c r="D289" s="18">
        <f>IF(Categorias!H290="","",Categorias!H290)</f>
        <v/>
      </c>
      <c r="E289" s="17">
        <f>IFERROR(IF(INDEX(Gini!$C$2:$C$377,MATCH($A289&amp;"|"&amp;$B289,Gini!$E$2:$E$377,0))="","",INDEX(Gini!$C$2:$C$377,MATCH($A289&amp;"|"&amp;$B289,Gini!$E$2:$E$377,0))),"")</f>
        <v/>
      </c>
      <c r="F289" s="19">
        <f>IFERROR(IF(INDEX(Corrupcion!$E$2:$E$377,MATCH($A289&amp;"|"&amp;$B289,Corrupcion!$H$2:$H$377,0))="","",INDEX(Corrupcion!$E$2:$E$377,MATCH($A289&amp;"|"&amp;$B289,Corrupcion!$H$2:$H$377,0))),"")</f>
        <v/>
      </c>
      <c r="G289" s="20">
        <f>IFERROR(IF(INDEX(Corrupcion!$F$2:$F$377,MATCH($A289&amp;"|"&amp;$B289,Corrupcion!$H$2:$H$377,0))="","",INDEX(Corrupcion!$F$2:$F$377,MATCH($A289&amp;"|"&amp;$B289,Corrupcion!$H$2:$H$377,0))),"")</f>
        <v/>
      </c>
      <c r="H289" s="17">
        <f>IFERROR(IF(INDEX(Corrupcion!$G$2:$G$377,MATCH($A289&amp;"|"&amp;$B289,Corrupcion!$H$2:$H$377,0))="","",INDEX(Corrupcion!$G$2:$G$377,MATCH($A289&amp;"|"&amp;$B289,Corrupcion!$H$2:$H$377,0))),"")</f>
        <v/>
      </c>
      <c r="I289" s="8">
        <f>IF(COUNTBLANK(C289:E289)+COUNTBLANK(F289)=0,1,0)</f>
        <v/>
      </c>
      <c r="J289" s="8">
        <f>IF(COUNTBLANK(C289:E289)+COUNTBLANK(G289)=0,1,0)</f>
        <v/>
      </c>
      <c r="K289" s="8">
        <f>IF(COUNTBLANK(C289:E289)+COUNTBLANK(H289)=0,1,0)</f>
        <v/>
      </c>
    </row>
    <row r="290">
      <c r="A290" s="8" t="inlineStr">
        <is>
          <t>Paraguay</t>
        </is>
      </c>
      <c r="B290" s="8" t="n">
        <v>2005</v>
      </c>
      <c r="C290" s="18">
        <f>IF(Categorias!C291="","",Categorias!C291)</f>
        <v/>
      </c>
      <c r="D290" s="18">
        <f>IF(Categorias!H291="","",Categorias!H291)</f>
        <v/>
      </c>
      <c r="E290" s="17">
        <f>IFERROR(IF(INDEX(Gini!$C$2:$C$377,MATCH($A290&amp;"|"&amp;$B290,Gini!$E$2:$E$377,0))="","",INDEX(Gini!$C$2:$C$377,MATCH($A290&amp;"|"&amp;$B290,Gini!$E$2:$E$377,0))),"")</f>
        <v/>
      </c>
      <c r="F290" s="19">
        <f>IFERROR(IF(INDEX(Corrupcion!$E$2:$E$377,MATCH($A290&amp;"|"&amp;$B290,Corrupcion!$H$2:$H$377,0))="","",INDEX(Corrupcion!$E$2:$E$377,MATCH($A290&amp;"|"&amp;$B290,Corrupcion!$H$2:$H$377,0))),"")</f>
        <v/>
      </c>
      <c r="G290" s="20">
        <f>IFERROR(IF(INDEX(Corrupcion!$F$2:$F$377,MATCH($A290&amp;"|"&amp;$B290,Corrupcion!$H$2:$H$377,0))="","",INDEX(Corrupcion!$F$2:$F$377,MATCH($A290&amp;"|"&amp;$B290,Corrupcion!$H$2:$H$377,0))),"")</f>
        <v/>
      </c>
      <c r="H290" s="17">
        <f>IFERROR(IF(INDEX(Corrupcion!$G$2:$G$377,MATCH($A290&amp;"|"&amp;$B290,Corrupcion!$H$2:$H$377,0))="","",INDEX(Corrupcion!$G$2:$G$377,MATCH($A290&amp;"|"&amp;$B290,Corrupcion!$H$2:$H$377,0))),"")</f>
        <v/>
      </c>
      <c r="I290" s="8">
        <f>IF(COUNTBLANK(C290:E290)+COUNTBLANK(F290)=0,1,0)</f>
        <v/>
      </c>
      <c r="J290" s="8">
        <f>IF(COUNTBLANK(C290:E290)+COUNTBLANK(G290)=0,1,0)</f>
        <v/>
      </c>
      <c r="K290" s="8">
        <f>IF(COUNTBLANK(C290:E290)+COUNTBLANK(H290)=0,1,0)</f>
        <v/>
      </c>
    </row>
    <row r="291">
      <c r="A291" s="8" t="inlineStr">
        <is>
          <t>Paraguay</t>
        </is>
      </c>
      <c r="B291" s="8" t="n">
        <v>2006</v>
      </c>
      <c r="C291" s="18">
        <f>IF(Categorias!C292="","",Categorias!C292)</f>
        <v/>
      </c>
      <c r="D291" s="18">
        <f>IF(Categorias!H292="","",Categorias!H292)</f>
        <v/>
      </c>
      <c r="E291" s="17">
        <f>IFERROR(IF(INDEX(Gini!$C$2:$C$377,MATCH($A291&amp;"|"&amp;$B291,Gini!$E$2:$E$377,0))="","",INDEX(Gini!$C$2:$C$377,MATCH($A291&amp;"|"&amp;$B291,Gini!$E$2:$E$377,0))),"")</f>
        <v/>
      </c>
      <c r="F291" s="19">
        <f>IFERROR(IF(INDEX(Corrupcion!$E$2:$E$377,MATCH($A291&amp;"|"&amp;$B291,Corrupcion!$H$2:$H$377,0))="","",INDEX(Corrupcion!$E$2:$E$377,MATCH($A291&amp;"|"&amp;$B291,Corrupcion!$H$2:$H$377,0))),"")</f>
        <v/>
      </c>
      <c r="G291" s="20">
        <f>IFERROR(IF(INDEX(Corrupcion!$F$2:$F$377,MATCH($A291&amp;"|"&amp;$B291,Corrupcion!$H$2:$H$377,0))="","",INDEX(Corrupcion!$F$2:$F$377,MATCH($A291&amp;"|"&amp;$B291,Corrupcion!$H$2:$H$377,0))),"")</f>
        <v/>
      </c>
      <c r="H291" s="17">
        <f>IFERROR(IF(INDEX(Corrupcion!$G$2:$G$377,MATCH($A291&amp;"|"&amp;$B291,Corrupcion!$H$2:$H$377,0))="","",INDEX(Corrupcion!$G$2:$G$377,MATCH($A291&amp;"|"&amp;$B291,Corrupcion!$H$2:$H$377,0))),"")</f>
        <v/>
      </c>
      <c r="I291" s="8">
        <f>IF(COUNTBLANK(C291:E291)+COUNTBLANK(F291)=0,1,0)</f>
        <v/>
      </c>
      <c r="J291" s="8">
        <f>IF(COUNTBLANK(C291:E291)+COUNTBLANK(G291)=0,1,0)</f>
        <v/>
      </c>
      <c r="K291" s="8">
        <f>IF(COUNTBLANK(C291:E291)+COUNTBLANK(H291)=0,1,0)</f>
        <v/>
      </c>
    </row>
    <row r="292">
      <c r="A292" s="8" t="inlineStr">
        <is>
          <t>Paraguay</t>
        </is>
      </c>
      <c r="B292" s="8" t="n">
        <v>2007</v>
      </c>
      <c r="C292" s="18">
        <f>IF(Categorias!C293="","",Categorias!C293)</f>
        <v/>
      </c>
      <c r="D292" s="18">
        <f>IF(Categorias!H293="","",Categorias!H293)</f>
        <v/>
      </c>
      <c r="E292" s="17">
        <f>IFERROR(IF(INDEX(Gini!$C$2:$C$377,MATCH($A292&amp;"|"&amp;$B292,Gini!$E$2:$E$377,0))="","",INDEX(Gini!$C$2:$C$377,MATCH($A292&amp;"|"&amp;$B292,Gini!$E$2:$E$377,0))),"")</f>
        <v/>
      </c>
      <c r="F292" s="19">
        <f>IFERROR(IF(INDEX(Corrupcion!$E$2:$E$377,MATCH($A292&amp;"|"&amp;$B292,Corrupcion!$H$2:$H$377,0))="","",INDEX(Corrupcion!$E$2:$E$377,MATCH($A292&amp;"|"&amp;$B292,Corrupcion!$H$2:$H$377,0))),"")</f>
        <v/>
      </c>
      <c r="G292" s="20">
        <f>IFERROR(IF(INDEX(Corrupcion!$F$2:$F$377,MATCH($A292&amp;"|"&amp;$B292,Corrupcion!$H$2:$H$377,0))="","",INDEX(Corrupcion!$F$2:$F$377,MATCH($A292&amp;"|"&amp;$B292,Corrupcion!$H$2:$H$377,0))),"")</f>
        <v/>
      </c>
      <c r="H292" s="17">
        <f>IFERROR(IF(INDEX(Corrupcion!$G$2:$G$377,MATCH($A292&amp;"|"&amp;$B292,Corrupcion!$H$2:$H$377,0))="","",INDEX(Corrupcion!$G$2:$G$377,MATCH($A292&amp;"|"&amp;$B292,Corrupcion!$H$2:$H$377,0))),"")</f>
        <v/>
      </c>
      <c r="I292" s="8">
        <f>IF(COUNTBLANK(C292:E292)+COUNTBLANK(F292)=0,1,0)</f>
        <v/>
      </c>
      <c r="J292" s="8">
        <f>IF(COUNTBLANK(C292:E292)+COUNTBLANK(G292)=0,1,0)</f>
        <v/>
      </c>
      <c r="K292" s="8">
        <f>IF(COUNTBLANK(C292:E292)+COUNTBLANK(H292)=0,1,0)</f>
        <v/>
      </c>
    </row>
    <row r="293">
      <c r="A293" s="8" t="inlineStr">
        <is>
          <t>Paraguay</t>
        </is>
      </c>
      <c r="B293" s="8" t="n">
        <v>2008</v>
      </c>
      <c r="C293" s="18">
        <f>IF(Categorias!C294="","",Categorias!C294)</f>
        <v/>
      </c>
      <c r="D293" s="18">
        <f>IF(Categorias!H294="","",Categorias!H294)</f>
        <v/>
      </c>
      <c r="E293" s="17">
        <f>IFERROR(IF(INDEX(Gini!$C$2:$C$377,MATCH($A293&amp;"|"&amp;$B293,Gini!$E$2:$E$377,0))="","",INDEX(Gini!$C$2:$C$377,MATCH($A293&amp;"|"&amp;$B293,Gini!$E$2:$E$377,0))),"")</f>
        <v/>
      </c>
      <c r="F293" s="19">
        <f>IFERROR(IF(INDEX(Corrupcion!$E$2:$E$377,MATCH($A293&amp;"|"&amp;$B293,Corrupcion!$H$2:$H$377,0))="","",INDEX(Corrupcion!$E$2:$E$377,MATCH($A293&amp;"|"&amp;$B293,Corrupcion!$H$2:$H$377,0))),"")</f>
        <v/>
      </c>
      <c r="G293" s="20">
        <f>IFERROR(IF(INDEX(Corrupcion!$F$2:$F$377,MATCH($A293&amp;"|"&amp;$B293,Corrupcion!$H$2:$H$377,0))="","",INDEX(Corrupcion!$F$2:$F$377,MATCH($A293&amp;"|"&amp;$B293,Corrupcion!$H$2:$H$377,0))),"")</f>
        <v/>
      </c>
      <c r="H293" s="17">
        <f>IFERROR(IF(INDEX(Corrupcion!$G$2:$G$377,MATCH($A293&amp;"|"&amp;$B293,Corrupcion!$H$2:$H$377,0))="","",INDEX(Corrupcion!$G$2:$G$377,MATCH($A293&amp;"|"&amp;$B293,Corrupcion!$H$2:$H$377,0))),"")</f>
        <v/>
      </c>
      <c r="I293" s="8">
        <f>IF(COUNTBLANK(C293:E293)+COUNTBLANK(F293)=0,1,0)</f>
        <v/>
      </c>
      <c r="J293" s="8">
        <f>IF(COUNTBLANK(C293:E293)+COUNTBLANK(G293)=0,1,0)</f>
        <v/>
      </c>
      <c r="K293" s="8">
        <f>IF(COUNTBLANK(C293:E293)+COUNTBLANK(H293)=0,1,0)</f>
        <v/>
      </c>
    </row>
    <row r="294">
      <c r="A294" s="8" t="inlineStr">
        <is>
          <t>Paraguay</t>
        </is>
      </c>
      <c r="B294" s="8" t="n">
        <v>2009</v>
      </c>
      <c r="C294" s="18">
        <f>IF(Categorias!C295="","",Categorias!C295)</f>
        <v/>
      </c>
      <c r="D294" s="18">
        <f>IF(Categorias!H295="","",Categorias!H295)</f>
        <v/>
      </c>
      <c r="E294" s="17">
        <f>IFERROR(IF(INDEX(Gini!$C$2:$C$377,MATCH($A294&amp;"|"&amp;$B294,Gini!$E$2:$E$377,0))="","",INDEX(Gini!$C$2:$C$377,MATCH($A294&amp;"|"&amp;$B294,Gini!$E$2:$E$377,0))),"")</f>
        <v/>
      </c>
      <c r="F294" s="19">
        <f>IFERROR(IF(INDEX(Corrupcion!$E$2:$E$377,MATCH($A294&amp;"|"&amp;$B294,Corrupcion!$H$2:$H$377,0))="","",INDEX(Corrupcion!$E$2:$E$377,MATCH($A294&amp;"|"&amp;$B294,Corrupcion!$H$2:$H$377,0))),"")</f>
        <v/>
      </c>
      <c r="G294" s="20">
        <f>IFERROR(IF(INDEX(Corrupcion!$F$2:$F$377,MATCH($A294&amp;"|"&amp;$B294,Corrupcion!$H$2:$H$377,0))="","",INDEX(Corrupcion!$F$2:$F$377,MATCH($A294&amp;"|"&amp;$B294,Corrupcion!$H$2:$H$377,0))),"")</f>
        <v/>
      </c>
      <c r="H294" s="17">
        <f>IFERROR(IF(INDEX(Corrupcion!$G$2:$G$377,MATCH($A294&amp;"|"&amp;$B294,Corrupcion!$H$2:$H$377,0))="","",INDEX(Corrupcion!$G$2:$G$377,MATCH($A294&amp;"|"&amp;$B294,Corrupcion!$H$2:$H$377,0))),"")</f>
        <v/>
      </c>
      <c r="I294" s="8">
        <f>IF(COUNTBLANK(C294:E294)+COUNTBLANK(F294)=0,1,0)</f>
        <v/>
      </c>
      <c r="J294" s="8">
        <f>IF(COUNTBLANK(C294:E294)+COUNTBLANK(G294)=0,1,0)</f>
        <v/>
      </c>
      <c r="K294" s="8">
        <f>IF(COUNTBLANK(C294:E294)+COUNTBLANK(H294)=0,1,0)</f>
        <v/>
      </c>
    </row>
    <row r="295">
      <c r="A295" s="8" t="inlineStr">
        <is>
          <t>Paraguay</t>
        </is>
      </c>
      <c r="B295" s="8" t="n">
        <v>2010</v>
      </c>
      <c r="C295" s="18">
        <f>IF(Categorias!C296="","",Categorias!C296)</f>
        <v/>
      </c>
      <c r="D295" s="18">
        <f>IF(Categorias!H296="","",Categorias!H296)</f>
        <v/>
      </c>
      <c r="E295" s="17">
        <f>IFERROR(IF(INDEX(Gini!$C$2:$C$377,MATCH($A295&amp;"|"&amp;$B295,Gini!$E$2:$E$377,0))="","",INDEX(Gini!$C$2:$C$377,MATCH($A295&amp;"|"&amp;$B295,Gini!$E$2:$E$377,0))),"")</f>
        <v/>
      </c>
      <c r="F295" s="19">
        <f>IFERROR(IF(INDEX(Corrupcion!$E$2:$E$377,MATCH($A295&amp;"|"&amp;$B295,Corrupcion!$H$2:$H$377,0))="","",INDEX(Corrupcion!$E$2:$E$377,MATCH($A295&amp;"|"&amp;$B295,Corrupcion!$H$2:$H$377,0))),"")</f>
        <v/>
      </c>
      <c r="G295" s="20">
        <f>IFERROR(IF(INDEX(Corrupcion!$F$2:$F$377,MATCH($A295&amp;"|"&amp;$B295,Corrupcion!$H$2:$H$377,0))="","",INDEX(Corrupcion!$F$2:$F$377,MATCH($A295&amp;"|"&amp;$B295,Corrupcion!$H$2:$H$377,0))),"")</f>
        <v/>
      </c>
      <c r="H295" s="17">
        <f>IFERROR(IF(INDEX(Corrupcion!$G$2:$G$377,MATCH($A295&amp;"|"&amp;$B295,Corrupcion!$H$2:$H$377,0))="","",INDEX(Corrupcion!$G$2:$G$377,MATCH($A295&amp;"|"&amp;$B295,Corrupcion!$H$2:$H$377,0))),"")</f>
        <v/>
      </c>
      <c r="I295" s="8">
        <f>IF(COUNTBLANK(C295:E295)+COUNTBLANK(F295)=0,1,0)</f>
        <v/>
      </c>
      <c r="J295" s="8">
        <f>IF(COUNTBLANK(C295:E295)+COUNTBLANK(G295)=0,1,0)</f>
        <v/>
      </c>
      <c r="K295" s="8">
        <f>IF(COUNTBLANK(C295:E295)+COUNTBLANK(H295)=0,1,0)</f>
        <v/>
      </c>
    </row>
    <row r="296">
      <c r="A296" s="8" t="inlineStr">
        <is>
          <t>Paraguay</t>
        </is>
      </c>
      <c r="B296" s="8" t="n">
        <v>2011</v>
      </c>
      <c r="C296" s="18">
        <f>IF(Categorias!C297="","",Categorias!C297)</f>
        <v/>
      </c>
      <c r="D296" s="18">
        <f>IF(Categorias!H297="","",Categorias!H297)</f>
        <v/>
      </c>
      <c r="E296" s="17">
        <f>IFERROR(IF(INDEX(Gini!$C$2:$C$377,MATCH($A296&amp;"|"&amp;$B296,Gini!$E$2:$E$377,0))="","",INDEX(Gini!$C$2:$C$377,MATCH($A296&amp;"|"&amp;$B296,Gini!$E$2:$E$377,0))),"")</f>
        <v/>
      </c>
      <c r="F296" s="19">
        <f>IFERROR(IF(INDEX(Corrupcion!$E$2:$E$377,MATCH($A296&amp;"|"&amp;$B296,Corrupcion!$H$2:$H$377,0))="","",INDEX(Corrupcion!$E$2:$E$377,MATCH($A296&amp;"|"&amp;$B296,Corrupcion!$H$2:$H$377,0))),"")</f>
        <v/>
      </c>
      <c r="G296" s="20">
        <f>IFERROR(IF(INDEX(Corrupcion!$F$2:$F$377,MATCH($A296&amp;"|"&amp;$B296,Corrupcion!$H$2:$H$377,0))="","",INDEX(Corrupcion!$F$2:$F$377,MATCH($A296&amp;"|"&amp;$B296,Corrupcion!$H$2:$H$377,0))),"")</f>
        <v/>
      </c>
      <c r="H296" s="17">
        <f>IFERROR(IF(INDEX(Corrupcion!$G$2:$G$377,MATCH($A296&amp;"|"&amp;$B296,Corrupcion!$H$2:$H$377,0))="","",INDEX(Corrupcion!$G$2:$G$377,MATCH($A296&amp;"|"&amp;$B296,Corrupcion!$H$2:$H$377,0))),"")</f>
        <v/>
      </c>
      <c r="I296" s="8">
        <f>IF(COUNTBLANK(C296:E296)+COUNTBLANK(F296)=0,1,0)</f>
        <v/>
      </c>
      <c r="J296" s="8">
        <f>IF(COUNTBLANK(C296:E296)+COUNTBLANK(G296)=0,1,0)</f>
        <v/>
      </c>
      <c r="K296" s="8">
        <f>IF(COUNTBLANK(C296:E296)+COUNTBLANK(H296)=0,1,0)</f>
        <v/>
      </c>
    </row>
    <row r="297">
      <c r="A297" s="8" t="inlineStr">
        <is>
          <t>Paraguay</t>
        </is>
      </c>
      <c r="B297" s="8" t="n">
        <v>2016</v>
      </c>
      <c r="C297" s="18">
        <f>IF(Categorias!C298="","",Categorias!C298)</f>
        <v/>
      </c>
      <c r="D297" s="18">
        <f>IF(Categorias!H298="","",Categorias!H298)</f>
        <v/>
      </c>
      <c r="E297" s="17">
        <f>IFERROR(IF(INDEX(Gini!$C$2:$C$377,MATCH($A297&amp;"|"&amp;$B297,Gini!$E$2:$E$377,0))="","",INDEX(Gini!$C$2:$C$377,MATCH($A297&amp;"|"&amp;$B297,Gini!$E$2:$E$377,0))),"")</f>
        <v/>
      </c>
      <c r="F297" s="19">
        <f>IFERROR(IF(INDEX(Corrupcion!$E$2:$E$377,MATCH($A297&amp;"|"&amp;$B297,Corrupcion!$H$2:$H$377,0))="","",INDEX(Corrupcion!$E$2:$E$377,MATCH($A297&amp;"|"&amp;$B297,Corrupcion!$H$2:$H$377,0))),"")</f>
        <v/>
      </c>
      <c r="G297" s="20">
        <f>IFERROR(IF(INDEX(Corrupcion!$F$2:$F$377,MATCH($A297&amp;"|"&amp;$B297,Corrupcion!$H$2:$H$377,0))="","",INDEX(Corrupcion!$F$2:$F$377,MATCH($A297&amp;"|"&amp;$B297,Corrupcion!$H$2:$H$377,0))),"")</f>
        <v/>
      </c>
      <c r="H297" s="17">
        <f>IFERROR(IF(INDEX(Corrupcion!$G$2:$G$377,MATCH($A297&amp;"|"&amp;$B297,Corrupcion!$H$2:$H$377,0))="","",INDEX(Corrupcion!$G$2:$G$377,MATCH($A297&amp;"|"&amp;$B297,Corrupcion!$H$2:$H$377,0))),"")</f>
        <v/>
      </c>
      <c r="I297" s="8">
        <f>IF(COUNTBLANK(C297:E297)+COUNTBLANK(F297)=0,1,0)</f>
        <v/>
      </c>
      <c r="J297" s="8">
        <f>IF(COUNTBLANK(C297:E297)+COUNTBLANK(G297)=0,1,0)</f>
        <v/>
      </c>
      <c r="K297" s="8">
        <f>IF(COUNTBLANK(C297:E297)+COUNTBLANK(H297)=0,1,0)</f>
        <v/>
      </c>
    </row>
    <row r="298">
      <c r="A298" s="8" t="inlineStr">
        <is>
          <t>Paraguay</t>
        </is>
      </c>
      <c r="B298" s="8" t="n">
        <v>2017</v>
      </c>
      <c r="C298" s="18">
        <f>IF(Categorias!C299="","",Categorias!C299)</f>
        <v/>
      </c>
      <c r="D298" s="18">
        <f>IF(Categorias!H299="","",Categorias!H299)</f>
        <v/>
      </c>
      <c r="E298" s="17">
        <f>IFERROR(IF(INDEX(Gini!$C$2:$C$377,MATCH($A298&amp;"|"&amp;$B298,Gini!$E$2:$E$377,0))="","",INDEX(Gini!$C$2:$C$377,MATCH($A298&amp;"|"&amp;$B298,Gini!$E$2:$E$377,0))),"")</f>
        <v/>
      </c>
      <c r="F298" s="19">
        <f>IFERROR(IF(INDEX(Corrupcion!$E$2:$E$377,MATCH($A298&amp;"|"&amp;$B298,Corrupcion!$H$2:$H$377,0))="","",INDEX(Corrupcion!$E$2:$E$377,MATCH($A298&amp;"|"&amp;$B298,Corrupcion!$H$2:$H$377,0))),"")</f>
        <v/>
      </c>
      <c r="G298" s="20">
        <f>IFERROR(IF(INDEX(Corrupcion!$F$2:$F$377,MATCH($A298&amp;"|"&amp;$B298,Corrupcion!$H$2:$H$377,0))="","",INDEX(Corrupcion!$F$2:$F$377,MATCH($A298&amp;"|"&amp;$B298,Corrupcion!$H$2:$H$377,0))),"")</f>
        <v/>
      </c>
      <c r="H298" s="17">
        <f>IFERROR(IF(INDEX(Corrupcion!$G$2:$G$377,MATCH($A298&amp;"|"&amp;$B298,Corrupcion!$H$2:$H$377,0))="","",INDEX(Corrupcion!$G$2:$G$377,MATCH($A298&amp;"|"&amp;$B298,Corrupcion!$H$2:$H$377,0))),"")</f>
        <v/>
      </c>
      <c r="I298" s="8">
        <f>IF(COUNTBLANK(C298:E298)+COUNTBLANK(F298)=0,1,0)</f>
        <v/>
      </c>
      <c r="J298" s="8">
        <f>IF(COUNTBLANK(C298:E298)+COUNTBLANK(G298)=0,1,0)</f>
        <v/>
      </c>
      <c r="K298" s="8">
        <f>IF(COUNTBLANK(C298:E298)+COUNTBLANK(H298)=0,1,0)</f>
        <v/>
      </c>
    </row>
    <row r="299">
      <c r="A299" s="8" t="inlineStr">
        <is>
          <t>Paraguay</t>
        </is>
      </c>
      <c r="B299" s="8" t="n">
        <v>2018</v>
      </c>
      <c r="C299" s="18">
        <f>IF(Categorias!C300="","",Categorias!C300)</f>
        <v/>
      </c>
      <c r="D299" s="18">
        <f>IF(Categorias!H300="","",Categorias!H300)</f>
        <v/>
      </c>
      <c r="E299" s="17">
        <f>IFERROR(IF(INDEX(Gini!$C$2:$C$377,MATCH($A299&amp;"|"&amp;$B299,Gini!$E$2:$E$377,0))="","",INDEX(Gini!$C$2:$C$377,MATCH($A299&amp;"|"&amp;$B299,Gini!$E$2:$E$377,0))),"")</f>
        <v/>
      </c>
      <c r="F299" s="19">
        <f>IFERROR(IF(INDEX(Corrupcion!$E$2:$E$377,MATCH($A299&amp;"|"&amp;$B299,Corrupcion!$H$2:$H$377,0))="","",INDEX(Corrupcion!$E$2:$E$377,MATCH($A299&amp;"|"&amp;$B299,Corrupcion!$H$2:$H$377,0))),"")</f>
        <v/>
      </c>
      <c r="G299" s="20">
        <f>IFERROR(IF(INDEX(Corrupcion!$F$2:$F$377,MATCH($A299&amp;"|"&amp;$B299,Corrupcion!$H$2:$H$377,0))="","",INDEX(Corrupcion!$F$2:$F$377,MATCH($A299&amp;"|"&amp;$B299,Corrupcion!$H$2:$H$377,0))),"")</f>
        <v/>
      </c>
      <c r="H299" s="17">
        <f>IFERROR(IF(INDEX(Corrupcion!$G$2:$G$377,MATCH($A299&amp;"|"&amp;$B299,Corrupcion!$H$2:$H$377,0))="","",INDEX(Corrupcion!$G$2:$G$377,MATCH($A299&amp;"|"&amp;$B299,Corrupcion!$H$2:$H$377,0))),"")</f>
        <v/>
      </c>
      <c r="I299" s="8">
        <f>IF(COUNTBLANK(C299:E299)+COUNTBLANK(F299)=0,1,0)</f>
        <v/>
      </c>
      <c r="J299" s="8">
        <f>IF(COUNTBLANK(C299:E299)+COUNTBLANK(G299)=0,1,0)</f>
        <v/>
      </c>
      <c r="K299" s="8">
        <f>IF(COUNTBLANK(C299:E299)+COUNTBLANK(H299)=0,1,0)</f>
        <v/>
      </c>
    </row>
    <row r="300">
      <c r="A300" s="8" t="inlineStr">
        <is>
          <t>Paraguay</t>
        </is>
      </c>
      <c r="B300" s="8" t="n">
        <v>2020</v>
      </c>
      <c r="C300" s="18">
        <f>IF(Categorias!C301="","",Categorias!C301)</f>
        <v/>
      </c>
      <c r="D300" s="18">
        <f>IF(Categorias!H301="","",Categorias!H301)</f>
        <v/>
      </c>
      <c r="E300" s="17">
        <f>IFERROR(IF(INDEX(Gini!$C$2:$C$377,MATCH($A300&amp;"|"&amp;$B300,Gini!$E$2:$E$377,0))="","",INDEX(Gini!$C$2:$C$377,MATCH($A300&amp;"|"&amp;$B300,Gini!$E$2:$E$377,0))),"")</f>
        <v/>
      </c>
      <c r="F300" s="19">
        <f>IFERROR(IF(INDEX(Corrupcion!$E$2:$E$377,MATCH($A300&amp;"|"&amp;$B300,Corrupcion!$H$2:$H$377,0))="","",INDEX(Corrupcion!$E$2:$E$377,MATCH($A300&amp;"|"&amp;$B300,Corrupcion!$H$2:$H$377,0))),"")</f>
        <v/>
      </c>
      <c r="G300" s="20">
        <f>IFERROR(IF(INDEX(Corrupcion!$F$2:$F$377,MATCH($A300&amp;"|"&amp;$B300,Corrupcion!$H$2:$H$377,0))="","",INDEX(Corrupcion!$F$2:$F$377,MATCH($A300&amp;"|"&amp;$B300,Corrupcion!$H$2:$H$377,0))),"")</f>
        <v/>
      </c>
      <c r="H300" s="17">
        <f>IFERROR(IF(INDEX(Corrupcion!$G$2:$G$377,MATCH($A300&amp;"|"&amp;$B300,Corrupcion!$H$2:$H$377,0))="","",INDEX(Corrupcion!$G$2:$G$377,MATCH($A300&amp;"|"&amp;$B300,Corrupcion!$H$2:$H$377,0))),"")</f>
        <v/>
      </c>
      <c r="I300" s="8">
        <f>IF(COUNTBLANK(C300:E300)+COUNTBLANK(F300)=0,1,0)</f>
        <v/>
      </c>
      <c r="J300" s="8">
        <f>IF(COUNTBLANK(C300:E300)+COUNTBLANK(G300)=0,1,0)</f>
        <v/>
      </c>
      <c r="K300" s="8">
        <f>IF(COUNTBLANK(C300:E300)+COUNTBLANK(H300)=0,1,0)</f>
        <v/>
      </c>
    </row>
    <row r="301">
      <c r="A301" s="8" t="inlineStr">
        <is>
          <t>Paraguay</t>
        </is>
      </c>
      <c r="B301" s="8" t="n">
        <v>2024</v>
      </c>
      <c r="C301" s="18">
        <f>IF(Categorias!C302="","",Categorias!C302)</f>
        <v/>
      </c>
      <c r="D301" s="18">
        <f>IF(Categorias!H302="","",Categorias!H302)</f>
        <v/>
      </c>
      <c r="E301" s="17">
        <f>IFERROR(IF(INDEX(Gini!$C$2:$C$377,MATCH($A301&amp;"|"&amp;$B301,Gini!$E$2:$E$377,0))="","",INDEX(Gini!$C$2:$C$377,MATCH($A301&amp;"|"&amp;$B301,Gini!$E$2:$E$377,0))),"")</f>
        <v/>
      </c>
      <c r="F301" s="19">
        <f>IFERROR(IF(INDEX(Corrupcion!$E$2:$E$377,MATCH($A301&amp;"|"&amp;$B301,Corrupcion!$H$2:$H$377,0))="","",INDEX(Corrupcion!$E$2:$E$377,MATCH($A301&amp;"|"&amp;$B301,Corrupcion!$H$2:$H$377,0))),"")</f>
        <v/>
      </c>
      <c r="G301" s="20">
        <f>IFERROR(IF(INDEX(Corrupcion!$F$2:$F$377,MATCH($A301&amp;"|"&amp;$B301,Corrupcion!$H$2:$H$377,0))="","",INDEX(Corrupcion!$F$2:$F$377,MATCH($A301&amp;"|"&amp;$B301,Corrupcion!$H$2:$H$377,0))),"")</f>
        <v/>
      </c>
      <c r="H301" s="17">
        <f>IFERROR(IF(INDEX(Corrupcion!$G$2:$G$377,MATCH($A301&amp;"|"&amp;$B301,Corrupcion!$H$2:$H$377,0))="","",INDEX(Corrupcion!$G$2:$G$377,MATCH($A301&amp;"|"&amp;$B301,Corrupcion!$H$2:$H$377,0))),"")</f>
        <v/>
      </c>
      <c r="I301" s="8">
        <f>IF(COUNTBLANK(C301:E301)+COUNTBLANK(F301)=0,1,0)</f>
        <v/>
      </c>
      <c r="J301" s="8">
        <f>IF(COUNTBLANK(C301:E301)+COUNTBLANK(G301)=0,1,0)</f>
        <v/>
      </c>
      <c r="K301" s="8">
        <f>IF(COUNTBLANK(C301:E301)+COUNTBLANK(H301)=0,1,0)</f>
        <v/>
      </c>
    </row>
    <row r="302">
      <c r="A302" s="8" t="inlineStr">
        <is>
          <t>Perú</t>
        </is>
      </c>
      <c r="B302" s="8" t="n">
        <v>1995</v>
      </c>
      <c r="C302" s="18">
        <f>IF(Categorias!C303="","",Categorias!C303)</f>
        <v/>
      </c>
      <c r="D302" s="18">
        <f>IF(Categorias!H303="","",Categorias!H303)</f>
        <v/>
      </c>
      <c r="E302" s="17">
        <f>IFERROR(IF(INDEX(Gini!$C$2:$C$377,MATCH($A302&amp;"|"&amp;$B302,Gini!$E$2:$E$377,0))="","",INDEX(Gini!$C$2:$C$377,MATCH($A302&amp;"|"&amp;$B302,Gini!$E$2:$E$377,0))),"")</f>
        <v/>
      </c>
      <c r="F302" s="19">
        <f>IFERROR(IF(INDEX(Corrupcion!$E$2:$E$377,MATCH($A302&amp;"|"&amp;$B302,Corrupcion!$H$2:$H$377,0))="","",INDEX(Corrupcion!$E$2:$E$377,MATCH($A302&amp;"|"&amp;$B302,Corrupcion!$H$2:$H$377,0))),"")</f>
        <v/>
      </c>
      <c r="G302" s="20">
        <f>IFERROR(IF(INDEX(Corrupcion!$F$2:$F$377,MATCH($A302&amp;"|"&amp;$B302,Corrupcion!$H$2:$H$377,0))="","",INDEX(Corrupcion!$F$2:$F$377,MATCH($A302&amp;"|"&amp;$B302,Corrupcion!$H$2:$H$377,0))),"")</f>
        <v/>
      </c>
      <c r="H302" s="17">
        <f>IFERROR(IF(INDEX(Corrupcion!$G$2:$G$377,MATCH($A302&amp;"|"&amp;$B302,Corrupcion!$H$2:$H$377,0))="","",INDEX(Corrupcion!$G$2:$G$377,MATCH($A302&amp;"|"&amp;$B302,Corrupcion!$H$2:$H$377,0))),"")</f>
        <v/>
      </c>
      <c r="I302" s="8">
        <f>IF(COUNTBLANK(C302:E302)+COUNTBLANK(F302)=0,1,0)</f>
        <v/>
      </c>
      <c r="J302" s="8">
        <f>IF(COUNTBLANK(C302:E302)+COUNTBLANK(G302)=0,1,0)</f>
        <v/>
      </c>
      <c r="K302" s="8">
        <f>IF(COUNTBLANK(C302:E302)+COUNTBLANK(H302)=0,1,0)</f>
        <v/>
      </c>
    </row>
    <row r="303">
      <c r="A303" s="8" t="inlineStr">
        <is>
          <t>Perú</t>
        </is>
      </c>
      <c r="B303" s="8" t="n">
        <v>1996</v>
      </c>
      <c r="C303" s="18">
        <f>IF(Categorias!C304="","",Categorias!C304)</f>
        <v/>
      </c>
      <c r="D303" s="18">
        <f>IF(Categorias!H304="","",Categorias!H304)</f>
        <v/>
      </c>
      <c r="E303" s="17">
        <f>IFERROR(IF(INDEX(Gini!$C$2:$C$377,MATCH($A303&amp;"|"&amp;$B303,Gini!$E$2:$E$377,0))="","",INDEX(Gini!$C$2:$C$377,MATCH($A303&amp;"|"&amp;$B303,Gini!$E$2:$E$377,0))),"")</f>
        <v/>
      </c>
      <c r="F303" s="19">
        <f>IFERROR(IF(INDEX(Corrupcion!$E$2:$E$377,MATCH($A303&amp;"|"&amp;$B303,Corrupcion!$H$2:$H$377,0))="","",INDEX(Corrupcion!$E$2:$E$377,MATCH($A303&amp;"|"&amp;$B303,Corrupcion!$H$2:$H$377,0))),"")</f>
        <v/>
      </c>
      <c r="G303" s="20">
        <f>IFERROR(IF(INDEX(Corrupcion!$F$2:$F$377,MATCH($A303&amp;"|"&amp;$B303,Corrupcion!$H$2:$H$377,0))="","",INDEX(Corrupcion!$F$2:$F$377,MATCH($A303&amp;"|"&amp;$B303,Corrupcion!$H$2:$H$377,0))),"")</f>
        <v/>
      </c>
      <c r="H303" s="17">
        <f>IFERROR(IF(INDEX(Corrupcion!$G$2:$G$377,MATCH($A303&amp;"|"&amp;$B303,Corrupcion!$H$2:$H$377,0))="","",INDEX(Corrupcion!$G$2:$G$377,MATCH($A303&amp;"|"&amp;$B303,Corrupcion!$H$2:$H$377,0))),"")</f>
        <v/>
      </c>
      <c r="I303" s="8">
        <f>IF(COUNTBLANK(C303:E303)+COUNTBLANK(F303)=0,1,0)</f>
        <v/>
      </c>
      <c r="J303" s="8">
        <f>IF(COUNTBLANK(C303:E303)+COUNTBLANK(G303)=0,1,0)</f>
        <v/>
      </c>
      <c r="K303" s="8">
        <f>IF(COUNTBLANK(C303:E303)+COUNTBLANK(H303)=0,1,0)</f>
        <v/>
      </c>
    </row>
    <row r="304">
      <c r="A304" s="8" t="inlineStr">
        <is>
          <t>Perú</t>
        </is>
      </c>
      <c r="B304" s="8" t="n">
        <v>1997</v>
      </c>
      <c r="C304" s="18">
        <f>IF(Categorias!C305="","",Categorias!C305)</f>
        <v/>
      </c>
      <c r="D304" s="18">
        <f>IF(Categorias!H305="","",Categorias!H305)</f>
        <v/>
      </c>
      <c r="E304" s="17">
        <f>IFERROR(IF(INDEX(Gini!$C$2:$C$377,MATCH($A304&amp;"|"&amp;$B304,Gini!$E$2:$E$377,0))="","",INDEX(Gini!$C$2:$C$377,MATCH($A304&amp;"|"&amp;$B304,Gini!$E$2:$E$377,0))),"")</f>
        <v/>
      </c>
      <c r="F304" s="19">
        <f>IFERROR(IF(INDEX(Corrupcion!$E$2:$E$377,MATCH($A304&amp;"|"&amp;$B304,Corrupcion!$H$2:$H$377,0))="","",INDEX(Corrupcion!$E$2:$E$377,MATCH($A304&amp;"|"&amp;$B304,Corrupcion!$H$2:$H$377,0))),"")</f>
        <v/>
      </c>
      <c r="G304" s="20">
        <f>IFERROR(IF(INDEX(Corrupcion!$F$2:$F$377,MATCH($A304&amp;"|"&amp;$B304,Corrupcion!$H$2:$H$377,0))="","",INDEX(Corrupcion!$F$2:$F$377,MATCH($A304&amp;"|"&amp;$B304,Corrupcion!$H$2:$H$377,0))),"")</f>
        <v/>
      </c>
      <c r="H304" s="17">
        <f>IFERROR(IF(INDEX(Corrupcion!$G$2:$G$377,MATCH($A304&amp;"|"&amp;$B304,Corrupcion!$H$2:$H$377,0))="","",INDEX(Corrupcion!$G$2:$G$377,MATCH($A304&amp;"|"&amp;$B304,Corrupcion!$H$2:$H$377,0))),"")</f>
        <v/>
      </c>
      <c r="I304" s="8">
        <f>IF(COUNTBLANK(C304:E304)+COUNTBLANK(F304)=0,1,0)</f>
        <v/>
      </c>
      <c r="J304" s="8">
        <f>IF(COUNTBLANK(C304:E304)+COUNTBLANK(G304)=0,1,0)</f>
        <v/>
      </c>
      <c r="K304" s="8">
        <f>IF(COUNTBLANK(C304:E304)+COUNTBLANK(H304)=0,1,0)</f>
        <v/>
      </c>
    </row>
    <row r="305">
      <c r="A305" s="8" t="inlineStr">
        <is>
          <t>Perú</t>
        </is>
      </c>
      <c r="B305" s="8" t="n">
        <v>1998</v>
      </c>
      <c r="C305" s="18">
        <f>IF(Categorias!C306="","",Categorias!C306)</f>
        <v/>
      </c>
      <c r="D305" s="18">
        <f>IF(Categorias!H306="","",Categorias!H306)</f>
        <v/>
      </c>
      <c r="E305" s="17">
        <f>IFERROR(IF(INDEX(Gini!$C$2:$C$377,MATCH($A305&amp;"|"&amp;$B305,Gini!$E$2:$E$377,0))="","",INDEX(Gini!$C$2:$C$377,MATCH($A305&amp;"|"&amp;$B305,Gini!$E$2:$E$377,0))),"")</f>
        <v/>
      </c>
      <c r="F305" s="19">
        <f>IFERROR(IF(INDEX(Corrupcion!$E$2:$E$377,MATCH($A305&amp;"|"&amp;$B305,Corrupcion!$H$2:$H$377,0))="","",INDEX(Corrupcion!$E$2:$E$377,MATCH($A305&amp;"|"&amp;$B305,Corrupcion!$H$2:$H$377,0))),"")</f>
        <v/>
      </c>
      <c r="G305" s="20">
        <f>IFERROR(IF(INDEX(Corrupcion!$F$2:$F$377,MATCH($A305&amp;"|"&amp;$B305,Corrupcion!$H$2:$H$377,0))="","",INDEX(Corrupcion!$F$2:$F$377,MATCH($A305&amp;"|"&amp;$B305,Corrupcion!$H$2:$H$377,0))),"")</f>
        <v/>
      </c>
      <c r="H305" s="17">
        <f>IFERROR(IF(INDEX(Corrupcion!$G$2:$G$377,MATCH($A305&amp;"|"&amp;$B305,Corrupcion!$H$2:$H$377,0))="","",INDEX(Corrupcion!$G$2:$G$377,MATCH($A305&amp;"|"&amp;$B305,Corrupcion!$H$2:$H$377,0))),"")</f>
        <v/>
      </c>
      <c r="I305" s="8">
        <f>IF(COUNTBLANK(C305:E305)+COUNTBLANK(F305)=0,1,0)</f>
        <v/>
      </c>
      <c r="J305" s="8">
        <f>IF(COUNTBLANK(C305:E305)+COUNTBLANK(G305)=0,1,0)</f>
        <v/>
      </c>
      <c r="K305" s="8">
        <f>IF(COUNTBLANK(C305:E305)+COUNTBLANK(H305)=0,1,0)</f>
        <v/>
      </c>
    </row>
    <row r="306">
      <c r="A306" s="8" t="inlineStr">
        <is>
          <t>Perú</t>
        </is>
      </c>
      <c r="B306" s="8" t="n">
        <v>2000</v>
      </c>
      <c r="C306" s="18">
        <f>IF(Categorias!C307="","",Categorias!C307)</f>
        <v/>
      </c>
      <c r="D306" s="18">
        <f>IF(Categorias!H307="","",Categorias!H307)</f>
        <v/>
      </c>
      <c r="E306" s="17">
        <f>IFERROR(IF(INDEX(Gini!$C$2:$C$377,MATCH($A306&amp;"|"&amp;$B306,Gini!$E$2:$E$377,0))="","",INDEX(Gini!$C$2:$C$377,MATCH($A306&amp;"|"&amp;$B306,Gini!$E$2:$E$377,0))),"")</f>
        <v/>
      </c>
      <c r="F306" s="19">
        <f>IFERROR(IF(INDEX(Corrupcion!$E$2:$E$377,MATCH($A306&amp;"|"&amp;$B306,Corrupcion!$H$2:$H$377,0))="","",INDEX(Corrupcion!$E$2:$E$377,MATCH($A306&amp;"|"&amp;$B306,Corrupcion!$H$2:$H$377,0))),"")</f>
        <v/>
      </c>
      <c r="G306" s="20">
        <f>IFERROR(IF(INDEX(Corrupcion!$F$2:$F$377,MATCH($A306&amp;"|"&amp;$B306,Corrupcion!$H$2:$H$377,0))="","",INDEX(Corrupcion!$F$2:$F$377,MATCH($A306&amp;"|"&amp;$B306,Corrupcion!$H$2:$H$377,0))),"")</f>
        <v/>
      </c>
      <c r="H306" s="17">
        <f>IFERROR(IF(INDEX(Corrupcion!$G$2:$G$377,MATCH($A306&amp;"|"&amp;$B306,Corrupcion!$H$2:$H$377,0))="","",INDEX(Corrupcion!$G$2:$G$377,MATCH($A306&amp;"|"&amp;$B306,Corrupcion!$H$2:$H$377,0))),"")</f>
        <v/>
      </c>
      <c r="I306" s="8">
        <f>IF(COUNTBLANK(C306:E306)+COUNTBLANK(F306)=0,1,0)</f>
        <v/>
      </c>
      <c r="J306" s="8">
        <f>IF(COUNTBLANK(C306:E306)+COUNTBLANK(G306)=0,1,0)</f>
        <v/>
      </c>
      <c r="K306" s="8">
        <f>IF(COUNTBLANK(C306:E306)+COUNTBLANK(H306)=0,1,0)</f>
        <v/>
      </c>
    </row>
    <row r="307">
      <c r="A307" s="8" t="inlineStr">
        <is>
          <t>Perú</t>
        </is>
      </c>
      <c r="B307" s="8" t="n">
        <v>2001</v>
      </c>
      <c r="C307" s="18">
        <f>IF(Categorias!C308="","",Categorias!C308)</f>
        <v/>
      </c>
      <c r="D307" s="18">
        <f>IF(Categorias!H308="","",Categorias!H308)</f>
        <v/>
      </c>
      <c r="E307" s="17">
        <f>IFERROR(IF(INDEX(Gini!$C$2:$C$377,MATCH($A307&amp;"|"&amp;$B307,Gini!$E$2:$E$377,0))="","",INDEX(Gini!$C$2:$C$377,MATCH($A307&amp;"|"&amp;$B307,Gini!$E$2:$E$377,0))),"")</f>
        <v/>
      </c>
      <c r="F307" s="19">
        <f>IFERROR(IF(INDEX(Corrupcion!$E$2:$E$377,MATCH($A307&amp;"|"&amp;$B307,Corrupcion!$H$2:$H$377,0))="","",INDEX(Corrupcion!$E$2:$E$377,MATCH($A307&amp;"|"&amp;$B307,Corrupcion!$H$2:$H$377,0))),"")</f>
        <v/>
      </c>
      <c r="G307" s="20">
        <f>IFERROR(IF(INDEX(Corrupcion!$F$2:$F$377,MATCH($A307&amp;"|"&amp;$B307,Corrupcion!$H$2:$H$377,0))="","",INDEX(Corrupcion!$F$2:$F$377,MATCH($A307&amp;"|"&amp;$B307,Corrupcion!$H$2:$H$377,0))),"")</f>
        <v/>
      </c>
      <c r="H307" s="17">
        <f>IFERROR(IF(INDEX(Corrupcion!$G$2:$G$377,MATCH($A307&amp;"|"&amp;$B307,Corrupcion!$H$2:$H$377,0))="","",INDEX(Corrupcion!$G$2:$G$377,MATCH($A307&amp;"|"&amp;$B307,Corrupcion!$H$2:$H$377,0))),"")</f>
        <v/>
      </c>
      <c r="I307" s="8">
        <f>IF(COUNTBLANK(C307:E307)+COUNTBLANK(F307)=0,1,0)</f>
        <v/>
      </c>
      <c r="J307" s="8">
        <f>IF(COUNTBLANK(C307:E307)+COUNTBLANK(G307)=0,1,0)</f>
        <v/>
      </c>
      <c r="K307" s="8">
        <f>IF(COUNTBLANK(C307:E307)+COUNTBLANK(H307)=0,1,0)</f>
        <v/>
      </c>
    </row>
    <row r="308">
      <c r="A308" s="8" t="inlineStr">
        <is>
          <t>Perú</t>
        </is>
      </c>
      <c r="B308" s="8" t="n">
        <v>2002</v>
      </c>
      <c r="C308" s="18">
        <f>IF(Categorias!C309="","",Categorias!C309)</f>
        <v/>
      </c>
      <c r="D308" s="18">
        <f>IF(Categorias!H309="","",Categorias!H309)</f>
        <v/>
      </c>
      <c r="E308" s="17">
        <f>IFERROR(IF(INDEX(Gini!$C$2:$C$377,MATCH($A308&amp;"|"&amp;$B308,Gini!$E$2:$E$377,0))="","",INDEX(Gini!$C$2:$C$377,MATCH($A308&amp;"|"&amp;$B308,Gini!$E$2:$E$377,0))),"")</f>
        <v/>
      </c>
      <c r="F308" s="19">
        <f>IFERROR(IF(INDEX(Corrupcion!$E$2:$E$377,MATCH($A308&amp;"|"&amp;$B308,Corrupcion!$H$2:$H$377,0))="","",INDEX(Corrupcion!$E$2:$E$377,MATCH($A308&amp;"|"&amp;$B308,Corrupcion!$H$2:$H$377,0))),"")</f>
        <v/>
      </c>
      <c r="G308" s="20">
        <f>IFERROR(IF(INDEX(Corrupcion!$F$2:$F$377,MATCH($A308&amp;"|"&amp;$B308,Corrupcion!$H$2:$H$377,0))="","",INDEX(Corrupcion!$F$2:$F$377,MATCH($A308&amp;"|"&amp;$B308,Corrupcion!$H$2:$H$377,0))),"")</f>
        <v/>
      </c>
      <c r="H308" s="17">
        <f>IFERROR(IF(INDEX(Corrupcion!$G$2:$G$377,MATCH($A308&amp;"|"&amp;$B308,Corrupcion!$H$2:$H$377,0))="","",INDEX(Corrupcion!$G$2:$G$377,MATCH($A308&amp;"|"&amp;$B308,Corrupcion!$H$2:$H$377,0))),"")</f>
        <v/>
      </c>
      <c r="I308" s="8">
        <f>IF(COUNTBLANK(C308:E308)+COUNTBLANK(F308)=0,1,0)</f>
        <v/>
      </c>
      <c r="J308" s="8">
        <f>IF(COUNTBLANK(C308:E308)+COUNTBLANK(G308)=0,1,0)</f>
        <v/>
      </c>
      <c r="K308" s="8">
        <f>IF(COUNTBLANK(C308:E308)+COUNTBLANK(H308)=0,1,0)</f>
        <v/>
      </c>
    </row>
    <row r="309">
      <c r="A309" s="8" t="inlineStr">
        <is>
          <t>Perú</t>
        </is>
      </c>
      <c r="B309" s="8" t="n">
        <v>2003</v>
      </c>
      <c r="C309" s="18">
        <f>IF(Categorias!C310="","",Categorias!C310)</f>
        <v/>
      </c>
      <c r="D309" s="18">
        <f>IF(Categorias!H310="","",Categorias!H310)</f>
        <v/>
      </c>
      <c r="E309" s="17">
        <f>IFERROR(IF(INDEX(Gini!$C$2:$C$377,MATCH($A309&amp;"|"&amp;$B309,Gini!$E$2:$E$377,0))="","",INDEX(Gini!$C$2:$C$377,MATCH($A309&amp;"|"&amp;$B309,Gini!$E$2:$E$377,0))),"")</f>
        <v/>
      </c>
      <c r="F309" s="19">
        <f>IFERROR(IF(INDEX(Corrupcion!$E$2:$E$377,MATCH($A309&amp;"|"&amp;$B309,Corrupcion!$H$2:$H$377,0))="","",INDEX(Corrupcion!$E$2:$E$377,MATCH($A309&amp;"|"&amp;$B309,Corrupcion!$H$2:$H$377,0))),"")</f>
        <v/>
      </c>
      <c r="G309" s="20">
        <f>IFERROR(IF(INDEX(Corrupcion!$F$2:$F$377,MATCH($A309&amp;"|"&amp;$B309,Corrupcion!$H$2:$H$377,0))="","",INDEX(Corrupcion!$F$2:$F$377,MATCH($A309&amp;"|"&amp;$B309,Corrupcion!$H$2:$H$377,0))),"")</f>
        <v/>
      </c>
      <c r="H309" s="17">
        <f>IFERROR(IF(INDEX(Corrupcion!$G$2:$G$377,MATCH($A309&amp;"|"&amp;$B309,Corrupcion!$H$2:$H$377,0))="","",INDEX(Corrupcion!$G$2:$G$377,MATCH($A309&amp;"|"&amp;$B309,Corrupcion!$H$2:$H$377,0))),"")</f>
        <v/>
      </c>
      <c r="I309" s="8">
        <f>IF(COUNTBLANK(C309:E309)+COUNTBLANK(F309)=0,1,0)</f>
        <v/>
      </c>
      <c r="J309" s="8">
        <f>IF(COUNTBLANK(C309:E309)+COUNTBLANK(G309)=0,1,0)</f>
        <v/>
      </c>
      <c r="K309" s="8">
        <f>IF(COUNTBLANK(C309:E309)+COUNTBLANK(H309)=0,1,0)</f>
        <v/>
      </c>
    </row>
    <row r="310">
      <c r="A310" s="8" t="inlineStr">
        <is>
          <t>Perú</t>
        </is>
      </c>
      <c r="B310" s="8" t="n">
        <v>2004</v>
      </c>
      <c r="C310" s="18">
        <f>IF(Categorias!C311="","",Categorias!C311)</f>
        <v/>
      </c>
      <c r="D310" s="18">
        <f>IF(Categorias!H311="","",Categorias!H311)</f>
        <v/>
      </c>
      <c r="E310" s="17">
        <f>IFERROR(IF(INDEX(Gini!$C$2:$C$377,MATCH($A310&amp;"|"&amp;$B310,Gini!$E$2:$E$377,0))="","",INDEX(Gini!$C$2:$C$377,MATCH($A310&amp;"|"&amp;$B310,Gini!$E$2:$E$377,0))),"")</f>
        <v/>
      </c>
      <c r="F310" s="19">
        <f>IFERROR(IF(INDEX(Corrupcion!$E$2:$E$377,MATCH($A310&amp;"|"&amp;$B310,Corrupcion!$H$2:$H$377,0))="","",INDEX(Corrupcion!$E$2:$E$377,MATCH($A310&amp;"|"&amp;$B310,Corrupcion!$H$2:$H$377,0))),"")</f>
        <v/>
      </c>
      <c r="G310" s="20">
        <f>IFERROR(IF(INDEX(Corrupcion!$F$2:$F$377,MATCH($A310&amp;"|"&amp;$B310,Corrupcion!$H$2:$H$377,0))="","",INDEX(Corrupcion!$F$2:$F$377,MATCH($A310&amp;"|"&amp;$B310,Corrupcion!$H$2:$H$377,0))),"")</f>
        <v/>
      </c>
      <c r="H310" s="17">
        <f>IFERROR(IF(INDEX(Corrupcion!$G$2:$G$377,MATCH($A310&amp;"|"&amp;$B310,Corrupcion!$H$2:$H$377,0))="","",INDEX(Corrupcion!$G$2:$G$377,MATCH($A310&amp;"|"&amp;$B310,Corrupcion!$H$2:$H$377,0))),"")</f>
        <v/>
      </c>
      <c r="I310" s="8">
        <f>IF(COUNTBLANK(C310:E310)+COUNTBLANK(F310)=0,1,0)</f>
        <v/>
      </c>
      <c r="J310" s="8">
        <f>IF(COUNTBLANK(C310:E310)+COUNTBLANK(G310)=0,1,0)</f>
        <v/>
      </c>
      <c r="K310" s="8">
        <f>IF(COUNTBLANK(C310:E310)+COUNTBLANK(H310)=0,1,0)</f>
        <v/>
      </c>
    </row>
    <row r="311">
      <c r="A311" s="8" t="inlineStr">
        <is>
          <t>Perú</t>
        </is>
      </c>
      <c r="B311" s="8" t="n">
        <v>2005</v>
      </c>
      <c r="C311" s="18">
        <f>IF(Categorias!C312="","",Categorias!C312)</f>
        <v/>
      </c>
      <c r="D311" s="18">
        <f>IF(Categorias!H312="","",Categorias!H312)</f>
        <v/>
      </c>
      <c r="E311" s="17">
        <f>IFERROR(IF(INDEX(Gini!$C$2:$C$377,MATCH($A311&amp;"|"&amp;$B311,Gini!$E$2:$E$377,0))="","",INDEX(Gini!$C$2:$C$377,MATCH($A311&amp;"|"&amp;$B311,Gini!$E$2:$E$377,0))),"")</f>
        <v/>
      </c>
      <c r="F311" s="19">
        <f>IFERROR(IF(INDEX(Corrupcion!$E$2:$E$377,MATCH($A311&amp;"|"&amp;$B311,Corrupcion!$H$2:$H$377,0))="","",INDEX(Corrupcion!$E$2:$E$377,MATCH($A311&amp;"|"&amp;$B311,Corrupcion!$H$2:$H$377,0))),"")</f>
        <v/>
      </c>
      <c r="G311" s="20">
        <f>IFERROR(IF(INDEX(Corrupcion!$F$2:$F$377,MATCH($A311&amp;"|"&amp;$B311,Corrupcion!$H$2:$H$377,0))="","",INDEX(Corrupcion!$F$2:$F$377,MATCH($A311&amp;"|"&amp;$B311,Corrupcion!$H$2:$H$377,0))),"")</f>
        <v/>
      </c>
      <c r="H311" s="17">
        <f>IFERROR(IF(INDEX(Corrupcion!$G$2:$G$377,MATCH($A311&amp;"|"&amp;$B311,Corrupcion!$H$2:$H$377,0))="","",INDEX(Corrupcion!$G$2:$G$377,MATCH($A311&amp;"|"&amp;$B311,Corrupcion!$H$2:$H$377,0))),"")</f>
        <v/>
      </c>
      <c r="I311" s="8">
        <f>IF(COUNTBLANK(C311:E311)+COUNTBLANK(F311)=0,1,0)</f>
        <v/>
      </c>
      <c r="J311" s="8">
        <f>IF(COUNTBLANK(C311:E311)+COUNTBLANK(G311)=0,1,0)</f>
        <v/>
      </c>
      <c r="K311" s="8">
        <f>IF(COUNTBLANK(C311:E311)+COUNTBLANK(H311)=0,1,0)</f>
        <v/>
      </c>
    </row>
    <row r="312">
      <c r="A312" s="8" t="inlineStr">
        <is>
          <t>Perú</t>
        </is>
      </c>
      <c r="B312" s="8" t="n">
        <v>2006</v>
      </c>
      <c r="C312" s="18">
        <f>IF(Categorias!C313="","",Categorias!C313)</f>
        <v/>
      </c>
      <c r="D312" s="18">
        <f>IF(Categorias!H313="","",Categorias!H313)</f>
        <v/>
      </c>
      <c r="E312" s="17">
        <f>IFERROR(IF(INDEX(Gini!$C$2:$C$377,MATCH($A312&amp;"|"&amp;$B312,Gini!$E$2:$E$377,0))="","",INDEX(Gini!$C$2:$C$377,MATCH($A312&amp;"|"&amp;$B312,Gini!$E$2:$E$377,0))),"")</f>
        <v/>
      </c>
      <c r="F312" s="19">
        <f>IFERROR(IF(INDEX(Corrupcion!$E$2:$E$377,MATCH($A312&amp;"|"&amp;$B312,Corrupcion!$H$2:$H$377,0))="","",INDEX(Corrupcion!$E$2:$E$377,MATCH($A312&amp;"|"&amp;$B312,Corrupcion!$H$2:$H$377,0))),"")</f>
        <v/>
      </c>
      <c r="G312" s="20">
        <f>IFERROR(IF(INDEX(Corrupcion!$F$2:$F$377,MATCH($A312&amp;"|"&amp;$B312,Corrupcion!$H$2:$H$377,0))="","",INDEX(Corrupcion!$F$2:$F$377,MATCH($A312&amp;"|"&amp;$B312,Corrupcion!$H$2:$H$377,0))),"")</f>
        <v/>
      </c>
      <c r="H312" s="17">
        <f>IFERROR(IF(INDEX(Corrupcion!$G$2:$G$377,MATCH($A312&amp;"|"&amp;$B312,Corrupcion!$H$2:$H$377,0))="","",INDEX(Corrupcion!$G$2:$G$377,MATCH($A312&amp;"|"&amp;$B312,Corrupcion!$H$2:$H$377,0))),"")</f>
        <v/>
      </c>
      <c r="I312" s="8">
        <f>IF(COUNTBLANK(C312:E312)+COUNTBLANK(F312)=0,1,0)</f>
        <v/>
      </c>
      <c r="J312" s="8">
        <f>IF(COUNTBLANK(C312:E312)+COUNTBLANK(G312)=0,1,0)</f>
        <v/>
      </c>
      <c r="K312" s="8">
        <f>IF(COUNTBLANK(C312:E312)+COUNTBLANK(H312)=0,1,0)</f>
        <v/>
      </c>
    </row>
    <row r="313">
      <c r="A313" s="8" t="inlineStr">
        <is>
          <t>Perú</t>
        </is>
      </c>
      <c r="B313" s="8" t="n">
        <v>2007</v>
      </c>
      <c r="C313" s="18">
        <f>IF(Categorias!C314="","",Categorias!C314)</f>
        <v/>
      </c>
      <c r="D313" s="18">
        <f>IF(Categorias!H314="","",Categorias!H314)</f>
        <v/>
      </c>
      <c r="E313" s="17">
        <f>IFERROR(IF(INDEX(Gini!$C$2:$C$377,MATCH($A313&amp;"|"&amp;$B313,Gini!$E$2:$E$377,0))="","",INDEX(Gini!$C$2:$C$377,MATCH($A313&amp;"|"&amp;$B313,Gini!$E$2:$E$377,0))),"")</f>
        <v/>
      </c>
      <c r="F313" s="19">
        <f>IFERROR(IF(INDEX(Corrupcion!$E$2:$E$377,MATCH($A313&amp;"|"&amp;$B313,Corrupcion!$H$2:$H$377,0))="","",INDEX(Corrupcion!$E$2:$E$377,MATCH($A313&amp;"|"&amp;$B313,Corrupcion!$H$2:$H$377,0))),"")</f>
        <v/>
      </c>
      <c r="G313" s="20">
        <f>IFERROR(IF(INDEX(Corrupcion!$F$2:$F$377,MATCH($A313&amp;"|"&amp;$B313,Corrupcion!$H$2:$H$377,0))="","",INDEX(Corrupcion!$F$2:$F$377,MATCH($A313&amp;"|"&amp;$B313,Corrupcion!$H$2:$H$377,0))),"")</f>
        <v/>
      </c>
      <c r="H313" s="17">
        <f>IFERROR(IF(INDEX(Corrupcion!$G$2:$G$377,MATCH($A313&amp;"|"&amp;$B313,Corrupcion!$H$2:$H$377,0))="","",INDEX(Corrupcion!$G$2:$G$377,MATCH($A313&amp;"|"&amp;$B313,Corrupcion!$H$2:$H$377,0))),"")</f>
        <v/>
      </c>
      <c r="I313" s="8">
        <f>IF(COUNTBLANK(C313:E313)+COUNTBLANK(F313)=0,1,0)</f>
        <v/>
      </c>
      <c r="J313" s="8">
        <f>IF(COUNTBLANK(C313:E313)+COUNTBLANK(G313)=0,1,0)</f>
        <v/>
      </c>
      <c r="K313" s="8">
        <f>IF(COUNTBLANK(C313:E313)+COUNTBLANK(H313)=0,1,0)</f>
        <v/>
      </c>
    </row>
    <row r="314">
      <c r="A314" s="8" t="inlineStr">
        <is>
          <t>Perú</t>
        </is>
      </c>
      <c r="B314" s="8" t="n">
        <v>2008</v>
      </c>
      <c r="C314" s="18">
        <f>IF(Categorias!C315="","",Categorias!C315)</f>
        <v/>
      </c>
      <c r="D314" s="18">
        <f>IF(Categorias!H315="","",Categorias!H315)</f>
        <v/>
      </c>
      <c r="E314" s="17">
        <f>IFERROR(IF(INDEX(Gini!$C$2:$C$377,MATCH($A314&amp;"|"&amp;$B314,Gini!$E$2:$E$377,0))="","",INDEX(Gini!$C$2:$C$377,MATCH($A314&amp;"|"&amp;$B314,Gini!$E$2:$E$377,0))),"")</f>
        <v/>
      </c>
      <c r="F314" s="19">
        <f>IFERROR(IF(INDEX(Corrupcion!$E$2:$E$377,MATCH($A314&amp;"|"&amp;$B314,Corrupcion!$H$2:$H$377,0))="","",INDEX(Corrupcion!$E$2:$E$377,MATCH($A314&amp;"|"&amp;$B314,Corrupcion!$H$2:$H$377,0))),"")</f>
        <v/>
      </c>
      <c r="G314" s="20">
        <f>IFERROR(IF(INDEX(Corrupcion!$F$2:$F$377,MATCH($A314&amp;"|"&amp;$B314,Corrupcion!$H$2:$H$377,0))="","",INDEX(Corrupcion!$F$2:$F$377,MATCH($A314&amp;"|"&amp;$B314,Corrupcion!$H$2:$H$377,0))),"")</f>
        <v/>
      </c>
      <c r="H314" s="17">
        <f>IFERROR(IF(INDEX(Corrupcion!$G$2:$G$377,MATCH($A314&amp;"|"&amp;$B314,Corrupcion!$H$2:$H$377,0))="","",INDEX(Corrupcion!$G$2:$G$377,MATCH($A314&amp;"|"&amp;$B314,Corrupcion!$H$2:$H$377,0))),"")</f>
        <v/>
      </c>
      <c r="I314" s="8">
        <f>IF(COUNTBLANK(C314:E314)+COUNTBLANK(F314)=0,1,0)</f>
        <v/>
      </c>
      <c r="J314" s="8">
        <f>IF(COUNTBLANK(C314:E314)+COUNTBLANK(G314)=0,1,0)</f>
        <v/>
      </c>
      <c r="K314" s="8">
        <f>IF(COUNTBLANK(C314:E314)+COUNTBLANK(H314)=0,1,0)</f>
        <v/>
      </c>
    </row>
    <row r="315">
      <c r="A315" s="8" t="inlineStr">
        <is>
          <t>Perú</t>
        </is>
      </c>
      <c r="B315" s="8" t="n">
        <v>2009</v>
      </c>
      <c r="C315" s="18">
        <f>IF(Categorias!C316="","",Categorias!C316)</f>
        <v/>
      </c>
      <c r="D315" s="18">
        <f>IF(Categorias!H316="","",Categorias!H316)</f>
        <v/>
      </c>
      <c r="E315" s="17">
        <f>IFERROR(IF(INDEX(Gini!$C$2:$C$377,MATCH($A315&amp;"|"&amp;$B315,Gini!$E$2:$E$377,0))="","",INDEX(Gini!$C$2:$C$377,MATCH($A315&amp;"|"&amp;$B315,Gini!$E$2:$E$377,0))),"")</f>
        <v/>
      </c>
      <c r="F315" s="19">
        <f>IFERROR(IF(INDEX(Corrupcion!$E$2:$E$377,MATCH($A315&amp;"|"&amp;$B315,Corrupcion!$H$2:$H$377,0))="","",INDEX(Corrupcion!$E$2:$E$377,MATCH($A315&amp;"|"&amp;$B315,Corrupcion!$H$2:$H$377,0))),"")</f>
        <v/>
      </c>
      <c r="G315" s="20">
        <f>IFERROR(IF(INDEX(Corrupcion!$F$2:$F$377,MATCH($A315&amp;"|"&amp;$B315,Corrupcion!$H$2:$H$377,0))="","",INDEX(Corrupcion!$F$2:$F$377,MATCH($A315&amp;"|"&amp;$B315,Corrupcion!$H$2:$H$377,0))),"")</f>
        <v/>
      </c>
      <c r="H315" s="17">
        <f>IFERROR(IF(INDEX(Corrupcion!$G$2:$G$377,MATCH($A315&amp;"|"&amp;$B315,Corrupcion!$H$2:$H$377,0))="","",INDEX(Corrupcion!$G$2:$G$377,MATCH($A315&amp;"|"&amp;$B315,Corrupcion!$H$2:$H$377,0))),"")</f>
        <v/>
      </c>
      <c r="I315" s="8">
        <f>IF(COUNTBLANK(C315:E315)+COUNTBLANK(F315)=0,1,0)</f>
        <v/>
      </c>
      <c r="J315" s="8">
        <f>IF(COUNTBLANK(C315:E315)+COUNTBLANK(G315)=0,1,0)</f>
        <v/>
      </c>
      <c r="K315" s="8">
        <f>IF(COUNTBLANK(C315:E315)+COUNTBLANK(H315)=0,1,0)</f>
        <v/>
      </c>
    </row>
    <row r="316">
      <c r="A316" s="8" t="inlineStr">
        <is>
          <t>Perú</t>
        </is>
      </c>
      <c r="B316" s="8" t="n">
        <v>2010</v>
      </c>
      <c r="C316" s="18">
        <f>IF(Categorias!C317="","",Categorias!C317)</f>
        <v/>
      </c>
      <c r="D316" s="18">
        <f>IF(Categorias!H317="","",Categorias!H317)</f>
        <v/>
      </c>
      <c r="E316" s="17">
        <f>IFERROR(IF(INDEX(Gini!$C$2:$C$377,MATCH($A316&amp;"|"&amp;$B316,Gini!$E$2:$E$377,0))="","",INDEX(Gini!$C$2:$C$377,MATCH($A316&amp;"|"&amp;$B316,Gini!$E$2:$E$377,0))),"")</f>
        <v/>
      </c>
      <c r="F316" s="19">
        <f>IFERROR(IF(INDEX(Corrupcion!$E$2:$E$377,MATCH($A316&amp;"|"&amp;$B316,Corrupcion!$H$2:$H$377,0))="","",INDEX(Corrupcion!$E$2:$E$377,MATCH($A316&amp;"|"&amp;$B316,Corrupcion!$H$2:$H$377,0))),"")</f>
        <v/>
      </c>
      <c r="G316" s="20">
        <f>IFERROR(IF(INDEX(Corrupcion!$F$2:$F$377,MATCH($A316&amp;"|"&amp;$B316,Corrupcion!$H$2:$H$377,0))="","",INDEX(Corrupcion!$F$2:$F$377,MATCH($A316&amp;"|"&amp;$B316,Corrupcion!$H$2:$H$377,0))),"")</f>
        <v/>
      </c>
      <c r="H316" s="17">
        <f>IFERROR(IF(INDEX(Corrupcion!$G$2:$G$377,MATCH($A316&amp;"|"&amp;$B316,Corrupcion!$H$2:$H$377,0))="","",INDEX(Corrupcion!$G$2:$G$377,MATCH($A316&amp;"|"&amp;$B316,Corrupcion!$H$2:$H$377,0))),"")</f>
        <v/>
      </c>
      <c r="I316" s="8">
        <f>IF(COUNTBLANK(C316:E316)+COUNTBLANK(F316)=0,1,0)</f>
        <v/>
      </c>
      <c r="J316" s="8">
        <f>IF(COUNTBLANK(C316:E316)+COUNTBLANK(G316)=0,1,0)</f>
        <v/>
      </c>
      <c r="K316" s="8">
        <f>IF(COUNTBLANK(C316:E316)+COUNTBLANK(H316)=0,1,0)</f>
        <v/>
      </c>
    </row>
    <row r="317">
      <c r="A317" s="8" t="inlineStr">
        <is>
          <t>Perú</t>
        </is>
      </c>
      <c r="B317" s="8" t="n">
        <v>2011</v>
      </c>
      <c r="C317" s="18">
        <f>IF(Categorias!C318="","",Categorias!C318)</f>
        <v/>
      </c>
      <c r="D317" s="18">
        <f>IF(Categorias!H318="","",Categorias!H318)</f>
        <v/>
      </c>
      <c r="E317" s="17">
        <f>IFERROR(IF(INDEX(Gini!$C$2:$C$377,MATCH($A317&amp;"|"&amp;$B317,Gini!$E$2:$E$377,0))="","",INDEX(Gini!$C$2:$C$377,MATCH($A317&amp;"|"&amp;$B317,Gini!$E$2:$E$377,0))),"")</f>
        <v/>
      </c>
      <c r="F317" s="19">
        <f>IFERROR(IF(INDEX(Corrupcion!$E$2:$E$377,MATCH($A317&amp;"|"&amp;$B317,Corrupcion!$H$2:$H$377,0))="","",INDEX(Corrupcion!$E$2:$E$377,MATCH($A317&amp;"|"&amp;$B317,Corrupcion!$H$2:$H$377,0))),"")</f>
        <v/>
      </c>
      <c r="G317" s="20">
        <f>IFERROR(IF(INDEX(Corrupcion!$F$2:$F$377,MATCH($A317&amp;"|"&amp;$B317,Corrupcion!$H$2:$H$377,0))="","",INDEX(Corrupcion!$F$2:$F$377,MATCH($A317&amp;"|"&amp;$B317,Corrupcion!$H$2:$H$377,0))),"")</f>
        <v/>
      </c>
      <c r="H317" s="17">
        <f>IFERROR(IF(INDEX(Corrupcion!$G$2:$G$377,MATCH($A317&amp;"|"&amp;$B317,Corrupcion!$H$2:$H$377,0))="","",INDEX(Corrupcion!$G$2:$G$377,MATCH($A317&amp;"|"&amp;$B317,Corrupcion!$H$2:$H$377,0))),"")</f>
        <v/>
      </c>
      <c r="I317" s="8">
        <f>IF(COUNTBLANK(C317:E317)+COUNTBLANK(F317)=0,1,0)</f>
        <v/>
      </c>
      <c r="J317" s="8">
        <f>IF(COUNTBLANK(C317:E317)+COUNTBLANK(G317)=0,1,0)</f>
        <v/>
      </c>
      <c r="K317" s="8">
        <f>IF(COUNTBLANK(C317:E317)+COUNTBLANK(H317)=0,1,0)</f>
        <v/>
      </c>
    </row>
    <row r="318">
      <c r="A318" s="8" t="inlineStr">
        <is>
          <t>Perú</t>
        </is>
      </c>
      <c r="B318" s="8" t="n">
        <v>2015</v>
      </c>
      <c r="C318" s="18">
        <f>IF(Categorias!C319="","",Categorias!C319)</f>
        <v/>
      </c>
      <c r="D318" s="18">
        <f>IF(Categorias!H319="","",Categorias!H319)</f>
        <v/>
      </c>
      <c r="E318" s="17">
        <f>IFERROR(IF(INDEX(Gini!$C$2:$C$377,MATCH($A318&amp;"|"&amp;$B318,Gini!$E$2:$E$377,0))="","",INDEX(Gini!$C$2:$C$377,MATCH($A318&amp;"|"&amp;$B318,Gini!$E$2:$E$377,0))),"")</f>
        <v/>
      </c>
      <c r="F318" s="19">
        <f>IFERROR(IF(INDEX(Corrupcion!$E$2:$E$377,MATCH($A318&amp;"|"&amp;$B318,Corrupcion!$H$2:$H$377,0))="","",INDEX(Corrupcion!$E$2:$E$377,MATCH($A318&amp;"|"&amp;$B318,Corrupcion!$H$2:$H$377,0))),"")</f>
        <v/>
      </c>
      <c r="G318" s="20">
        <f>IFERROR(IF(INDEX(Corrupcion!$F$2:$F$377,MATCH($A318&amp;"|"&amp;$B318,Corrupcion!$H$2:$H$377,0))="","",INDEX(Corrupcion!$F$2:$F$377,MATCH($A318&amp;"|"&amp;$B318,Corrupcion!$H$2:$H$377,0))),"")</f>
        <v/>
      </c>
      <c r="H318" s="17">
        <f>IFERROR(IF(INDEX(Corrupcion!$G$2:$G$377,MATCH($A318&amp;"|"&amp;$B318,Corrupcion!$H$2:$H$377,0))="","",INDEX(Corrupcion!$G$2:$G$377,MATCH($A318&amp;"|"&amp;$B318,Corrupcion!$H$2:$H$377,0))),"")</f>
        <v/>
      </c>
      <c r="I318" s="8">
        <f>IF(COUNTBLANK(C318:E318)+COUNTBLANK(F318)=0,1,0)</f>
        <v/>
      </c>
      <c r="J318" s="8">
        <f>IF(COUNTBLANK(C318:E318)+COUNTBLANK(G318)=0,1,0)</f>
        <v/>
      </c>
      <c r="K318" s="8">
        <f>IF(COUNTBLANK(C318:E318)+COUNTBLANK(H318)=0,1,0)</f>
        <v/>
      </c>
    </row>
    <row r="319">
      <c r="A319" s="8" t="inlineStr">
        <is>
          <t>Perú</t>
        </is>
      </c>
      <c r="B319" s="8" t="n">
        <v>2016</v>
      </c>
      <c r="C319" s="18">
        <f>IF(Categorias!C320="","",Categorias!C320)</f>
        <v/>
      </c>
      <c r="D319" s="18">
        <f>IF(Categorias!H320="","",Categorias!H320)</f>
        <v/>
      </c>
      <c r="E319" s="17">
        <f>IFERROR(IF(INDEX(Gini!$C$2:$C$377,MATCH($A319&amp;"|"&amp;$B319,Gini!$E$2:$E$377,0))="","",INDEX(Gini!$C$2:$C$377,MATCH($A319&amp;"|"&amp;$B319,Gini!$E$2:$E$377,0))),"")</f>
        <v/>
      </c>
      <c r="F319" s="19">
        <f>IFERROR(IF(INDEX(Corrupcion!$E$2:$E$377,MATCH($A319&amp;"|"&amp;$B319,Corrupcion!$H$2:$H$377,0))="","",INDEX(Corrupcion!$E$2:$E$377,MATCH($A319&amp;"|"&amp;$B319,Corrupcion!$H$2:$H$377,0))),"")</f>
        <v/>
      </c>
      <c r="G319" s="20">
        <f>IFERROR(IF(INDEX(Corrupcion!$F$2:$F$377,MATCH($A319&amp;"|"&amp;$B319,Corrupcion!$H$2:$H$377,0))="","",INDEX(Corrupcion!$F$2:$F$377,MATCH($A319&amp;"|"&amp;$B319,Corrupcion!$H$2:$H$377,0))),"")</f>
        <v/>
      </c>
      <c r="H319" s="17">
        <f>IFERROR(IF(INDEX(Corrupcion!$G$2:$G$377,MATCH($A319&amp;"|"&amp;$B319,Corrupcion!$H$2:$H$377,0))="","",INDEX(Corrupcion!$G$2:$G$377,MATCH($A319&amp;"|"&amp;$B319,Corrupcion!$H$2:$H$377,0))),"")</f>
        <v/>
      </c>
      <c r="I319" s="8">
        <f>IF(COUNTBLANK(C319:E319)+COUNTBLANK(F319)=0,1,0)</f>
        <v/>
      </c>
      <c r="J319" s="8">
        <f>IF(COUNTBLANK(C319:E319)+COUNTBLANK(G319)=0,1,0)</f>
        <v/>
      </c>
      <c r="K319" s="8">
        <f>IF(COUNTBLANK(C319:E319)+COUNTBLANK(H319)=0,1,0)</f>
        <v/>
      </c>
    </row>
    <row r="320">
      <c r="A320" s="8" t="inlineStr">
        <is>
          <t>Perú</t>
        </is>
      </c>
      <c r="B320" s="8" t="n">
        <v>2017</v>
      </c>
      <c r="C320" s="18">
        <f>IF(Categorias!C321="","",Categorias!C321)</f>
        <v/>
      </c>
      <c r="D320" s="18">
        <f>IF(Categorias!H321="","",Categorias!H321)</f>
        <v/>
      </c>
      <c r="E320" s="17">
        <f>IFERROR(IF(INDEX(Gini!$C$2:$C$377,MATCH($A320&amp;"|"&amp;$B320,Gini!$E$2:$E$377,0))="","",INDEX(Gini!$C$2:$C$377,MATCH($A320&amp;"|"&amp;$B320,Gini!$E$2:$E$377,0))),"")</f>
        <v/>
      </c>
      <c r="F320" s="19">
        <f>IFERROR(IF(INDEX(Corrupcion!$E$2:$E$377,MATCH($A320&amp;"|"&amp;$B320,Corrupcion!$H$2:$H$377,0))="","",INDEX(Corrupcion!$E$2:$E$377,MATCH($A320&amp;"|"&amp;$B320,Corrupcion!$H$2:$H$377,0))),"")</f>
        <v/>
      </c>
      <c r="G320" s="20">
        <f>IFERROR(IF(INDEX(Corrupcion!$F$2:$F$377,MATCH($A320&amp;"|"&amp;$B320,Corrupcion!$H$2:$H$377,0))="","",INDEX(Corrupcion!$F$2:$F$377,MATCH($A320&amp;"|"&amp;$B320,Corrupcion!$H$2:$H$377,0))),"")</f>
        <v/>
      </c>
      <c r="H320" s="17">
        <f>IFERROR(IF(INDEX(Corrupcion!$G$2:$G$377,MATCH($A320&amp;"|"&amp;$B320,Corrupcion!$H$2:$H$377,0))="","",INDEX(Corrupcion!$G$2:$G$377,MATCH($A320&amp;"|"&amp;$B320,Corrupcion!$H$2:$H$377,0))),"")</f>
        <v/>
      </c>
      <c r="I320" s="8">
        <f>IF(COUNTBLANK(C320:E320)+COUNTBLANK(F320)=0,1,0)</f>
        <v/>
      </c>
      <c r="J320" s="8">
        <f>IF(COUNTBLANK(C320:E320)+COUNTBLANK(G320)=0,1,0)</f>
        <v/>
      </c>
      <c r="K320" s="8">
        <f>IF(COUNTBLANK(C320:E320)+COUNTBLANK(H320)=0,1,0)</f>
        <v/>
      </c>
    </row>
    <row r="321">
      <c r="A321" s="8" t="inlineStr">
        <is>
          <t>Perú</t>
        </is>
      </c>
      <c r="B321" s="8" t="n">
        <v>2018</v>
      </c>
      <c r="C321" s="18">
        <f>IF(Categorias!C322="","",Categorias!C322)</f>
        <v/>
      </c>
      <c r="D321" s="18">
        <f>IF(Categorias!H322="","",Categorias!H322)</f>
        <v/>
      </c>
      <c r="E321" s="17">
        <f>IFERROR(IF(INDEX(Gini!$C$2:$C$377,MATCH($A321&amp;"|"&amp;$B321,Gini!$E$2:$E$377,0))="","",INDEX(Gini!$C$2:$C$377,MATCH($A321&amp;"|"&amp;$B321,Gini!$E$2:$E$377,0))),"")</f>
        <v/>
      </c>
      <c r="F321" s="19">
        <f>IFERROR(IF(INDEX(Corrupcion!$E$2:$E$377,MATCH($A321&amp;"|"&amp;$B321,Corrupcion!$H$2:$H$377,0))="","",INDEX(Corrupcion!$E$2:$E$377,MATCH($A321&amp;"|"&amp;$B321,Corrupcion!$H$2:$H$377,0))),"")</f>
        <v/>
      </c>
      <c r="G321" s="20">
        <f>IFERROR(IF(INDEX(Corrupcion!$F$2:$F$377,MATCH($A321&amp;"|"&amp;$B321,Corrupcion!$H$2:$H$377,0))="","",INDEX(Corrupcion!$F$2:$F$377,MATCH($A321&amp;"|"&amp;$B321,Corrupcion!$H$2:$H$377,0))),"")</f>
        <v/>
      </c>
      <c r="H321" s="17">
        <f>IFERROR(IF(INDEX(Corrupcion!$G$2:$G$377,MATCH($A321&amp;"|"&amp;$B321,Corrupcion!$H$2:$H$377,0))="","",INDEX(Corrupcion!$G$2:$G$377,MATCH($A321&amp;"|"&amp;$B321,Corrupcion!$H$2:$H$377,0))),"")</f>
        <v/>
      </c>
      <c r="I321" s="8">
        <f>IF(COUNTBLANK(C321:E321)+COUNTBLANK(F321)=0,1,0)</f>
        <v/>
      </c>
      <c r="J321" s="8">
        <f>IF(COUNTBLANK(C321:E321)+COUNTBLANK(G321)=0,1,0)</f>
        <v/>
      </c>
      <c r="K321" s="8">
        <f>IF(COUNTBLANK(C321:E321)+COUNTBLANK(H321)=0,1,0)</f>
        <v/>
      </c>
    </row>
    <row r="322">
      <c r="A322" s="8" t="inlineStr">
        <is>
          <t>Perú</t>
        </is>
      </c>
      <c r="B322" s="8" t="n">
        <v>2020</v>
      </c>
      <c r="C322" s="18">
        <f>IF(Categorias!C323="","",Categorias!C323)</f>
        <v/>
      </c>
      <c r="D322" s="18">
        <f>IF(Categorias!H323="","",Categorias!H323)</f>
        <v/>
      </c>
      <c r="E322" s="17">
        <f>IFERROR(IF(INDEX(Gini!$C$2:$C$377,MATCH($A322&amp;"|"&amp;$B322,Gini!$E$2:$E$377,0))="","",INDEX(Gini!$C$2:$C$377,MATCH($A322&amp;"|"&amp;$B322,Gini!$E$2:$E$377,0))),"")</f>
        <v/>
      </c>
      <c r="F322" s="19">
        <f>IFERROR(IF(INDEX(Corrupcion!$E$2:$E$377,MATCH($A322&amp;"|"&amp;$B322,Corrupcion!$H$2:$H$377,0))="","",INDEX(Corrupcion!$E$2:$E$377,MATCH($A322&amp;"|"&amp;$B322,Corrupcion!$H$2:$H$377,0))),"")</f>
        <v/>
      </c>
      <c r="G322" s="20">
        <f>IFERROR(IF(INDEX(Corrupcion!$F$2:$F$377,MATCH($A322&amp;"|"&amp;$B322,Corrupcion!$H$2:$H$377,0))="","",INDEX(Corrupcion!$F$2:$F$377,MATCH($A322&amp;"|"&amp;$B322,Corrupcion!$H$2:$H$377,0))),"")</f>
        <v/>
      </c>
      <c r="H322" s="17">
        <f>IFERROR(IF(INDEX(Corrupcion!$G$2:$G$377,MATCH($A322&amp;"|"&amp;$B322,Corrupcion!$H$2:$H$377,0))="","",INDEX(Corrupcion!$G$2:$G$377,MATCH($A322&amp;"|"&amp;$B322,Corrupcion!$H$2:$H$377,0))),"")</f>
        <v/>
      </c>
      <c r="I322" s="8">
        <f>IF(COUNTBLANK(C322:E322)+COUNTBLANK(F322)=0,1,0)</f>
        <v/>
      </c>
      <c r="J322" s="8">
        <f>IF(COUNTBLANK(C322:E322)+COUNTBLANK(G322)=0,1,0)</f>
        <v/>
      </c>
      <c r="K322" s="8">
        <f>IF(COUNTBLANK(C322:E322)+COUNTBLANK(H322)=0,1,0)</f>
        <v/>
      </c>
    </row>
    <row r="323">
      <c r="A323" s="8" t="inlineStr">
        <is>
          <t>Perú</t>
        </is>
      </c>
      <c r="B323" s="8" t="n">
        <v>2024</v>
      </c>
      <c r="C323" s="18">
        <f>IF(Categorias!C324="","",Categorias!C324)</f>
        <v/>
      </c>
      <c r="D323" s="18">
        <f>IF(Categorias!H324="","",Categorias!H324)</f>
        <v/>
      </c>
      <c r="E323" s="17">
        <f>IFERROR(IF(INDEX(Gini!$C$2:$C$377,MATCH($A323&amp;"|"&amp;$B323,Gini!$E$2:$E$377,0))="","",INDEX(Gini!$C$2:$C$377,MATCH($A323&amp;"|"&amp;$B323,Gini!$E$2:$E$377,0))),"")</f>
        <v/>
      </c>
      <c r="F323" s="19">
        <f>IFERROR(IF(INDEX(Corrupcion!$E$2:$E$377,MATCH($A323&amp;"|"&amp;$B323,Corrupcion!$H$2:$H$377,0))="","",INDEX(Corrupcion!$E$2:$E$377,MATCH($A323&amp;"|"&amp;$B323,Corrupcion!$H$2:$H$377,0))),"")</f>
        <v/>
      </c>
      <c r="G323" s="20">
        <f>IFERROR(IF(INDEX(Corrupcion!$F$2:$F$377,MATCH($A323&amp;"|"&amp;$B323,Corrupcion!$H$2:$H$377,0))="","",INDEX(Corrupcion!$F$2:$F$377,MATCH($A323&amp;"|"&amp;$B323,Corrupcion!$H$2:$H$377,0))),"")</f>
        <v/>
      </c>
      <c r="H323" s="17">
        <f>IFERROR(IF(INDEX(Corrupcion!$G$2:$G$377,MATCH($A323&amp;"|"&amp;$B323,Corrupcion!$H$2:$H$377,0))="","",INDEX(Corrupcion!$G$2:$G$377,MATCH($A323&amp;"|"&amp;$B323,Corrupcion!$H$2:$H$377,0))),"")</f>
        <v/>
      </c>
      <c r="I323" s="8">
        <f>IF(COUNTBLANK(C323:E323)+COUNTBLANK(F323)=0,1,0)</f>
        <v/>
      </c>
      <c r="J323" s="8">
        <f>IF(COUNTBLANK(C323:E323)+COUNTBLANK(G323)=0,1,0)</f>
        <v/>
      </c>
      <c r="K323" s="8">
        <f>IF(COUNTBLANK(C323:E323)+COUNTBLANK(H323)=0,1,0)</f>
        <v/>
      </c>
    </row>
    <row r="324">
      <c r="A324" s="8" t="inlineStr">
        <is>
          <t>España</t>
        </is>
      </c>
      <c r="B324" s="8" t="n">
        <v>1996</v>
      </c>
      <c r="C324" s="18">
        <f>IF(Categorias!C325="","",Categorias!C325)</f>
        <v/>
      </c>
      <c r="D324" s="18">
        <f>IF(Categorias!H325="","",Categorias!H325)</f>
        <v/>
      </c>
      <c r="E324" s="17">
        <f>IFERROR(IF(INDEX(Gini!$C$2:$C$377,MATCH($A324&amp;"|"&amp;$B324,Gini!$E$2:$E$377,0))="","",INDEX(Gini!$C$2:$C$377,MATCH($A324&amp;"|"&amp;$B324,Gini!$E$2:$E$377,0))),"")</f>
        <v/>
      </c>
      <c r="F324" s="19">
        <f>IFERROR(IF(INDEX(Corrupcion!$E$2:$E$377,MATCH($A324&amp;"|"&amp;$B324,Corrupcion!$H$2:$H$377,0))="","",INDEX(Corrupcion!$E$2:$E$377,MATCH($A324&amp;"|"&amp;$B324,Corrupcion!$H$2:$H$377,0))),"")</f>
        <v/>
      </c>
      <c r="G324" s="20">
        <f>IFERROR(IF(INDEX(Corrupcion!$F$2:$F$377,MATCH($A324&amp;"|"&amp;$B324,Corrupcion!$H$2:$H$377,0))="","",INDEX(Corrupcion!$F$2:$F$377,MATCH($A324&amp;"|"&amp;$B324,Corrupcion!$H$2:$H$377,0))),"")</f>
        <v/>
      </c>
      <c r="H324" s="17">
        <f>IFERROR(IF(INDEX(Corrupcion!$G$2:$G$377,MATCH($A324&amp;"|"&amp;$B324,Corrupcion!$H$2:$H$377,0))="","",INDEX(Corrupcion!$G$2:$G$377,MATCH($A324&amp;"|"&amp;$B324,Corrupcion!$H$2:$H$377,0))),"")</f>
        <v/>
      </c>
      <c r="I324" s="8">
        <f>IF(COUNTBLANK(C324:E324)+COUNTBLANK(F324)=0,1,0)</f>
        <v/>
      </c>
      <c r="J324" s="8">
        <f>IF(COUNTBLANK(C324:E324)+COUNTBLANK(G324)=0,1,0)</f>
        <v/>
      </c>
      <c r="K324" s="8">
        <f>IF(COUNTBLANK(C324:E324)+COUNTBLANK(H324)=0,1,0)</f>
        <v/>
      </c>
    </row>
    <row r="325">
      <c r="A325" s="8" t="inlineStr">
        <is>
          <t>España</t>
        </is>
      </c>
      <c r="B325" s="8" t="n">
        <v>1997</v>
      </c>
      <c r="C325" s="18">
        <f>IF(Categorias!C326="","",Categorias!C326)</f>
        <v/>
      </c>
      <c r="D325" s="18">
        <f>IF(Categorias!H326="","",Categorias!H326)</f>
        <v/>
      </c>
      <c r="E325" s="17">
        <f>IFERROR(IF(INDEX(Gini!$C$2:$C$377,MATCH($A325&amp;"|"&amp;$B325,Gini!$E$2:$E$377,0))="","",INDEX(Gini!$C$2:$C$377,MATCH($A325&amp;"|"&amp;$B325,Gini!$E$2:$E$377,0))),"")</f>
        <v/>
      </c>
      <c r="F325" s="19">
        <f>IFERROR(IF(INDEX(Corrupcion!$E$2:$E$377,MATCH($A325&amp;"|"&amp;$B325,Corrupcion!$H$2:$H$377,0))="","",INDEX(Corrupcion!$E$2:$E$377,MATCH($A325&amp;"|"&amp;$B325,Corrupcion!$H$2:$H$377,0))),"")</f>
        <v/>
      </c>
      <c r="G325" s="20">
        <f>IFERROR(IF(INDEX(Corrupcion!$F$2:$F$377,MATCH($A325&amp;"|"&amp;$B325,Corrupcion!$H$2:$H$377,0))="","",INDEX(Corrupcion!$F$2:$F$377,MATCH($A325&amp;"|"&amp;$B325,Corrupcion!$H$2:$H$377,0))),"")</f>
        <v/>
      </c>
      <c r="H325" s="17">
        <f>IFERROR(IF(INDEX(Corrupcion!$G$2:$G$377,MATCH($A325&amp;"|"&amp;$B325,Corrupcion!$H$2:$H$377,0))="","",INDEX(Corrupcion!$G$2:$G$377,MATCH($A325&amp;"|"&amp;$B325,Corrupcion!$H$2:$H$377,0))),"")</f>
        <v/>
      </c>
      <c r="I325" s="8">
        <f>IF(COUNTBLANK(C325:E325)+COUNTBLANK(F325)=0,1,0)</f>
        <v/>
      </c>
      <c r="J325" s="8">
        <f>IF(COUNTBLANK(C325:E325)+COUNTBLANK(G325)=0,1,0)</f>
        <v/>
      </c>
      <c r="K325" s="8">
        <f>IF(COUNTBLANK(C325:E325)+COUNTBLANK(H325)=0,1,0)</f>
        <v/>
      </c>
    </row>
    <row r="326">
      <c r="A326" s="8" t="inlineStr">
        <is>
          <t>España</t>
        </is>
      </c>
      <c r="B326" s="8" t="n">
        <v>1998</v>
      </c>
      <c r="C326" s="18">
        <f>IF(Categorias!C327="","",Categorias!C327)</f>
        <v/>
      </c>
      <c r="D326" s="18">
        <f>IF(Categorias!H327="","",Categorias!H327)</f>
        <v/>
      </c>
      <c r="E326" s="17">
        <f>IFERROR(IF(INDEX(Gini!$C$2:$C$377,MATCH($A326&amp;"|"&amp;$B326,Gini!$E$2:$E$377,0))="","",INDEX(Gini!$C$2:$C$377,MATCH($A326&amp;"|"&amp;$B326,Gini!$E$2:$E$377,0))),"")</f>
        <v/>
      </c>
      <c r="F326" s="19">
        <f>IFERROR(IF(INDEX(Corrupcion!$E$2:$E$377,MATCH($A326&amp;"|"&amp;$B326,Corrupcion!$H$2:$H$377,0))="","",INDEX(Corrupcion!$E$2:$E$377,MATCH($A326&amp;"|"&amp;$B326,Corrupcion!$H$2:$H$377,0))),"")</f>
        <v/>
      </c>
      <c r="G326" s="20">
        <f>IFERROR(IF(INDEX(Corrupcion!$F$2:$F$377,MATCH($A326&amp;"|"&amp;$B326,Corrupcion!$H$2:$H$377,0))="","",INDEX(Corrupcion!$F$2:$F$377,MATCH($A326&amp;"|"&amp;$B326,Corrupcion!$H$2:$H$377,0))),"")</f>
        <v/>
      </c>
      <c r="H326" s="17">
        <f>IFERROR(IF(INDEX(Corrupcion!$G$2:$G$377,MATCH($A326&amp;"|"&amp;$B326,Corrupcion!$H$2:$H$377,0))="","",INDEX(Corrupcion!$G$2:$G$377,MATCH($A326&amp;"|"&amp;$B326,Corrupcion!$H$2:$H$377,0))),"")</f>
        <v/>
      </c>
      <c r="I326" s="8">
        <f>IF(COUNTBLANK(C326:E326)+COUNTBLANK(F326)=0,1,0)</f>
        <v/>
      </c>
      <c r="J326" s="8">
        <f>IF(COUNTBLANK(C326:E326)+COUNTBLANK(G326)=0,1,0)</f>
        <v/>
      </c>
      <c r="K326" s="8">
        <f>IF(COUNTBLANK(C326:E326)+COUNTBLANK(H326)=0,1,0)</f>
        <v/>
      </c>
    </row>
    <row r="327">
      <c r="A327" s="8" t="inlineStr">
        <is>
          <t>España</t>
        </is>
      </c>
      <c r="B327" s="8" t="n">
        <v>2001</v>
      </c>
      <c r="C327" s="18">
        <f>IF(Categorias!C328="","",Categorias!C328)</f>
        <v/>
      </c>
      <c r="D327" s="18">
        <f>IF(Categorias!H328="","",Categorias!H328)</f>
        <v/>
      </c>
      <c r="E327" s="17">
        <f>IFERROR(IF(INDEX(Gini!$C$2:$C$377,MATCH($A327&amp;"|"&amp;$B327,Gini!$E$2:$E$377,0))="","",INDEX(Gini!$C$2:$C$377,MATCH($A327&amp;"|"&amp;$B327,Gini!$E$2:$E$377,0))),"")</f>
        <v/>
      </c>
      <c r="F327" s="19">
        <f>IFERROR(IF(INDEX(Corrupcion!$E$2:$E$377,MATCH($A327&amp;"|"&amp;$B327,Corrupcion!$H$2:$H$377,0))="","",INDEX(Corrupcion!$E$2:$E$377,MATCH($A327&amp;"|"&amp;$B327,Corrupcion!$H$2:$H$377,0))),"")</f>
        <v/>
      </c>
      <c r="G327" s="20">
        <f>IFERROR(IF(INDEX(Corrupcion!$F$2:$F$377,MATCH($A327&amp;"|"&amp;$B327,Corrupcion!$H$2:$H$377,0))="","",INDEX(Corrupcion!$F$2:$F$377,MATCH($A327&amp;"|"&amp;$B327,Corrupcion!$H$2:$H$377,0))),"")</f>
        <v/>
      </c>
      <c r="H327" s="17">
        <f>IFERROR(IF(INDEX(Corrupcion!$G$2:$G$377,MATCH($A327&amp;"|"&amp;$B327,Corrupcion!$H$2:$H$377,0))="","",INDEX(Corrupcion!$G$2:$G$377,MATCH($A327&amp;"|"&amp;$B327,Corrupcion!$H$2:$H$377,0))),"")</f>
        <v/>
      </c>
      <c r="I327" s="8">
        <f>IF(COUNTBLANK(C327:E327)+COUNTBLANK(F327)=0,1,0)</f>
        <v/>
      </c>
      <c r="J327" s="8">
        <f>IF(COUNTBLANK(C327:E327)+COUNTBLANK(G327)=0,1,0)</f>
        <v/>
      </c>
      <c r="K327" s="8">
        <f>IF(COUNTBLANK(C327:E327)+COUNTBLANK(H327)=0,1,0)</f>
        <v/>
      </c>
    </row>
    <row r="328">
      <c r="A328" s="8" t="inlineStr">
        <is>
          <t>España</t>
        </is>
      </c>
      <c r="B328" s="8" t="n">
        <v>2002</v>
      </c>
      <c r="C328" s="18">
        <f>IF(Categorias!C329="","",Categorias!C329)</f>
        <v/>
      </c>
      <c r="D328" s="18">
        <f>IF(Categorias!H329="","",Categorias!H329)</f>
        <v/>
      </c>
      <c r="E328" s="17">
        <f>IFERROR(IF(INDEX(Gini!$C$2:$C$377,MATCH($A328&amp;"|"&amp;$B328,Gini!$E$2:$E$377,0))="","",INDEX(Gini!$C$2:$C$377,MATCH($A328&amp;"|"&amp;$B328,Gini!$E$2:$E$377,0))),"")</f>
        <v/>
      </c>
      <c r="F328" s="19">
        <f>IFERROR(IF(INDEX(Corrupcion!$E$2:$E$377,MATCH($A328&amp;"|"&amp;$B328,Corrupcion!$H$2:$H$377,0))="","",INDEX(Corrupcion!$E$2:$E$377,MATCH($A328&amp;"|"&amp;$B328,Corrupcion!$H$2:$H$377,0))),"")</f>
        <v/>
      </c>
      <c r="G328" s="20">
        <f>IFERROR(IF(INDEX(Corrupcion!$F$2:$F$377,MATCH($A328&amp;"|"&amp;$B328,Corrupcion!$H$2:$H$377,0))="","",INDEX(Corrupcion!$F$2:$F$377,MATCH($A328&amp;"|"&amp;$B328,Corrupcion!$H$2:$H$377,0))),"")</f>
        <v/>
      </c>
      <c r="H328" s="17">
        <f>IFERROR(IF(INDEX(Corrupcion!$G$2:$G$377,MATCH($A328&amp;"|"&amp;$B328,Corrupcion!$H$2:$H$377,0))="","",INDEX(Corrupcion!$G$2:$G$377,MATCH($A328&amp;"|"&amp;$B328,Corrupcion!$H$2:$H$377,0))),"")</f>
        <v/>
      </c>
      <c r="I328" s="8">
        <f>IF(COUNTBLANK(C328:E328)+COUNTBLANK(F328)=0,1,0)</f>
        <v/>
      </c>
      <c r="J328" s="8">
        <f>IF(COUNTBLANK(C328:E328)+COUNTBLANK(G328)=0,1,0)</f>
        <v/>
      </c>
      <c r="K328" s="8">
        <f>IF(COUNTBLANK(C328:E328)+COUNTBLANK(H328)=0,1,0)</f>
        <v/>
      </c>
    </row>
    <row r="329">
      <c r="A329" s="8" t="inlineStr">
        <is>
          <t>España</t>
        </is>
      </c>
      <c r="B329" s="8" t="n">
        <v>2003</v>
      </c>
      <c r="C329" s="18">
        <f>IF(Categorias!C330="","",Categorias!C330)</f>
        <v/>
      </c>
      <c r="D329" s="18">
        <f>IF(Categorias!H330="","",Categorias!H330)</f>
        <v/>
      </c>
      <c r="E329" s="17">
        <f>IFERROR(IF(INDEX(Gini!$C$2:$C$377,MATCH($A329&amp;"|"&amp;$B329,Gini!$E$2:$E$377,0))="","",INDEX(Gini!$C$2:$C$377,MATCH($A329&amp;"|"&amp;$B329,Gini!$E$2:$E$377,0))),"")</f>
        <v/>
      </c>
      <c r="F329" s="19">
        <f>IFERROR(IF(INDEX(Corrupcion!$E$2:$E$377,MATCH($A329&amp;"|"&amp;$B329,Corrupcion!$H$2:$H$377,0))="","",INDEX(Corrupcion!$E$2:$E$377,MATCH($A329&amp;"|"&amp;$B329,Corrupcion!$H$2:$H$377,0))),"")</f>
        <v/>
      </c>
      <c r="G329" s="20">
        <f>IFERROR(IF(INDEX(Corrupcion!$F$2:$F$377,MATCH($A329&amp;"|"&amp;$B329,Corrupcion!$H$2:$H$377,0))="","",INDEX(Corrupcion!$F$2:$F$377,MATCH($A329&amp;"|"&amp;$B329,Corrupcion!$H$2:$H$377,0))),"")</f>
        <v/>
      </c>
      <c r="H329" s="17">
        <f>IFERROR(IF(INDEX(Corrupcion!$G$2:$G$377,MATCH($A329&amp;"|"&amp;$B329,Corrupcion!$H$2:$H$377,0))="","",INDEX(Corrupcion!$G$2:$G$377,MATCH($A329&amp;"|"&amp;$B329,Corrupcion!$H$2:$H$377,0))),"")</f>
        <v/>
      </c>
      <c r="I329" s="8">
        <f>IF(COUNTBLANK(C329:E329)+COUNTBLANK(F329)=0,1,0)</f>
        <v/>
      </c>
      <c r="J329" s="8">
        <f>IF(COUNTBLANK(C329:E329)+COUNTBLANK(G329)=0,1,0)</f>
        <v/>
      </c>
      <c r="K329" s="8">
        <f>IF(COUNTBLANK(C329:E329)+COUNTBLANK(H329)=0,1,0)</f>
        <v/>
      </c>
    </row>
    <row r="330">
      <c r="A330" s="8" t="inlineStr">
        <is>
          <t>España</t>
        </is>
      </c>
      <c r="B330" s="8" t="n">
        <v>2004</v>
      </c>
      <c r="C330" s="18">
        <f>IF(Categorias!C331="","",Categorias!C331)</f>
        <v/>
      </c>
      <c r="D330" s="18">
        <f>IF(Categorias!H331="","",Categorias!H331)</f>
        <v/>
      </c>
      <c r="E330" s="17">
        <f>IFERROR(IF(INDEX(Gini!$C$2:$C$377,MATCH($A330&amp;"|"&amp;$B330,Gini!$E$2:$E$377,0))="","",INDEX(Gini!$C$2:$C$377,MATCH($A330&amp;"|"&amp;$B330,Gini!$E$2:$E$377,0))),"")</f>
        <v/>
      </c>
      <c r="F330" s="19">
        <f>IFERROR(IF(INDEX(Corrupcion!$E$2:$E$377,MATCH($A330&amp;"|"&amp;$B330,Corrupcion!$H$2:$H$377,0))="","",INDEX(Corrupcion!$E$2:$E$377,MATCH($A330&amp;"|"&amp;$B330,Corrupcion!$H$2:$H$377,0))),"")</f>
        <v/>
      </c>
      <c r="G330" s="20">
        <f>IFERROR(IF(INDEX(Corrupcion!$F$2:$F$377,MATCH($A330&amp;"|"&amp;$B330,Corrupcion!$H$2:$H$377,0))="","",INDEX(Corrupcion!$F$2:$F$377,MATCH($A330&amp;"|"&amp;$B330,Corrupcion!$H$2:$H$377,0))),"")</f>
        <v/>
      </c>
      <c r="H330" s="17">
        <f>IFERROR(IF(INDEX(Corrupcion!$G$2:$G$377,MATCH($A330&amp;"|"&amp;$B330,Corrupcion!$H$2:$H$377,0))="","",INDEX(Corrupcion!$G$2:$G$377,MATCH($A330&amp;"|"&amp;$B330,Corrupcion!$H$2:$H$377,0))),"")</f>
        <v/>
      </c>
      <c r="I330" s="8">
        <f>IF(COUNTBLANK(C330:E330)+COUNTBLANK(F330)=0,1,0)</f>
        <v/>
      </c>
      <c r="J330" s="8">
        <f>IF(COUNTBLANK(C330:E330)+COUNTBLANK(G330)=0,1,0)</f>
        <v/>
      </c>
      <c r="K330" s="8">
        <f>IF(COUNTBLANK(C330:E330)+COUNTBLANK(H330)=0,1,0)</f>
        <v/>
      </c>
    </row>
    <row r="331">
      <c r="A331" s="8" t="inlineStr">
        <is>
          <t>España</t>
        </is>
      </c>
      <c r="B331" s="8" t="n">
        <v>2006</v>
      </c>
      <c r="C331" s="18">
        <f>IF(Categorias!C332="","",Categorias!C332)</f>
        <v/>
      </c>
      <c r="D331" s="18">
        <f>IF(Categorias!H332="","",Categorias!H332)</f>
        <v/>
      </c>
      <c r="E331" s="17">
        <f>IFERROR(IF(INDEX(Gini!$C$2:$C$377,MATCH($A331&amp;"|"&amp;$B331,Gini!$E$2:$E$377,0))="","",INDEX(Gini!$C$2:$C$377,MATCH($A331&amp;"|"&amp;$B331,Gini!$E$2:$E$377,0))),"")</f>
        <v/>
      </c>
      <c r="F331" s="19">
        <f>IFERROR(IF(INDEX(Corrupcion!$E$2:$E$377,MATCH($A331&amp;"|"&amp;$B331,Corrupcion!$H$2:$H$377,0))="","",INDEX(Corrupcion!$E$2:$E$377,MATCH($A331&amp;"|"&amp;$B331,Corrupcion!$H$2:$H$377,0))),"")</f>
        <v/>
      </c>
      <c r="G331" s="20">
        <f>IFERROR(IF(INDEX(Corrupcion!$F$2:$F$377,MATCH($A331&amp;"|"&amp;$B331,Corrupcion!$H$2:$H$377,0))="","",INDEX(Corrupcion!$F$2:$F$377,MATCH($A331&amp;"|"&amp;$B331,Corrupcion!$H$2:$H$377,0))),"")</f>
        <v/>
      </c>
      <c r="H331" s="17">
        <f>IFERROR(IF(INDEX(Corrupcion!$G$2:$G$377,MATCH($A331&amp;"|"&amp;$B331,Corrupcion!$H$2:$H$377,0))="","",INDEX(Corrupcion!$G$2:$G$377,MATCH($A331&amp;"|"&amp;$B331,Corrupcion!$H$2:$H$377,0))),"")</f>
        <v/>
      </c>
      <c r="I331" s="8">
        <f>IF(COUNTBLANK(C331:E331)+COUNTBLANK(F331)=0,1,0)</f>
        <v/>
      </c>
      <c r="J331" s="8">
        <f>IF(COUNTBLANK(C331:E331)+COUNTBLANK(G331)=0,1,0)</f>
        <v/>
      </c>
      <c r="K331" s="8">
        <f>IF(COUNTBLANK(C331:E331)+COUNTBLANK(H331)=0,1,0)</f>
        <v/>
      </c>
    </row>
    <row r="332">
      <c r="A332" s="8" t="inlineStr">
        <is>
          <t>España</t>
        </is>
      </c>
      <c r="B332" s="8" t="n">
        <v>2007</v>
      </c>
      <c r="C332" s="18">
        <f>IF(Categorias!C333="","",Categorias!C333)</f>
        <v/>
      </c>
      <c r="D332" s="18">
        <f>IF(Categorias!H333="","",Categorias!H333)</f>
        <v/>
      </c>
      <c r="E332" s="17">
        <f>IFERROR(IF(INDEX(Gini!$C$2:$C$377,MATCH($A332&amp;"|"&amp;$B332,Gini!$E$2:$E$377,0))="","",INDEX(Gini!$C$2:$C$377,MATCH($A332&amp;"|"&amp;$B332,Gini!$E$2:$E$377,0))),"")</f>
        <v/>
      </c>
      <c r="F332" s="19">
        <f>IFERROR(IF(INDEX(Corrupcion!$E$2:$E$377,MATCH($A332&amp;"|"&amp;$B332,Corrupcion!$H$2:$H$377,0))="","",INDEX(Corrupcion!$E$2:$E$377,MATCH($A332&amp;"|"&amp;$B332,Corrupcion!$H$2:$H$377,0))),"")</f>
        <v/>
      </c>
      <c r="G332" s="20">
        <f>IFERROR(IF(INDEX(Corrupcion!$F$2:$F$377,MATCH($A332&amp;"|"&amp;$B332,Corrupcion!$H$2:$H$377,0))="","",INDEX(Corrupcion!$F$2:$F$377,MATCH($A332&amp;"|"&amp;$B332,Corrupcion!$H$2:$H$377,0))),"")</f>
        <v/>
      </c>
      <c r="H332" s="17">
        <f>IFERROR(IF(INDEX(Corrupcion!$G$2:$G$377,MATCH($A332&amp;"|"&amp;$B332,Corrupcion!$H$2:$H$377,0))="","",INDEX(Corrupcion!$G$2:$G$377,MATCH($A332&amp;"|"&amp;$B332,Corrupcion!$H$2:$H$377,0))),"")</f>
        <v/>
      </c>
      <c r="I332" s="8">
        <f>IF(COUNTBLANK(C332:E332)+COUNTBLANK(F332)=0,1,0)</f>
        <v/>
      </c>
      <c r="J332" s="8">
        <f>IF(COUNTBLANK(C332:E332)+COUNTBLANK(G332)=0,1,0)</f>
        <v/>
      </c>
      <c r="K332" s="8">
        <f>IF(COUNTBLANK(C332:E332)+COUNTBLANK(H332)=0,1,0)</f>
        <v/>
      </c>
    </row>
    <row r="333">
      <c r="A333" s="8" t="inlineStr">
        <is>
          <t>España</t>
        </is>
      </c>
      <c r="B333" s="8" t="n">
        <v>2008</v>
      </c>
      <c r="C333" s="18">
        <f>IF(Categorias!C334="","",Categorias!C334)</f>
        <v/>
      </c>
      <c r="D333" s="18">
        <f>IF(Categorias!H334="","",Categorias!H334)</f>
        <v/>
      </c>
      <c r="E333" s="17">
        <f>IFERROR(IF(INDEX(Gini!$C$2:$C$377,MATCH($A333&amp;"|"&amp;$B333,Gini!$E$2:$E$377,0))="","",INDEX(Gini!$C$2:$C$377,MATCH($A333&amp;"|"&amp;$B333,Gini!$E$2:$E$377,0))),"")</f>
        <v/>
      </c>
      <c r="F333" s="19">
        <f>IFERROR(IF(INDEX(Corrupcion!$E$2:$E$377,MATCH($A333&amp;"|"&amp;$B333,Corrupcion!$H$2:$H$377,0))="","",INDEX(Corrupcion!$E$2:$E$377,MATCH($A333&amp;"|"&amp;$B333,Corrupcion!$H$2:$H$377,0))),"")</f>
        <v/>
      </c>
      <c r="G333" s="20">
        <f>IFERROR(IF(INDEX(Corrupcion!$F$2:$F$377,MATCH($A333&amp;"|"&amp;$B333,Corrupcion!$H$2:$H$377,0))="","",INDEX(Corrupcion!$F$2:$F$377,MATCH($A333&amp;"|"&amp;$B333,Corrupcion!$H$2:$H$377,0))),"")</f>
        <v/>
      </c>
      <c r="H333" s="17">
        <f>IFERROR(IF(INDEX(Corrupcion!$G$2:$G$377,MATCH($A333&amp;"|"&amp;$B333,Corrupcion!$H$2:$H$377,0))="","",INDEX(Corrupcion!$G$2:$G$377,MATCH($A333&amp;"|"&amp;$B333,Corrupcion!$H$2:$H$377,0))),"")</f>
        <v/>
      </c>
      <c r="I333" s="8">
        <f>IF(COUNTBLANK(C333:E333)+COUNTBLANK(F333)=0,1,0)</f>
        <v/>
      </c>
      <c r="J333" s="8">
        <f>IF(COUNTBLANK(C333:E333)+COUNTBLANK(G333)=0,1,0)</f>
        <v/>
      </c>
      <c r="K333" s="8">
        <f>IF(COUNTBLANK(C333:E333)+COUNTBLANK(H333)=0,1,0)</f>
        <v/>
      </c>
    </row>
    <row r="334">
      <c r="A334" s="8" t="inlineStr">
        <is>
          <t>España</t>
        </is>
      </c>
      <c r="B334" s="8" t="n">
        <v>2009</v>
      </c>
      <c r="C334" s="18">
        <f>IF(Categorias!C335="","",Categorias!C335)</f>
        <v/>
      </c>
      <c r="D334" s="18">
        <f>IF(Categorias!H335="","",Categorias!H335)</f>
        <v/>
      </c>
      <c r="E334" s="17">
        <f>IFERROR(IF(INDEX(Gini!$C$2:$C$377,MATCH($A334&amp;"|"&amp;$B334,Gini!$E$2:$E$377,0))="","",INDEX(Gini!$C$2:$C$377,MATCH($A334&amp;"|"&amp;$B334,Gini!$E$2:$E$377,0))),"")</f>
        <v/>
      </c>
      <c r="F334" s="19">
        <f>IFERROR(IF(INDEX(Corrupcion!$E$2:$E$377,MATCH($A334&amp;"|"&amp;$B334,Corrupcion!$H$2:$H$377,0))="","",INDEX(Corrupcion!$E$2:$E$377,MATCH($A334&amp;"|"&amp;$B334,Corrupcion!$H$2:$H$377,0))),"")</f>
        <v/>
      </c>
      <c r="G334" s="20">
        <f>IFERROR(IF(INDEX(Corrupcion!$F$2:$F$377,MATCH($A334&amp;"|"&amp;$B334,Corrupcion!$H$2:$H$377,0))="","",INDEX(Corrupcion!$F$2:$F$377,MATCH($A334&amp;"|"&amp;$B334,Corrupcion!$H$2:$H$377,0))),"")</f>
        <v/>
      </c>
      <c r="H334" s="17">
        <f>IFERROR(IF(INDEX(Corrupcion!$G$2:$G$377,MATCH($A334&amp;"|"&amp;$B334,Corrupcion!$H$2:$H$377,0))="","",INDEX(Corrupcion!$G$2:$G$377,MATCH($A334&amp;"|"&amp;$B334,Corrupcion!$H$2:$H$377,0))),"")</f>
        <v/>
      </c>
      <c r="I334" s="8">
        <f>IF(COUNTBLANK(C334:E334)+COUNTBLANK(F334)=0,1,0)</f>
        <v/>
      </c>
      <c r="J334" s="8">
        <f>IF(COUNTBLANK(C334:E334)+COUNTBLANK(G334)=0,1,0)</f>
        <v/>
      </c>
      <c r="K334" s="8">
        <f>IF(COUNTBLANK(C334:E334)+COUNTBLANK(H334)=0,1,0)</f>
        <v/>
      </c>
    </row>
    <row r="335">
      <c r="A335" s="8" t="inlineStr">
        <is>
          <t>España</t>
        </is>
      </c>
      <c r="B335" s="8" t="n">
        <v>2010</v>
      </c>
      <c r="C335" s="18">
        <f>IF(Categorias!C336="","",Categorias!C336)</f>
        <v/>
      </c>
      <c r="D335" s="18">
        <f>IF(Categorias!H336="","",Categorias!H336)</f>
        <v/>
      </c>
      <c r="E335" s="17">
        <f>IFERROR(IF(INDEX(Gini!$C$2:$C$377,MATCH($A335&amp;"|"&amp;$B335,Gini!$E$2:$E$377,0))="","",INDEX(Gini!$C$2:$C$377,MATCH($A335&amp;"|"&amp;$B335,Gini!$E$2:$E$377,0))),"")</f>
        <v/>
      </c>
      <c r="F335" s="19">
        <f>IFERROR(IF(INDEX(Corrupcion!$E$2:$E$377,MATCH($A335&amp;"|"&amp;$B335,Corrupcion!$H$2:$H$377,0))="","",INDEX(Corrupcion!$E$2:$E$377,MATCH($A335&amp;"|"&amp;$B335,Corrupcion!$H$2:$H$377,0))),"")</f>
        <v/>
      </c>
      <c r="G335" s="20">
        <f>IFERROR(IF(INDEX(Corrupcion!$F$2:$F$377,MATCH($A335&amp;"|"&amp;$B335,Corrupcion!$H$2:$H$377,0))="","",INDEX(Corrupcion!$F$2:$F$377,MATCH($A335&amp;"|"&amp;$B335,Corrupcion!$H$2:$H$377,0))),"")</f>
        <v/>
      </c>
      <c r="H335" s="17">
        <f>IFERROR(IF(INDEX(Corrupcion!$G$2:$G$377,MATCH($A335&amp;"|"&amp;$B335,Corrupcion!$H$2:$H$377,0))="","",INDEX(Corrupcion!$G$2:$G$377,MATCH($A335&amp;"|"&amp;$B335,Corrupcion!$H$2:$H$377,0))),"")</f>
        <v/>
      </c>
      <c r="I335" s="8">
        <f>IF(COUNTBLANK(C335:E335)+COUNTBLANK(F335)=0,1,0)</f>
        <v/>
      </c>
      <c r="J335" s="8">
        <f>IF(COUNTBLANK(C335:E335)+COUNTBLANK(G335)=0,1,0)</f>
        <v/>
      </c>
      <c r="K335" s="8">
        <f>IF(COUNTBLANK(C335:E335)+COUNTBLANK(H335)=0,1,0)</f>
        <v/>
      </c>
    </row>
    <row r="336">
      <c r="A336" s="8" t="inlineStr">
        <is>
          <t>Uruguay</t>
        </is>
      </c>
      <c r="B336" s="8" t="n">
        <v>1995</v>
      </c>
      <c r="C336" s="18">
        <f>IF(Categorias!C337="","",Categorias!C337)</f>
        <v/>
      </c>
      <c r="D336" s="18">
        <f>IF(Categorias!H337="","",Categorias!H337)</f>
        <v/>
      </c>
      <c r="E336" s="17">
        <f>IFERROR(IF(INDEX(Gini!$C$2:$C$377,MATCH($A336&amp;"|"&amp;$B336,Gini!$E$2:$E$377,0))="","",INDEX(Gini!$C$2:$C$377,MATCH($A336&amp;"|"&amp;$B336,Gini!$E$2:$E$377,0))),"")</f>
        <v/>
      </c>
      <c r="F336" s="19">
        <f>IFERROR(IF(INDEX(Corrupcion!$E$2:$E$377,MATCH($A336&amp;"|"&amp;$B336,Corrupcion!$H$2:$H$377,0))="","",INDEX(Corrupcion!$E$2:$E$377,MATCH($A336&amp;"|"&amp;$B336,Corrupcion!$H$2:$H$377,0))),"")</f>
        <v/>
      </c>
      <c r="G336" s="20">
        <f>IFERROR(IF(INDEX(Corrupcion!$F$2:$F$377,MATCH($A336&amp;"|"&amp;$B336,Corrupcion!$H$2:$H$377,0))="","",INDEX(Corrupcion!$F$2:$F$377,MATCH($A336&amp;"|"&amp;$B336,Corrupcion!$H$2:$H$377,0))),"")</f>
        <v/>
      </c>
      <c r="H336" s="17">
        <f>IFERROR(IF(INDEX(Corrupcion!$G$2:$G$377,MATCH($A336&amp;"|"&amp;$B336,Corrupcion!$H$2:$H$377,0))="","",INDEX(Corrupcion!$G$2:$G$377,MATCH($A336&amp;"|"&amp;$B336,Corrupcion!$H$2:$H$377,0))),"")</f>
        <v/>
      </c>
      <c r="I336" s="8">
        <f>IF(COUNTBLANK(C336:E336)+COUNTBLANK(F336)=0,1,0)</f>
        <v/>
      </c>
      <c r="J336" s="8">
        <f>IF(COUNTBLANK(C336:E336)+COUNTBLANK(G336)=0,1,0)</f>
        <v/>
      </c>
      <c r="K336" s="8">
        <f>IF(COUNTBLANK(C336:E336)+COUNTBLANK(H336)=0,1,0)</f>
        <v/>
      </c>
    </row>
    <row r="337">
      <c r="A337" s="8" t="inlineStr">
        <is>
          <t>Uruguay</t>
        </is>
      </c>
      <c r="B337" s="8" t="n">
        <v>1996</v>
      </c>
      <c r="C337" s="18">
        <f>IF(Categorias!C338="","",Categorias!C338)</f>
        <v/>
      </c>
      <c r="D337" s="18">
        <f>IF(Categorias!H338="","",Categorias!H338)</f>
        <v/>
      </c>
      <c r="E337" s="17">
        <f>IFERROR(IF(INDEX(Gini!$C$2:$C$377,MATCH($A337&amp;"|"&amp;$B337,Gini!$E$2:$E$377,0))="","",INDEX(Gini!$C$2:$C$377,MATCH($A337&amp;"|"&amp;$B337,Gini!$E$2:$E$377,0))),"")</f>
        <v/>
      </c>
      <c r="F337" s="19">
        <f>IFERROR(IF(INDEX(Corrupcion!$E$2:$E$377,MATCH($A337&amp;"|"&amp;$B337,Corrupcion!$H$2:$H$377,0))="","",INDEX(Corrupcion!$E$2:$E$377,MATCH($A337&amp;"|"&amp;$B337,Corrupcion!$H$2:$H$377,0))),"")</f>
        <v/>
      </c>
      <c r="G337" s="20">
        <f>IFERROR(IF(INDEX(Corrupcion!$F$2:$F$377,MATCH($A337&amp;"|"&amp;$B337,Corrupcion!$H$2:$H$377,0))="","",INDEX(Corrupcion!$F$2:$F$377,MATCH($A337&amp;"|"&amp;$B337,Corrupcion!$H$2:$H$377,0))),"")</f>
        <v/>
      </c>
      <c r="H337" s="17">
        <f>IFERROR(IF(INDEX(Corrupcion!$G$2:$G$377,MATCH($A337&amp;"|"&amp;$B337,Corrupcion!$H$2:$H$377,0))="","",INDEX(Corrupcion!$G$2:$G$377,MATCH($A337&amp;"|"&amp;$B337,Corrupcion!$H$2:$H$377,0))),"")</f>
        <v/>
      </c>
      <c r="I337" s="8">
        <f>IF(COUNTBLANK(C337:E337)+COUNTBLANK(F337)=0,1,0)</f>
        <v/>
      </c>
      <c r="J337" s="8">
        <f>IF(COUNTBLANK(C337:E337)+COUNTBLANK(G337)=0,1,0)</f>
        <v/>
      </c>
      <c r="K337" s="8">
        <f>IF(COUNTBLANK(C337:E337)+COUNTBLANK(H337)=0,1,0)</f>
        <v/>
      </c>
    </row>
    <row r="338">
      <c r="A338" s="8" t="inlineStr">
        <is>
          <t>Uruguay</t>
        </is>
      </c>
      <c r="B338" s="8" t="n">
        <v>1997</v>
      </c>
      <c r="C338" s="18">
        <f>IF(Categorias!C339="","",Categorias!C339)</f>
        <v/>
      </c>
      <c r="D338" s="18">
        <f>IF(Categorias!H339="","",Categorias!H339)</f>
        <v/>
      </c>
      <c r="E338" s="17">
        <f>IFERROR(IF(INDEX(Gini!$C$2:$C$377,MATCH($A338&amp;"|"&amp;$B338,Gini!$E$2:$E$377,0))="","",INDEX(Gini!$C$2:$C$377,MATCH($A338&amp;"|"&amp;$B338,Gini!$E$2:$E$377,0))),"")</f>
        <v/>
      </c>
      <c r="F338" s="19">
        <f>IFERROR(IF(INDEX(Corrupcion!$E$2:$E$377,MATCH($A338&amp;"|"&amp;$B338,Corrupcion!$H$2:$H$377,0))="","",INDEX(Corrupcion!$E$2:$E$377,MATCH($A338&amp;"|"&amp;$B338,Corrupcion!$H$2:$H$377,0))),"")</f>
        <v/>
      </c>
      <c r="G338" s="20">
        <f>IFERROR(IF(INDEX(Corrupcion!$F$2:$F$377,MATCH($A338&amp;"|"&amp;$B338,Corrupcion!$H$2:$H$377,0))="","",INDEX(Corrupcion!$F$2:$F$377,MATCH($A338&amp;"|"&amp;$B338,Corrupcion!$H$2:$H$377,0))),"")</f>
        <v/>
      </c>
      <c r="H338" s="17">
        <f>IFERROR(IF(INDEX(Corrupcion!$G$2:$G$377,MATCH($A338&amp;"|"&amp;$B338,Corrupcion!$H$2:$H$377,0))="","",INDEX(Corrupcion!$G$2:$G$377,MATCH($A338&amp;"|"&amp;$B338,Corrupcion!$H$2:$H$377,0))),"")</f>
        <v/>
      </c>
      <c r="I338" s="8">
        <f>IF(COUNTBLANK(C338:E338)+COUNTBLANK(F338)=0,1,0)</f>
        <v/>
      </c>
      <c r="J338" s="8">
        <f>IF(COUNTBLANK(C338:E338)+COUNTBLANK(G338)=0,1,0)</f>
        <v/>
      </c>
      <c r="K338" s="8">
        <f>IF(COUNTBLANK(C338:E338)+COUNTBLANK(H338)=0,1,0)</f>
        <v/>
      </c>
    </row>
    <row r="339">
      <c r="A339" s="8" t="inlineStr">
        <is>
          <t>Uruguay</t>
        </is>
      </c>
      <c r="B339" s="8" t="n">
        <v>1998</v>
      </c>
      <c r="C339" s="18">
        <f>IF(Categorias!C340="","",Categorias!C340)</f>
        <v/>
      </c>
      <c r="D339" s="18">
        <f>IF(Categorias!H340="","",Categorias!H340)</f>
        <v/>
      </c>
      <c r="E339" s="17">
        <f>IFERROR(IF(INDEX(Gini!$C$2:$C$377,MATCH($A339&amp;"|"&amp;$B339,Gini!$E$2:$E$377,0))="","",INDEX(Gini!$C$2:$C$377,MATCH($A339&amp;"|"&amp;$B339,Gini!$E$2:$E$377,0))),"")</f>
        <v/>
      </c>
      <c r="F339" s="19">
        <f>IFERROR(IF(INDEX(Corrupcion!$E$2:$E$377,MATCH($A339&amp;"|"&amp;$B339,Corrupcion!$H$2:$H$377,0))="","",INDEX(Corrupcion!$E$2:$E$377,MATCH($A339&amp;"|"&amp;$B339,Corrupcion!$H$2:$H$377,0))),"")</f>
        <v/>
      </c>
      <c r="G339" s="20">
        <f>IFERROR(IF(INDEX(Corrupcion!$F$2:$F$377,MATCH($A339&amp;"|"&amp;$B339,Corrupcion!$H$2:$H$377,0))="","",INDEX(Corrupcion!$F$2:$F$377,MATCH($A339&amp;"|"&amp;$B339,Corrupcion!$H$2:$H$377,0))),"")</f>
        <v/>
      </c>
      <c r="H339" s="17">
        <f>IFERROR(IF(INDEX(Corrupcion!$G$2:$G$377,MATCH($A339&amp;"|"&amp;$B339,Corrupcion!$H$2:$H$377,0))="","",INDEX(Corrupcion!$G$2:$G$377,MATCH($A339&amp;"|"&amp;$B339,Corrupcion!$H$2:$H$377,0))),"")</f>
        <v/>
      </c>
      <c r="I339" s="8">
        <f>IF(COUNTBLANK(C339:E339)+COUNTBLANK(F339)=0,1,0)</f>
        <v/>
      </c>
      <c r="J339" s="8">
        <f>IF(COUNTBLANK(C339:E339)+COUNTBLANK(G339)=0,1,0)</f>
        <v/>
      </c>
      <c r="K339" s="8">
        <f>IF(COUNTBLANK(C339:E339)+COUNTBLANK(H339)=0,1,0)</f>
        <v/>
      </c>
    </row>
    <row r="340">
      <c r="A340" s="8" t="inlineStr">
        <is>
          <t>Uruguay</t>
        </is>
      </c>
      <c r="B340" s="8" t="n">
        <v>2000</v>
      </c>
      <c r="C340" s="18">
        <f>IF(Categorias!C341="","",Categorias!C341)</f>
        <v/>
      </c>
      <c r="D340" s="18">
        <f>IF(Categorias!H341="","",Categorias!H341)</f>
        <v/>
      </c>
      <c r="E340" s="17">
        <f>IFERROR(IF(INDEX(Gini!$C$2:$C$377,MATCH($A340&amp;"|"&amp;$B340,Gini!$E$2:$E$377,0))="","",INDEX(Gini!$C$2:$C$377,MATCH($A340&amp;"|"&amp;$B340,Gini!$E$2:$E$377,0))),"")</f>
        <v/>
      </c>
      <c r="F340" s="19">
        <f>IFERROR(IF(INDEX(Corrupcion!$E$2:$E$377,MATCH($A340&amp;"|"&amp;$B340,Corrupcion!$H$2:$H$377,0))="","",INDEX(Corrupcion!$E$2:$E$377,MATCH($A340&amp;"|"&amp;$B340,Corrupcion!$H$2:$H$377,0))),"")</f>
        <v/>
      </c>
      <c r="G340" s="20">
        <f>IFERROR(IF(INDEX(Corrupcion!$F$2:$F$377,MATCH($A340&amp;"|"&amp;$B340,Corrupcion!$H$2:$H$377,0))="","",INDEX(Corrupcion!$F$2:$F$377,MATCH($A340&amp;"|"&amp;$B340,Corrupcion!$H$2:$H$377,0))),"")</f>
        <v/>
      </c>
      <c r="H340" s="17">
        <f>IFERROR(IF(INDEX(Corrupcion!$G$2:$G$377,MATCH($A340&amp;"|"&amp;$B340,Corrupcion!$H$2:$H$377,0))="","",INDEX(Corrupcion!$G$2:$G$377,MATCH($A340&amp;"|"&amp;$B340,Corrupcion!$H$2:$H$377,0))),"")</f>
        <v/>
      </c>
      <c r="I340" s="8">
        <f>IF(COUNTBLANK(C340:E340)+COUNTBLANK(F340)=0,1,0)</f>
        <v/>
      </c>
      <c r="J340" s="8">
        <f>IF(COUNTBLANK(C340:E340)+COUNTBLANK(G340)=0,1,0)</f>
        <v/>
      </c>
      <c r="K340" s="8">
        <f>IF(COUNTBLANK(C340:E340)+COUNTBLANK(H340)=0,1,0)</f>
        <v/>
      </c>
    </row>
    <row r="341">
      <c r="A341" s="8" t="inlineStr">
        <is>
          <t>Uruguay</t>
        </is>
      </c>
      <c r="B341" s="8" t="n">
        <v>2001</v>
      </c>
      <c r="C341" s="18">
        <f>IF(Categorias!C342="","",Categorias!C342)</f>
        <v/>
      </c>
      <c r="D341" s="18">
        <f>IF(Categorias!H342="","",Categorias!H342)</f>
        <v/>
      </c>
      <c r="E341" s="17">
        <f>IFERROR(IF(INDEX(Gini!$C$2:$C$377,MATCH($A341&amp;"|"&amp;$B341,Gini!$E$2:$E$377,0))="","",INDEX(Gini!$C$2:$C$377,MATCH($A341&amp;"|"&amp;$B341,Gini!$E$2:$E$377,0))),"")</f>
        <v/>
      </c>
      <c r="F341" s="19">
        <f>IFERROR(IF(INDEX(Corrupcion!$E$2:$E$377,MATCH($A341&amp;"|"&amp;$B341,Corrupcion!$H$2:$H$377,0))="","",INDEX(Corrupcion!$E$2:$E$377,MATCH($A341&amp;"|"&amp;$B341,Corrupcion!$H$2:$H$377,0))),"")</f>
        <v/>
      </c>
      <c r="G341" s="20">
        <f>IFERROR(IF(INDEX(Corrupcion!$F$2:$F$377,MATCH($A341&amp;"|"&amp;$B341,Corrupcion!$H$2:$H$377,0))="","",INDEX(Corrupcion!$F$2:$F$377,MATCH($A341&amp;"|"&amp;$B341,Corrupcion!$H$2:$H$377,0))),"")</f>
        <v/>
      </c>
      <c r="H341" s="17">
        <f>IFERROR(IF(INDEX(Corrupcion!$G$2:$G$377,MATCH($A341&amp;"|"&amp;$B341,Corrupcion!$H$2:$H$377,0))="","",INDEX(Corrupcion!$G$2:$G$377,MATCH($A341&amp;"|"&amp;$B341,Corrupcion!$H$2:$H$377,0))),"")</f>
        <v/>
      </c>
      <c r="I341" s="8">
        <f>IF(COUNTBLANK(C341:E341)+COUNTBLANK(F341)=0,1,0)</f>
        <v/>
      </c>
      <c r="J341" s="8">
        <f>IF(COUNTBLANK(C341:E341)+COUNTBLANK(G341)=0,1,0)</f>
        <v/>
      </c>
      <c r="K341" s="8">
        <f>IF(COUNTBLANK(C341:E341)+COUNTBLANK(H341)=0,1,0)</f>
        <v/>
      </c>
    </row>
    <row r="342">
      <c r="A342" s="8" t="inlineStr">
        <is>
          <t>Uruguay</t>
        </is>
      </c>
      <c r="B342" s="8" t="n">
        <v>2002</v>
      </c>
      <c r="C342" s="18">
        <f>IF(Categorias!C343="","",Categorias!C343)</f>
        <v/>
      </c>
      <c r="D342" s="18">
        <f>IF(Categorias!H343="","",Categorias!H343)</f>
        <v/>
      </c>
      <c r="E342" s="17">
        <f>IFERROR(IF(INDEX(Gini!$C$2:$C$377,MATCH($A342&amp;"|"&amp;$B342,Gini!$E$2:$E$377,0))="","",INDEX(Gini!$C$2:$C$377,MATCH($A342&amp;"|"&amp;$B342,Gini!$E$2:$E$377,0))),"")</f>
        <v/>
      </c>
      <c r="F342" s="19">
        <f>IFERROR(IF(INDEX(Corrupcion!$E$2:$E$377,MATCH($A342&amp;"|"&amp;$B342,Corrupcion!$H$2:$H$377,0))="","",INDEX(Corrupcion!$E$2:$E$377,MATCH($A342&amp;"|"&amp;$B342,Corrupcion!$H$2:$H$377,0))),"")</f>
        <v/>
      </c>
      <c r="G342" s="20">
        <f>IFERROR(IF(INDEX(Corrupcion!$F$2:$F$377,MATCH($A342&amp;"|"&amp;$B342,Corrupcion!$H$2:$H$377,0))="","",INDEX(Corrupcion!$F$2:$F$377,MATCH($A342&amp;"|"&amp;$B342,Corrupcion!$H$2:$H$377,0))),"")</f>
        <v/>
      </c>
      <c r="H342" s="17">
        <f>IFERROR(IF(INDEX(Corrupcion!$G$2:$G$377,MATCH($A342&amp;"|"&amp;$B342,Corrupcion!$H$2:$H$377,0))="","",INDEX(Corrupcion!$G$2:$G$377,MATCH($A342&amp;"|"&amp;$B342,Corrupcion!$H$2:$H$377,0))),"")</f>
        <v/>
      </c>
      <c r="I342" s="8">
        <f>IF(COUNTBLANK(C342:E342)+COUNTBLANK(F342)=0,1,0)</f>
        <v/>
      </c>
      <c r="J342" s="8">
        <f>IF(COUNTBLANK(C342:E342)+COUNTBLANK(G342)=0,1,0)</f>
        <v/>
      </c>
      <c r="K342" s="8">
        <f>IF(COUNTBLANK(C342:E342)+COUNTBLANK(H342)=0,1,0)</f>
        <v/>
      </c>
    </row>
    <row r="343">
      <c r="A343" s="8" t="inlineStr">
        <is>
          <t>Uruguay</t>
        </is>
      </c>
      <c r="B343" s="8" t="n">
        <v>2003</v>
      </c>
      <c r="C343" s="18">
        <f>IF(Categorias!C344="","",Categorias!C344)</f>
        <v/>
      </c>
      <c r="D343" s="18">
        <f>IF(Categorias!H344="","",Categorias!H344)</f>
        <v/>
      </c>
      <c r="E343" s="17">
        <f>IFERROR(IF(INDEX(Gini!$C$2:$C$377,MATCH($A343&amp;"|"&amp;$B343,Gini!$E$2:$E$377,0))="","",INDEX(Gini!$C$2:$C$377,MATCH($A343&amp;"|"&amp;$B343,Gini!$E$2:$E$377,0))),"")</f>
        <v/>
      </c>
      <c r="F343" s="19">
        <f>IFERROR(IF(INDEX(Corrupcion!$E$2:$E$377,MATCH($A343&amp;"|"&amp;$B343,Corrupcion!$H$2:$H$377,0))="","",INDEX(Corrupcion!$E$2:$E$377,MATCH($A343&amp;"|"&amp;$B343,Corrupcion!$H$2:$H$377,0))),"")</f>
        <v/>
      </c>
      <c r="G343" s="20">
        <f>IFERROR(IF(INDEX(Corrupcion!$F$2:$F$377,MATCH($A343&amp;"|"&amp;$B343,Corrupcion!$H$2:$H$377,0))="","",INDEX(Corrupcion!$F$2:$F$377,MATCH($A343&amp;"|"&amp;$B343,Corrupcion!$H$2:$H$377,0))),"")</f>
        <v/>
      </c>
      <c r="H343" s="17">
        <f>IFERROR(IF(INDEX(Corrupcion!$G$2:$G$377,MATCH($A343&amp;"|"&amp;$B343,Corrupcion!$H$2:$H$377,0))="","",INDEX(Corrupcion!$G$2:$G$377,MATCH($A343&amp;"|"&amp;$B343,Corrupcion!$H$2:$H$377,0))),"")</f>
        <v/>
      </c>
      <c r="I343" s="8">
        <f>IF(COUNTBLANK(C343:E343)+COUNTBLANK(F343)=0,1,0)</f>
        <v/>
      </c>
      <c r="J343" s="8">
        <f>IF(COUNTBLANK(C343:E343)+COUNTBLANK(G343)=0,1,0)</f>
        <v/>
      </c>
      <c r="K343" s="8">
        <f>IF(COUNTBLANK(C343:E343)+COUNTBLANK(H343)=0,1,0)</f>
        <v/>
      </c>
    </row>
    <row r="344">
      <c r="A344" s="8" t="inlineStr">
        <is>
          <t>Uruguay</t>
        </is>
      </c>
      <c r="B344" s="8" t="n">
        <v>2004</v>
      </c>
      <c r="C344" s="18">
        <f>IF(Categorias!C345="","",Categorias!C345)</f>
        <v/>
      </c>
      <c r="D344" s="18">
        <f>IF(Categorias!H345="","",Categorias!H345)</f>
        <v/>
      </c>
      <c r="E344" s="17">
        <f>IFERROR(IF(INDEX(Gini!$C$2:$C$377,MATCH($A344&amp;"|"&amp;$B344,Gini!$E$2:$E$377,0))="","",INDEX(Gini!$C$2:$C$377,MATCH($A344&amp;"|"&amp;$B344,Gini!$E$2:$E$377,0))),"")</f>
        <v/>
      </c>
      <c r="F344" s="19">
        <f>IFERROR(IF(INDEX(Corrupcion!$E$2:$E$377,MATCH($A344&amp;"|"&amp;$B344,Corrupcion!$H$2:$H$377,0))="","",INDEX(Corrupcion!$E$2:$E$377,MATCH($A344&amp;"|"&amp;$B344,Corrupcion!$H$2:$H$377,0))),"")</f>
        <v/>
      </c>
      <c r="G344" s="20">
        <f>IFERROR(IF(INDEX(Corrupcion!$F$2:$F$377,MATCH($A344&amp;"|"&amp;$B344,Corrupcion!$H$2:$H$377,0))="","",INDEX(Corrupcion!$F$2:$F$377,MATCH($A344&amp;"|"&amp;$B344,Corrupcion!$H$2:$H$377,0))),"")</f>
        <v/>
      </c>
      <c r="H344" s="17">
        <f>IFERROR(IF(INDEX(Corrupcion!$G$2:$G$377,MATCH($A344&amp;"|"&amp;$B344,Corrupcion!$H$2:$H$377,0))="","",INDEX(Corrupcion!$G$2:$G$377,MATCH($A344&amp;"|"&amp;$B344,Corrupcion!$H$2:$H$377,0))),"")</f>
        <v/>
      </c>
      <c r="I344" s="8">
        <f>IF(COUNTBLANK(C344:E344)+COUNTBLANK(F344)=0,1,0)</f>
        <v/>
      </c>
      <c r="J344" s="8">
        <f>IF(COUNTBLANK(C344:E344)+COUNTBLANK(G344)=0,1,0)</f>
        <v/>
      </c>
      <c r="K344" s="8">
        <f>IF(COUNTBLANK(C344:E344)+COUNTBLANK(H344)=0,1,0)</f>
        <v/>
      </c>
    </row>
    <row r="345">
      <c r="A345" s="8" t="inlineStr">
        <is>
          <t>Uruguay</t>
        </is>
      </c>
      <c r="B345" s="8" t="n">
        <v>2005</v>
      </c>
      <c r="C345" s="18">
        <f>IF(Categorias!C346="","",Categorias!C346)</f>
        <v/>
      </c>
      <c r="D345" s="18">
        <f>IF(Categorias!H346="","",Categorias!H346)</f>
        <v/>
      </c>
      <c r="E345" s="17">
        <f>IFERROR(IF(INDEX(Gini!$C$2:$C$377,MATCH($A345&amp;"|"&amp;$B345,Gini!$E$2:$E$377,0))="","",INDEX(Gini!$C$2:$C$377,MATCH($A345&amp;"|"&amp;$B345,Gini!$E$2:$E$377,0))),"")</f>
        <v/>
      </c>
      <c r="F345" s="19">
        <f>IFERROR(IF(INDEX(Corrupcion!$E$2:$E$377,MATCH($A345&amp;"|"&amp;$B345,Corrupcion!$H$2:$H$377,0))="","",INDEX(Corrupcion!$E$2:$E$377,MATCH($A345&amp;"|"&amp;$B345,Corrupcion!$H$2:$H$377,0))),"")</f>
        <v/>
      </c>
      <c r="G345" s="20">
        <f>IFERROR(IF(INDEX(Corrupcion!$F$2:$F$377,MATCH($A345&amp;"|"&amp;$B345,Corrupcion!$H$2:$H$377,0))="","",INDEX(Corrupcion!$F$2:$F$377,MATCH($A345&amp;"|"&amp;$B345,Corrupcion!$H$2:$H$377,0))),"")</f>
        <v/>
      </c>
      <c r="H345" s="17">
        <f>IFERROR(IF(INDEX(Corrupcion!$G$2:$G$377,MATCH($A345&amp;"|"&amp;$B345,Corrupcion!$H$2:$H$377,0))="","",INDEX(Corrupcion!$G$2:$G$377,MATCH($A345&amp;"|"&amp;$B345,Corrupcion!$H$2:$H$377,0))),"")</f>
        <v/>
      </c>
      <c r="I345" s="8">
        <f>IF(COUNTBLANK(C345:E345)+COUNTBLANK(F345)=0,1,0)</f>
        <v/>
      </c>
      <c r="J345" s="8">
        <f>IF(COUNTBLANK(C345:E345)+COUNTBLANK(G345)=0,1,0)</f>
        <v/>
      </c>
      <c r="K345" s="8">
        <f>IF(COUNTBLANK(C345:E345)+COUNTBLANK(H345)=0,1,0)</f>
        <v/>
      </c>
    </row>
    <row r="346">
      <c r="A346" s="8" t="inlineStr">
        <is>
          <t>Uruguay</t>
        </is>
      </c>
      <c r="B346" s="8" t="n">
        <v>2006</v>
      </c>
      <c r="C346" s="18">
        <f>IF(Categorias!C347="","",Categorias!C347)</f>
        <v/>
      </c>
      <c r="D346" s="18">
        <f>IF(Categorias!H347="","",Categorias!H347)</f>
        <v/>
      </c>
      <c r="E346" s="17">
        <f>IFERROR(IF(INDEX(Gini!$C$2:$C$377,MATCH($A346&amp;"|"&amp;$B346,Gini!$E$2:$E$377,0))="","",INDEX(Gini!$C$2:$C$377,MATCH($A346&amp;"|"&amp;$B346,Gini!$E$2:$E$377,0))),"")</f>
        <v/>
      </c>
      <c r="F346" s="19">
        <f>IFERROR(IF(INDEX(Corrupcion!$E$2:$E$377,MATCH($A346&amp;"|"&amp;$B346,Corrupcion!$H$2:$H$377,0))="","",INDEX(Corrupcion!$E$2:$E$377,MATCH($A346&amp;"|"&amp;$B346,Corrupcion!$H$2:$H$377,0))),"")</f>
        <v/>
      </c>
      <c r="G346" s="20">
        <f>IFERROR(IF(INDEX(Corrupcion!$F$2:$F$377,MATCH($A346&amp;"|"&amp;$B346,Corrupcion!$H$2:$H$377,0))="","",INDEX(Corrupcion!$F$2:$F$377,MATCH($A346&amp;"|"&amp;$B346,Corrupcion!$H$2:$H$377,0))),"")</f>
        <v/>
      </c>
      <c r="H346" s="17">
        <f>IFERROR(IF(INDEX(Corrupcion!$G$2:$G$377,MATCH($A346&amp;"|"&amp;$B346,Corrupcion!$H$2:$H$377,0))="","",INDEX(Corrupcion!$G$2:$G$377,MATCH($A346&amp;"|"&amp;$B346,Corrupcion!$H$2:$H$377,0))),"")</f>
        <v/>
      </c>
      <c r="I346" s="8">
        <f>IF(COUNTBLANK(C346:E346)+COUNTBLANK(F346)=0,1,0)</f>
        <v/>
      </c>
      <c r="J346" s="8">
        <f>IF(COUNTBLANK(C346:E346)+COUNTBLANK(G346)=0,1,0)</f>
        <v/>
      </c>
      <c r="K346" s="8">
        <f>IF(COUNTBLANK(C346:E346)+COUNTBLANK(H346)=0,1,0)</f>
        <v/>
      </c>
    </row>
    <row r="347">
      <c r="A347" s="8" t="inlineStr">
        <is>
          <t>Uruguay</t>
        </is>
      </c>
      <c r="B347" s="8" t="n">
        <v>2007</v>
      </c>
      <c r="C347" s="18">
        <f>IF(Categorias!C348="","",Categorias!C348)</f>
        <v/>
      </c>
      <c r="D347" s="18">
        <f>IF(Categorias!H348="","",Categorias!H348)</f>
        <v/>
      </c>
      <c r="E347" s="17">
        <f>IFERROR(IF(INDEX(Gini!$C$2:$C$377,MATCH($A347&amp;"|"&amp;$B347,Gini!$E$2:$E$377,0))="","",INDEX(Gini!$C$2:$C$377,MATCH($A347&amp;"|"&amp;$B347,Gini!$E$2:$E$377,0))),"")</f>
        <v/>
      </c>
      <c r="F347" s="19">
        <f>IFERROR(IF(INDEX(Corrupcion!$E$2:$E$377,MATCH($A347&amp;"|"&amp;$B347,Corrupcion!$H$2:$H$377,0))="","",INDEX(Corrupcion!$E$2:$E$377,MATCH($A347&amp;"|"&amp;$B347,Corrupcion!$H$2:$H$377,0))),"")</f>
        <v/>
      </c>
      <c r="G347" s="20">
        <f>IFERROR(IF(INDEX(Corrupcion!$F$2:$F$377,MATCH($A347&amp;"|"&amp;$B347,Corrupcion!$H$2:$H$377,0))="","",INDEX(Corrupcion!$F$2:$F$377,MATCH($A347&amp;"|"&amp;$B347,Corrupcion!$H$2:$H$377,0))),"")</f>
        <v/>
      </c>
      <c r="H347" s="17">
        <f>IFERROR(IF(INDEX(Corrupcion!$G$2:$G$377,MATCH($A347&amp;"|"&amp;$B347,Corrupcion!$H$2:$H$377,0))="","",INDEX(Corrupcion!$G$2:$G$377,MATCH($A347&amp;"|"&amp;$B347,Corrupcion!$H$2:$H$377,0))),"")</f>
        <v/>
      </c>
      <c r="I347" s="8">
        <f>IF(COUNTBLANK(C347:E347)+COUNTBLANK(F347)=0,1,0)</f>
        <v/>
      </c>
      <c r="J347" s="8">
        <f>IF(COUNTBLANK(C347:E347)+COUNTBLANK(G347)=0,1,0)</f>
        <v/>
      </c>
      <c r="K347" s="8">
        <f>IF(COUNTBLANK(C347:E347)+COUNTBLANK(H347)=0,1,0)</f>
        <v/>
      </c>
    </row>
    <row r="348">
      <c r="A348" s="8" t="inlineStr">
        <is>
          <t>Uruguay</t>
        </is>
      </c>
      <c r="B348" s="8" t="n">
        <v>2008</v>
      </c>
      <c r="C348" s="18">
        <f>IF(Categorias!C349="","",Categorias!C349)</f>
        <v/>
      </c>
      <c r="D348" s="18">
        <f>IF(Categorias!H349="","",Categorias!H349)</f>
        <v/>
      </c>
      <c r="E348" s="17">
        <f>IFERROR(IF(INDEX(Gini!$C$2:$C$377,MATCH($A348&amp;"|"&amp;$B348,Gini!$E$2:$E$377,0))="","",INDEX(Gini!$C$2:$C$377,MATCH($A348&amp;"|"&amp;$B348,Gini!$E$2:$E$377,0))),"")</f>
        <v/>
      </c>
      <c r="F348" s="19">
        <f>IFERROR(IF(INDEX(Corrupcion!$E$2:$E$377,MATCH($A348&amp;"|"&amp;$B348,Corrupcion!$H$2:$H$377,0))="","",INDEX(Corrupcion!$E$2:$E$377,MATCH($A348&amp;"|"&amp;$B348,Corrupcion!$H$2:$H$377,0))),"")</f>
        <v/>
      </c>
      <c r="G348" s="20">
        <f>IFERROR(IF(INDEX(Corrupcion!$F$2:$F$377,MATCH($A348&amp;"|"&amp;$B348,Corrupcion!$H$2:$H$377,0))="","",INDEX(Corrupcion!$F$2:$F$377,MATCH($A348&amp;"|"&amp;$B348,Corrupcion!$H$2:$H$377,0))),"")</f>
        <v/>
      </c>
      <c r="H348" s="17">
        <f>IFERROR(IF(INDEX(Corrupcion!$G$2:$G$377,MATCH($A348&amp;"|"&amp;$B348,Corrupcion!$H$2:$H$377,0))="","",INDEX(Corrupcion!$G$2:$G$377,MATCH($A348&amp;"|"&amp;$B348,Corrupcion!$H$2:$H$377,0))),"")</f>
        <v/>
      </c>
      <c r="I348" s="8">
        <f>IF(COUNTBLANK(C348:E348)+COUNTBLANK(F348)=0,1,0)</f>
        <v/>
      </c>
      <c r="J348" s="8">
        <f>IF(COUNTBLANK(C348:E348)+COUNTBLANK(G348)=0,1,0)</f>
        <v/>
      </c>
      <c r="K348" s="8">
        <f>IF(COUNTBLANK(C348:E348)+COUNTBLANK(H348)=0,1,0)</f>
        <v/>
      </c>
    </row>
    <row r="349">
      <c r="A349" s="8" t="inlineStr">
        <is>
          <t>Uruguay</t>
        </is>
      </c>
      <c r="B349" s="8" t="n">
        <v>2009</v>
      </c>
      <c r="C349" s="18">
        <f>IF(Categorias!C350="","",Categorias!C350)</f>
        <v/>
      </c>
      <c r="D349" s="18">
        <f>IF(Categorias!H350="","",Categorias!H350)</f>
        <v/>
      </c>
      <c r="E349" s="17">
        <f>IFERROR(IF(INDEX(Gini!$C$2:$C$377,MATCH($A349&amp;"|"&amp;$B349,Gini!$E$2:$E$377,0))="","",INDEX(Gini!$C$2:$C$377,MATCH($A349&amp;"|"&amp;$B349,Gini!$E$2:$E$377,0))),"")</f>
        <v/>
      </c>
      <c r="F349" s="19">
        <f>IFERROR(IF(INDEX(Corrupcion!$E$2:$E$377,MATCH($A349&amp;"|"&amp;$B349,Corrupcion!$H$2:$H$377,0))="","",INDEX(Corrupcion!$E$2:$E$377,MATCH($A349&amp;"|"&amp;$B349,Corrupcion!$H$2:$H$377,0))),"")</f>
        <v/>
      </c>
      <c r="G349" s="20">
        <f>IFERROR(IF(INDEX(Corrupcion!$F$2:$F$377,MATCH($A349&amp;"|"&amp;$B349,Corrupcion!$H$2:$H$377,0))="","",INDEX(Corrupcion!$F$2:$F$377,MATCH($A349&amp;"|"&amp;$B349,Corrupcion!$H$2:$H$377,0))),"")</f>
        <v/>
      </c>
      <c r="H349" s="17">
        <f>IFERROR(IF(INDEX(Corrupcion!$G$2:$G$377,MATCH($A349&amp;"|"&amp;$B349,Corrupcion!$H$2:$H$377,0))="","",INDEX(Corrupcion!$G$2:$G$377,MATCH($A349&amp;"|"&amp;$B349,Corrupcion!$H$2:$H$377,0))),"")</f>
        <v/>
      </c>
      <c r="I349" s="8">
        <f>IF(COUNTBLANK(C349:E349)+COUNTBLANK(F349)=0,1,0)</f>
        <v/>
      </c>
      <c r="J349" s="8">
        <f>IF(COUNTBLANK(C349:E349)+COUNTBLANK(G349)=0,1,0)</f>
        <v/>
      </c>
      <c r="K349" s="8">
        <f>IF(COUNTBLANK(C349:E349)+COUNTBLANK(H349)=0,1,0)</f>
        <v/>
      </c>
    </row>
    <row r="350">
      <c r="A350" s="8" t="inlineStr">
        <is>
          <t>Uruguay</t>
        </is>
      </c>
      <c r="B350" s="8" t="n">
        <v>2010</v>
      </c>
      <c r="C350" s="18">
        <f>IF(Categorias!C351="","",Categorias!C351)</f>
        <v/>
      </c>
      <c r="D350" s="18">
        <f>IF(Categorias!H351="","",Categorias!H351)</f>
        <v/>
      </c>
      <c r="E350" s="17">
        <f>IFERROR(IF(INDEX(Gini!$C$2:$C$377,MATCH($A350&amp;"|"&amp;$B350,Gini!$E$2:$E$377,0))="","",INDEX(Gini!$C$2:$C$377,MATCH($A350&amp;"|"&amp;$B350,Gini!$E$2:$E$377,0))),"")</f>
        <v/>
      </c>
      <c r="F350" s="19">
        <f>IFERROR(IF(INDEX(Corrupcion!$E$2:$E$377,MATCH($A350&amp;"|"&amp;$B350,Corrupcion!$H$2:$H$377,0))="","",INDEX(Corrupcion!$E$2:$E$377,MATCH($A350&amp;"|"&amp;$B350,Corrupcion!$H$2:$H$377,0))),"")</f>
        <v/>
      </c>
      <c r="G350" s="20">
        <f>IFERROR(IF(INDEX(Corrupcion!$F$2:$F$377,MATCH($A350&amp;"|"&amp;$B350,Corrupcion!$H$2:$H$377,0))="","",INDEX(Corrupcion!$F$2:$F$377,MATCH($A350&amp;"|"&amp;$B350,Corrupcion!$H$2:$H$377,0))),"")</f>
        <v/>
      </c>
      <c r="H350" s="17">
        <f>IFERROR(IF(INDEX(Corrupcion!$G$2:$G$377,MATCH($A350&amp;"|"&amp;$B350,Corrupcion!$H$2:$H$377,0))="","",INDEX(Corrupcion!$G$2:$G$377,MATCH($A350&amp;"|"&amp;$B350,Corrupcion!$H$2:$H$377,0))),"")</f>
        <v/>
      </c>
      <c r="I350" s="8">
        <f>IF(COUNTBLANK(C350:E350)+COUNTBLANK(F350)=0,1,0)</f>
        <v/>
      </c>
      <c r="J350" s="8">
        <f>IF(COUNTBLANK(C350:E350)+COUNTBLANK(G350)=0,1,0)</f>
        <v/>
      </c>
      <c r="K350" s="8">
        <f>IF(COUNTBLANK(C350:E350)+COUNTBLANK(H350)=0,1,0)</f>
        <v/>
      </c>
    </row>
    <row r="351">
      <c r="A351" s="8" t="inlineStr">
        <is>
          <t>Uruguay</t>
        </is>
      </c>
      <c r="B351" s="8" t="n">
        <v>2011</v>
      </c>
      <c r="C351" s="18">
        <f>IF(Categorias!C352="","",Categorias!C352)</f>
        <v/>
      </c>
      <c r="D351" s="18">
        <f>IF(Categorias!H352="","",Categorias!H352)</f>
        <v/>
      </c>
      <c r="E351" s="17">
        <f>IFERROR(IF(INDEX(Gini!$C$2:$C$377,MATCH($A351&amp;"|"&amp;$B351,Gini!$E$2:$E$377,0))="","",INDEX(Gini!$C$2:$C$377,MATCH($A351&amp;"|"&amp;$B351,Gini!$E$2:$E$377,0))),"")</f>
        <v/>
      </c>
      <c r="F351" s="19">
        <f>IFERROR(IF(INDEX(Corrupcion!$E$2:$E$377,MATCH($A351&amp;"|"&amp;$B351,Corrupcion!$H$2:$H$377,0))="","",INDEX(Corrupcion!$E$2:$E$377,MATCH($A351&amp;"|"&amp;$B351,Corrupcion!$H$2:$H$377,0))),"")</f>
        <v/>
      </c>
      <c r="G351" s="20">
        <f>IFERROR(IF(INDEX(Corrupcion!$F$2:$F$377,MATCH($A351&amp;"|"&amp;$B351,Corrupcion!$H$2:$H$377,0))="","",INDEX(Corrupcion!$F$2:$F$377,MATCH($A351&amp;"|"&amp;$B351,Corrupcion!$H$2:$H$377,0))),"")</f>
        <v/>
      </c>
      <c r="H351" s="17">
        <f>IFERROR(IF(INDEX(Corrupcion!$G$2:$G$377,MATCH($A351&amp;"|"&amp;$B351,Corrupcion!$H$2:$H$377,0))="","",INDEX(Corrupcion!$G$2:$G$377,MATCH($A351&amp;"|"&amp;$B351,Corrupcion!$H$2:$H$377,0))),"")</f>
        <v/>
      </c>
      <c r="I351" s="8">
        <f>IF(COUNTBLANK(C351:E351)+COUNTBLANK(F351)=0,1,0)</f>
        <v/>
      </c>
      <c r="J351" s="8">
        <f>IF(COUNTBLANK(C351:E351)+COUNTBLANK(G351)=0,1,0)</f>
        <v/>
      </c>
      <c r="K351" s="8">
        <f>IF(COUNTBLANK(C351:E351)+COUNTBLANK(H351)=0,1,0)</f>
        <v/>
      </c>
    </row>
    <row r="352">
      <c r="A352" s="8" t="inlineStr">
        <is>
          <t>Uruguay</t>
        </is>
      </c>
      <c r="B352" s="8" t="n">
        <v>2016</v>
      </c>
      <c r="C352" s="18">
        <f>IF(Categorias!C353="","",Categorias!C353)</f>
        <v/>
      </c>
      <c r="D352" s="18">
        <f>IF(Categorias!H353="","",Categorias!H353)</f>
        <v/>
      </c>
      <c r="E352" s="17">
        <f>IFERROR(IF(INDEX(Gini!$C$2:$C$377,MATCH($A352&amp;"|"&amp;$B352,Gini!$E$2:$E$377,0))="","",INDEX(Gini!$C$2:$C$377,MATCH($A352&amp;"|"&amp;$B352,Gini!$E$2:$E$377,0))),"")</f>
        <v/>
      </c>
      <c r="F352" s="19">
        <f>IFERROR(IF(INDEX(Corrupcion!$E$2:$E$377,MATCH($A352&amp;"|"&amp;$B352,Corrupcion!$H$2:$H$377,0))="","",INDEX(Corrupcion!$E$2:$E$377,MATCH($A352&amp;"|"&amp;$B352,Corrupcion!$H$2:$H$377,0))),"")</f>
        <v/>
      </c>
      <c r="G352" s="20">
        <f>IFERROR(IF(INDEX(Corrupcion!$F$2:$F$377,MATCH($A352&amp;"|"&amp;$B352,Corrupcion!$H$2:$H$377,0))="","",INDEX(Corrupcion!$F$2:$F$377,MATCH($A352&amp;"|"&amp;$B352,Corrupcion!$H$2:$H$377,0))),"")</f>
        <v/>
      </c>
      <c r="H352" s="17">
        <f>IFERROR(IF(INDEX(Corrupcion!$G$2:$G$377,MATCH($A352&amp;"|"&amp;$B352,Corrupcion!$H$2:$H$377,0))="","",INDEX(Corrupcion!$G$2:$G$377,MATCH($A352&amp;"|"&amp;$B352,Corrupcion!$H$2:$H$377,0))),"")</f>
        <v/>
      </c>
      <c r="I352" s="8">
        <f>IF(COUNTBLANK(C352:E352)+COUNTBLANK(F352)=0,1,0)</f>
        <v/>
      </c>
      <c r="J352" s="8">
        <f>IF(COUNTBLANK(C352:E352)+COUNTBLANK(G352)=0,1,0)</f>
        <v/>
      </c>
      <c r="K352" s="8">
        <f>IF(COUNTBLANK(C352:E352)+COUNTBLANK(H352)=0,1,0)</f>
        <v/>
      </c>
    </row>
    <row r="353">
      <c r="A353" s="8" t="inlineStr">
        <is>
          <t>Uruguay</t>
        </is>
      </c>
      <c r="B353" s="8" t="n">
        <v>2017</v>
      </c>
      <c r="C353" s="18">
        <f>IF(Categorias!C354="","",Categorias!C354)</f>
        <v/>
      </c>
      <c r="D353" s="18">
        <f>IF(Categorias!H354="","",Categorias!H354)</f>
        <v/>
      </c>
      <c r="E353" s="17">
        <f>IFERROR(IF(INDEX(Gini!$C$2:$C$377,MATCH($A353&amp;"|"&amp;$B353,Gini!$E$2:$E$377,0))="","",INDEX(Gini!$C$2:$C$377,MATCH($A353&amp;"|"&amp;$B353,Gini!$E$2:$E$377,0))),"")</f>
        <v/>
      </c>
      <c r="F353" s="19">
        <f>IFERROR(IF(INDEX(Corrupcion!$E$2:$E$377,MATCH($A353&amp;"|"&amp;$B353,Corrupcion!$H$2:$H$377,0))="","",INDEX(Corrupcion!$E$2:$E$377,MATCH($A353&amp;"|"&amp;$B353,Corrupcion!$H$2:$H$377,0))),"")</f>
        <v/>
      </c>
      <c r="G353" s="20">
        <f>IFERROR(IF(INDEX(Corrupcion!$F$2:$F$377,MATCH($A353&amp;"|"&amp;$B353,Corrupcion!$H$2:$H$377,0))="","",INDEX(Corrupcion!$F$2:$F$377,MATCH($A353&amp;"|"&amp;$B353,Corrupcion!$H$2:$H$377,0))),"")</f>
        <v/>
      </c>
      <c r="H353" s="17">
        <f>IFERROR(IF(INDEX(Corrupcion!$G$2:$G$377,MATCH($A353&amp;"|"&amp;$B353,Corrupcion!$H$2:$H$377,0))="","",INDEX(Corrupcion!$G$2:$G$377,MATCH($A353&amp;"|"&amp;$B353,Corrupcion!$H$2:$H$377,0))),"")</f>
        <v/>
      </c>
      <c r="I353" s="8">
        <f>IF(COUNTBLANK(C353:E353)+COUNTBLANK(F353)=0,1,0)</f>
        <v/>
      </c>
      <c r="J353" s="8">
        <f>IF(COUNTBLANK(C353:E353)+COUNTBLANK(G353)=0,1,0)</f>
        <v/>
      </c>
      <c r="K353" s="8">
        <f>IF(COUNTBLANK(C353:E353)+COUNTBLANK(H353)=0,1,0)</f>
        <v/>
      </c>
    </row>
    <row r="354">
      <c r="A354" s="8" t="inlineStr">
        <is>
          <t>Uruguay</t>
        </is>
      </c>
      <c r="B354" s="8" t="n">
        <v>2018</v>
      </c>
      <c r="C354" s="18">
        <f>IF(Categorias!C355="","",Categorias!C355)</f>
        <v/>
      </c>
      <c r="D354" s="18">
        <f>IF(Categorias!H355="","",Categorias!H355)</f>
        <v/>
      </c>
      <c r="E354" s="17">
        <f>IFERROR(IF(INDEX(Gini!$C$2:$C$377,MATCH($A354&amp;"|"&amp;$B354,Gini!$E$2:$E$377,0))="","",INDEX(Gini!$C$2:$C$377,MATCH($A354&amp;"|"&amp;$B354,Gini!$E$2:$E$377,0))),"")</f>
        <v/>
      </c>
      <c r="F354" s="19">
        <f>IFERROR(IF(INDEX(Corrupcion!$E$2:$E$377,MATCH($A354&amp;"|"&amp;$B354,Corrupcion!$H$2:$H$377,0))="","",INDEX(Corrupcion!$E$2:$E$377,MATCH($A354&amp;"|"&amp;$B354,Corrupcion!$H$2:$H$377,0))),"")</f>
        <v/>
      </c>
      <c r="G354" s="20">
        <f>IFERROR(IF(INDEX(Corrupcion!$F$2:$F$377,MATCH($A354&amp;"|"&amp;$B354,Corrupcion!$H$2:$H$377,0))="","",INDEX(Corrupcion!$F$2:$F$377,MATCH($A354&amp;"|"&amp;$B354,Corrupcion!$H$2:$H$377,0))),"")</f>
        <v/>
      </c>
      <c r="H354" s="17">
        <f>IFERROR(IF(INDEX(Corrupcion!$G$2:$G$377,MATCH($A354&amp;"|"&amp;$B354,Corrupcion!$H$2:$H$377,0))="","",INDEX(Corrupcion!$G$2:$G$377,MATCH($A354&amp;"|"&amp;$B354,Corrupcion!$H$2:$H$377,0))),"")</f>
        <v/>
      </c>
      <c r="I354" s="8">
        <f>IF(COUNTBLANK(C354:E354)+COUNTBLANK(F354)=0,1,0)</f>
        <v/>
      </c>
      <c r="J354" s="8">
        <f>IF(COUNTBLANK(C354:E354)+COUNTBLANK(G354)=0,1,0)</f>
        <v/>
      </c>
      <c r="K354" s="8">
        <f>IF(COUNTBLANK(C354:E354)+COUNTBLANK(H354)=0,1,0)</f>
        <v/>
      </c>
    </row>
    <row r="355">
      <c r="A355" s="8" t="inlineStr">
        <is>
          <t>Uruguay</t>
        </is>
      </c>
      <c r="B355" s="8" t="n">
        <v>2020</v>
      </c>
      <c r="C355" s="18">
        <f>IF(Categorias!C356="","",Categorias!C356)</f>
        <v/>
      </c>
      <c r="D355" s="18">
        <f>IF(Categorias!H356="","",Categorias!H356)</f>
        <v/>
      </c>
      <c r="E355" s="17">
        <f>IFERROR(IF(INDEX(Gini!$C$2:$C$377,MATCH($A355&amp;"|"&amp;$B355,Gini!$E$2:$E$377,0))="","",INDEX(Gini!$C$2:$C$377,MATCH($A355&amp;"|"&amp;$B355,Gini!$E$2:$E$377,0))),"")</f>
        <v/>
      </c>
      <c r="F355" s="19">
        <f>IFERROR(IF(INDEX(Corrupcion!$E$2:$E$377,MATCH($A355&amp;"|"&amp;$B355,Corrupcion!$H$2:$H$377,0))="","",INDEX(Corrupcion!$E$2:$E$377,MATCH($A355&amp;"|"&amp;$B355,Corrupcion!$H$2:$H$377,0))),"")</f>
        <v/>
      </c>
      <c r="G355" s="20">
        <f>IFERROR(IF(INDEX(Corrupcion!$F$2:$F$377,MATCH($A355&amp;"|"&amp;$B355,Corrupcion!$H$2:$H$377,0))="","",INDEX(Corrupcion!$F$2:$F$377,MATCH($A355&amp;"|"&amp;$B355,Corrupcion!$H$2:$H$377,0))),"")</f>
        <v/>
      </c>
      <c r="H355" s="17">
        <f>IFERROR(IF(INDEX(Corrupcion!$G$2:$G$377,MATCH($A355&amp;"|"&amp;$B355,Corrupcion!$H$2:$H$377,0))="","",INDEX(Corrupcion!$G$2:$G$377,MATCH($A355&amp;"|"&amp;$B355,Corrupcion!$H$2:$H$377,0))),"")</f>
        <v/>
      </c>
      <c r="I355" s="8">
        <f>IF(COUNTBLANK(C355:E355)+COUNTBLANK(F355)=0,1,0)</f>
        <v/>
      </c>
      <c r="J355" s="8">
        <f>IF(COUNTBLANK(C355:E355)+COUNTBLANK(G355)=0,1,0)</f>
        <v/>
      </c>
      <c r="K355" s="8">
        <f>IF(COUNTBLANK(C355:E355)+COUNTBLANK(H355)=0,1,0)</f>
        <v/>
      </c>
    </row>
    <row r="356">
      <c r="A356" s="8" t="inlineStr">
        <is>
          <t>Uruguay</t>
        </is>
      </c>
      <c r="B356" s="8" t="n">
        <v>2024</v>
      </c>
      <c r="C356" s="18">
        <f>IF(Categorias!C357="","",Categorias!C357)</f>
        <v/>
      </c>
      <c r="D356" s="18">
        <f>IF(Categorias!H357="","",Categorias!H357)</f>
        <v/>
      </c>
      <c r="E356" s="17">
        <f>IFERROR(IF(INDEX(Gini!$C$2:$C$377,MATCH($A356&amp;"|"&amp;$B356,Gini!$E$2:$E$377,0))="","",INDEX(Gini!$C$2:$C$377,MATCH($A356&amp;"|"&amp;$B356,Gini!$E$2:$E$377,0))),"")</f>
        <v/>
      </c>
      <c r="F356" s="19">
        <f>IFERROR(IF(INDEX(Corrupcion!$E$2:$E$377,MATCH($A356&amp;"|"&amp;$B356,Corrupcion!$H$2:$H$377,0))="","",INDEX(Corrupcion!$E$2:$E$377,MATCH($A356&amp;"|"&amp;$B356,Corrupcion!$H$2:$H$377,0))),"")</f>
        <v/>
      </c>
      <c r="G356" s="20">
        <f>IFERROR(IF(INDEX(Corrupcion!$F$2:$F$377,MATCH($A356&amp;"|"&amp;$B356,Corrupcion!$H$2:$H$377,0))="","",INDEX(Corrupcion!$F$2:$F$377,MATCH($A356&amp;"|"&amp;$B356,Corrupcion!$H$2:$H$377,0))),"")</f>
        <v/>
      </c>
      <c r="H356" s="17">
        <f>IFERROR(IF(INDEX(Corrupcion!$G$2:$G$377,MATCH($A356&amp;"|"&amp;$B356,Corrupcion!$H$2:$H$377,0))="","",INDEX(Corrupcion!$G$2:$G$377,MATCH($A356&amp;"|"&amp;$B356,Corrupcion!$H$2:$H$377,0))),"")</f>
        <v/>
      </c>
      <c r="I356" s="8">
        <f>IF(COUNTBLANK(C356:E356)+COUNTBLANK(F356)=0,1,0)</f>
        <v/>
      </c>
      <c r="J356" s="8">
        <f>IF(COUNTBLANK(C356:E356)+COUNTBLANK(G356)=0,1,0)</f>
        <v/>
      </c>
      <c r="K356" s="8">
        <f>IF(COUNTBLANK(C356:E356)+COUNTBLANK(H356)=0,1,0)</f>
        <v/>
      </c>
    </row>
    <row r="357">
      <c r="A357" s="8" t="inlineStr">
        <is>
          <t>Venezuela</t>
        </is>
      </c>
      <c r="B357" s="8" t="n">
        <v>1995</v>
      </c>
      <c r="C357" s="18">
        <f>IF(Categorias!C358="","",Categorias!C358)</f>
        <v/>
      </c>
      <c r="D357" s="18">
        <f>IF(Categorias!H358="","",Categorias!H358)</f>
        <v/>
      </c>
      <c r="E357" s="17">
        <f>IFERROR(IF(INDEX(Gini!$C$2:$C$377,MATCH($A357&amp;"|"&amp;$B357,Gini!$E$2:$E$377,0))="","",INDEX(Gini!$C$2:$C$377,MATCH($A357&amp;"|"&amp;$B357,Gini!$E$2:$E$377,0))),"")</f>
        <v/>
      </c>
      <c r="F357" s="19">
        <f>IFERROR(IF(INDEX(Corrupcion!$E$2:$E$377,MATCH($A357&amp;"|"&amp;$B357,Corrupcion!$H$2:$H$377,0))="","",INDEX(Corrupcion!$E$2:$E$377,MATCH($A357&amp;"|"&amp;$B357,Corrupcion!$H$2:$H$377,0))),"")</f>
        <v/>
      </c>
      <c r="G357" s="20">
        <f>IFERROR(IF(INDEX(Corrupcion!$F$2:$F$377,MATCH($A357&amp;"|"&amp;$B357,Corrupcion!$H$2:$H$377,0))="","",INDEX(Corrupcion!$F$2:$F$377,MATCH($A357&amp;"|"&amp;$B357,Corrupcion!$H$2:$H$377,0))),"")</f>
        <v/>
      </c>
      <c r="H357" s="17">
        <f>IFERROR(IF(INDEX(Corrupcion!$G$2:$G$377,MATCH($A357&amp;"|"&amp;$B357,Corrupcion!$H$2:$H$377,0))="","",INDEX(Corrupcion!$G$2:$G$377,MATCH($A357&amp;"|"&amp;$B357,Corrupcion!$H$2:$H$377,0))),"")</f>
        <v/>
      </c>
      <c r="I357" s="8">
        <f>IF(COUNTBLANK(C357:E357)+COUNTBLANK(F357)=0,1,0)</f>
        <v/>
      </c>
      <c r="J357" s="8">
        <f>IF(COUNTBLANK(C357:E357)+COUNTBLANK(G357)=0,1,0)</f>
        <v/>
      </c>
      <c r="K357" s="8">
        <f>IF(COUNTBLANK(C357:E357)+COUNTBLANK(H357)=0,1,0)</f>
        <v/>
      </c>
    </row>
    <row r="358">
      <c r="A358" s="8" t="inlineStr">
        <is>
          <t>Venezuela</t>
        </is>
      </c>
      <c r="B358" s="8" t="n">
        <v>1996</v>
      </c>
      <c r="C358" s="18">
        <f>IF(Categorias!C359="","",Categorias!C359)</f>
        <v/>
      </c>
      <c r="D358" s="18">
        <f>IF(Categorias!H359="","",Categorias!H359)</f>
        <v/>
      </c>
      <c r="E358" s="17">
        <f>IFERROR(IF(INDEX(Gini!$C$2:$C$377,MATCH($A358&amp;"|"&amp;$B358,Gini!$E$2:$E$377,0))="","",INDEX(Gini!$C$2:$C$377,MATCH($A358&amp;"|"&amp;$B358,Gini!$E$2:$E$377,0))),"")</f>
        <v/>
      </c>
      <c r="F358" s="19">
        <f>IFERROR(IF(INDEX(Corrupcion!$E$2:$E$377,MATCH($A358&amp;"|"&amp;$B358,Corrupcion!$H$2:$H$377,0))="","",INDEX(Corrupcion!$E$2:$E$377,MATCH($A358&amp;"|"&amp;$B358,Corrupcion!$H$2:$H$377,0))),"")</f>
        <v/>
      </c>
      <c r="G358" s="20">
        <f>IFERROR(IF(INDEX(Corrupcion!$F$2:$F$377,MATCH($A358&amp;"|"&amp;$B358,Corrupcion!$H$2:$H$377,0))="","",INDEX(Corrupcion!$F$2:$F$377,MATCH($A358&amp;"|"&amp;$B358,Corrupcion!$H$2:$H$377,0))),"")</f>
        <v/>
      </c>
      <c r="H358" s="17">
        <f>IFERROR(IF(INDEX(Corrupcion!$G$2:$G$377,MATCH($A358&amp;"|"&amp;$B358,Corrupcion!$H$2:$H$377,0))="","",INDEX(Corrupcion!$G$2:$G$377,MATCH($A358&amp;"|"&amp;$B358,Corrupcion!$H$2:$H$377,0))),"")</f>
        <v/>
      </c>
      <c r="I358" s="8">
        <f>IF(COUNTBLANK(C358:E358)+COUNTBLANK(F358)=0,1,0)</f>
        <v/>
      </c>
      <c r="J358" s="8">
        <f>IF(COUNTBLANK(C358:E358)+COUNTBLANK(G358)=0,1,0)</f>
        <v/>
      </c>
      <c r="K358" s="8">
        <f>IF(COUNTBLANK(C358:E358)+COUNTBLANK(H358)=0,1,0)</f>
        <v/>
      </c>
    </row>
    <row r="359">
      <c r="A359" s="8" t="inlineStr">
        <is>
          <t>Venezuela</t>
        </is>
      </c>
      <c r="B359" s="8" t="n">
        <v>1997</v>
      </c>
      <c r="C359" s="18">
        <f>IF(Categorias!C360="","",Categorias!C360)</f>
        <v/>
      </c>
      <c r="D359" s="18">
        <f>IF(Categorias!H360="","",Categorias!H360)</f>
        <v/>
      </c>
      <c r="E359" s="17">
        <f>IFERROR(IF(INDEX(Gini!$C$2:$C$377,MATCH($A359&amp;"|"&amp;$B359,Gini!$E$2:$E$377,0))="","",INDEX(Gini!$C$2:$C$377,MATCH($A359&amp;"|"&amp;$B359,Gini!$E$2:$E$377,0))),"")</f>
        <v/>
      </c>
      <c r="F359" s="19">
        <f>IFERROR(IF(INDEX(Corrupcion!$E$2:$E$377,MATCH($A359&amp;"|"&amp;$B359,Corrupcion!$H$2:$H$377,0))="","",INDEX(Corrupcion!$E$2:$E$377,MATCH($A359&amp;"|"&amp;$B359,Corrupcion!$H$2:$H$377,0))),"")</f>
        <v/>
      </c>
      <c r="G359" s="20">
        <f>IFERROR(IF(INDEX(Corrupcion!$F$2:$F$377,MATCH($A359&amp;"|"&amp;$B359,Corrupcion!$H$2:$H$377,0))="","",INDEX(Corrupcion!$F$2:$F$377,MATCH($A359&amp;"|"&amp;$B359,Corrupcion!$H$2:$H$377,0))),"")</f>
        <v/>
      </c>
      <c r="H359" s="17">
        <f>IFERROR(IF(INDEX(Corrupcion!$G$2:$G$377,MATCH($A359&amp;"|"&amp;$B359,Corrupcion!$H$2:$H$377,0))="","",INDEX(Corrupcion!$G$2:$G$377,MATCH($A359&amp;"|"&amp;$B359,Corrupcion!$H$2:$H$377,0))),"")</f>
        <v/>
      </c>
      <c r="I359" s="8">
        <f>IF(COUNTBLANK(C359:E359)+COUNTBLANK(F359)=0,1,0)</f>
        <v/>
      </c>
      <c r="J359" s="8">
        <f>IF(COUNTBLANK(C359:E359)+COUNTBLANK(G359)=0,1,0)</f>
        <v/>
      </c>
      <c r="K359" s="8">
        <f>IF(COUNTBLANK(C359:E359)+COUNTBLANK(H359)=0,1,0)</f>
        <v/>
      </c>
    </row>
    <row r="360">
      <c r="A360" s="8" t="inlineStr">
        <is>
          <t>Venezuela</t>
        </is>
      </c>
      <c r="B360" s="8" t="n">
        <v>1998</v>
      </c>
      <c r="C360" s="18">
        <f>IF(Categorias!C361="","",Categorias!C361)</f>
        <v/>
      </c>
      <c r="D360" s="18">
        <f>IF(Categorias!H361="","",Categorias!H361)</f>
        <v/>
      </c>
      <c r="E360" s="17">
        <f>IFERROR(IF(INDEX(Gini!$C$2:$C$377,MATCH($A360&amp;"|"&amp;$B360,Gini!$E$2:$E$377,0))="","",INDEX(Gini!$C$2:$C$377,MATCH($A360&amp;"|"&amp;$B360,Gini!$E$2:$E$377,0))),"")</f>
        <v/>
      </c>
      <c r="F360" s="19">
        <f>IFERROR(IF(INDEX(Corrupcion!$E$2:$E$377,MATCH($A360&amp;"|"&amp;$B360,Corrupcion!$H$2:$H$377,0))="","",INDEX(Corrupcion!$E$2:$E$377,MATCH($A360&amp;"|"&amp;$B360,Corrupcion!$H$2:$H$377,0))),"")</f>
        <v/>
      </c>
      <c r="G360" s="20">
        <f>IFERROR(IF(INDEX(Corrupcion!$F$2:$F$377,MATCH($A360&amp;"|"&amp;$B360,Corrupcion!$H$2:$H$377,0))="","",INDEX(Corrupcion!$F$2:$F$377,MATCH($A360&amp;"|"&amp;$B360,Corrupcion!$H$2:$H$377,0))),"")</f>
        <v/>
      </c>
      <c r="H360" s="17">
        <f>IFERROR(IF(INDEX(Corrupcion!$G$2:$G$377,MATCH($A360&amp;"|"&amp;$B360,Corrupcion!$H$2:$H$377,0))="","",INDEX(Corrupcion!$G$2:$G$377,MATCH($A360&amp;"|"&amp;$B360,Corrupcion!$H$2:$H$377,0))),"")</f>
        <v/>
      </c>
      <c r="I360" s="8">
        <f>IF(COUNTBLANK(C360:E360)+COUNTBLANK(F360)=0,1,0)</f>
        <v/>
      </c>
      <c r="J360" s="8">
        <f>IF(COUNTBLANK(C360:E360)+COUNTBLANK(G360)=0,1,0)</f>
        <v/>
      </c>
      <c r="K360" s="8">
        <f>IF(COUNTBLANK(C360:E360)+COUNTBLANK(H360)=0,1,0)</f>
        <v/>
      </c>
    </row>
    <row r="361">
      <c r="A361" s="8" t="inlineStr">
        <is>
          <t>Venezuela</t>
        </is>
      </c>
      <c r="B361" s="8" t="n">
        <v>2000</v>
      </c>
      <c r="C361" s="18">
        <f>IF(Categorias!C362="","",Categorias!C362)</f>
        <v/>
      </c>
      <c r="D361" s="18">
        <f>IF(Categorias!H362="","",Categorias!H362)</f>
        <v/>
      </c>
      <c r="E361" s="17">
        <f>IFERROR(IF(INDEX(Gini!$C$2:$C$377,MATCH($A361&amp;"|"&amp;$B361,Gini!$E$2:$E$377,0))="","",INDEX(Gini!$C$2:$C$377,MATCH($A361&amp;"|"&amp;$B361,Gini!$E$2:$E$377,0))),"")</f>
        <v/>
      </c>
      <c r="F361" s="19">
        <f>IFERROR(IF(INDEX(Corrupcion!$E$2:$E$377,MATCH($A361&amp;"|"&amp;$B361,Corrupcion!$H$2:$H$377,0))="","",INDEX(Corrupcion!$E$2:$E$377,MATCH($A361&amp;"|"&amp;$B361,Corrupcion!$H$2:$H$377,0))),"")</f>
        <v/>
      </c>
      <c r="G361" s="20">
        <f>IFERROR(IF(INDEX(Corrupcion!$F$2:$F$377,MATCH($A361&amp;"|"&amp;$B361,Corrupcion!$H$2:$H$377,0))="","",INDEX(Corrupcion!$F$2:$F$377,MATCH($A361&amp;"|"&amp;$B361,Corrupcion!$H$2:$H$377,0))),"")</f>
        <v/>
      </c>
      <c r="H361" s="17">
        <f>IFERROR(IF(INDEX(Corrupcion!$G$2:$G$377,MATCH($A361&amp;"|"&amp;$B361,Corrupcion!$H$2:$H$377,0))="","",INDEX(Corrupcion!$G$2:$G$377,MATCH($A361&amp;"|"&amp;$B361,Corrupcion!$H$2:$H$377,0))),"")</f>
        <v/>
      </c>
      <c r="I361" s="8">
        <f>IF(COUNTBLANK(C361:E361)+COUNTBLANK(F361)=0,1,0)</f>
        <v/>
      </c>
      <c r="J361" s="8">
        <f>IF(COUNTBLANK(C361:E361)+COUNTBLANK(G361)=0,1,0)</f>
        <v/>
      </c>
      <c r="K361" s="8">
        <f>IF(COUNTBLANK(C361:E361)+COUNTBLANK(H361)=0,1,0)</f>
        <v/>
      </c>
    </row>
    <row r="362">
      <c r="A362" s="8" t="inlineStr">
        <is>
          <t>Venezuela</t>
        </is>
      </c>
      <c r="B362" s="8" t="n">
        <v>2001</v>
      </c>
      <c r="C362" s="18">
        <f>IF(Categorias!C363="","",Categorias!C363)</f>
        <v/>
      </c>
      <c r="D362" s="18">
        <f>IF(Categorias!H363="","",Categorias!H363)</f>
        <v/>
      </c>
      <c r="E362" s="17">
        <f>IFERROR(IF(INDEX(Gini!$C$2:$C$377,MATCH($A362&amp;"|"&amp;$B362,Gini!$E$2:$E$377,0))="","",INDEX(Gini!$C$2:$C$377,MATCH($A362&amp;"|"&amp;$B362,Gini!$E$2:$E$377,0))),"")</f>
        <v/>
      </c>
      <c r="F362" s="19">
        <f>IFERROR(IF(INDEX(Corrupcion!$E$2:$E$377,MATCH($A362&amp;"|"&amp;$B362,Corrupcion!$H$2:$H$377,0))="","",INDEX(Corrupcion!$E$2:$E$377,MATCH($A362&amp;"|"&amp;$B362,Corrupcion!$H$2:$H$377,0))),"")</f>
        <v/>
      </c>
      <c r="G362" s="20">
        <f>IFERROR(IF(INDEX(Corrupcion!$F$2:$F$377,MATCH($A362&amp;"|"&amp;$B362,Corrupcion!$H$2:$H$377,0))="","",INDEX(Corrupcion!$F$2:$F$377,MATCH($A362&amp;"|"&amp;$B362,Corrupcion!$H$2:$H$377,0))),"")</f>
        <v/>
      </c>
      <c r="H362" s="17">
        <f>IFERROR(IF(INDEX(Corrupcion!$G$2:$G$377,MATCH($A362&amp;"|"&amp;$B362,Corrupcion!$H$2:$H$377,0))="","",INDEX(Corrupcion!$G$2:$G$377,MATCH($A362&amp;"|"&amp;$B362,Corrupcion!$H$2:$H$377,0))),"")</f>
        <v/>
      </c>
      <c r="I362" s="8">
        <f>IF(COUNTBLANK(C362:E362)+COUNTBLANK(F362)=0,1,0)</f>
        <v/>
      </c>
      <c r="J362" s="8">
        <f>IF(COUNTBLANK(C362:E362)+COUNTBLANK(G362)=0,1,0)</f>
        <v/>
      </c>
      <c r="K362" s="8">
        <f>IF(COUNTBLANK(C362:E362)+COUNTBLANK(H362)=0,1,0)</f>
        <v/>
      </c>
    </row>
    <row r="363">
      <c r="A363" s="8" t="inlineStr">
        <is>
          <t>Venezuela</t>
        </is>
      </c>
      <c r="B363" s="8" t="n">
        <v>2002</v>
      </c>
      <c r="C363" s="18">
        <f>IF(Categorias!C364="","",Categorias!C364)</f>
        <v/>
      </c>
      <c r="D363" s="18">
        <f>IF(Categorias!H364="","",Categorias!H364)</f>
        <v/>
      </c>
      <c r="E363" s="17">
        <f>IFERROR(IF(INDEX(Gini!$C$2:$C$377,MATCH($A363&amp;"|"&amp;$B363,Gini!$E$2:$E$377,0))="","",INDEX(Gini!$C$2:$C$377,MATCH($A363&amp;"|"&amp;$B363,Gini!$E$2:$E$377,0))),"")</f>
        <v/>
      </c>
      <c r="F363" s="19">
        <f>IFERROR(IF(INDEX(Corrupcion!$E$2:$E$377,MATCH($A363&amp;"|"&amp;$B363,Corrupcion!$H$2:$H$377,0))="","",INDEX(Corrupcion!$E$2:$E$377,MATCH($A363&amp;"|"&amp;$B363,Corrupcion!$H$2:$H$377,0))),"")</f>
        <v/>
      </c>
      <c r="G363" s="20">
        <f>IFERROR(IF(INDEX(Corrupcion!$F$2:$F$377,MATCH($A363&amp;"|"&amp;$B363,Corrupcion!$H$2:$H$377,0))="","",INDEX(Corrupcion!$F$2:$F$377,MATCH($A363&amp;"|"&amp;$B363,Corrupcion!$H$2:$H$377,0))),"")</f>
        <v/>
      </c>
      <c r="H363" s="17">
        <f>IFERROR(IF(INDEX(Corrupcion!$G$2:$G$377,MATCH($A363&amp;"|"&amp;$B363,Corrupcion!$H$2:$H$377,0))="","",INDEX(Corrupcion!$G$2:$G$377,MATCH($A363&amp;"|"&amp;$B363,Corrupcion!$H$2:$H$377,0))),"")</f>
        <v/>
      </c>
      <c r="I363" s="8">
        <f>IF(COUNTBLANK(C363:E363)+COUNTBLANK(F363)=0,1,0)</f>
        <v/>
      </c>
      <c r="J363" s="8">
        <f>IF(COUNTBLANK(C363:E363)+COUNTBLANK(G363)=0,1,0)</f>
        <v/>
      </c>
      <c r="K363" s="8">
        <f>IF(COUNTBLANK(C363:E363)+COUNTBLANK(H363)=0,1,0)</f>
        <v/>
      </c>
    </row>
    <row r="364">
      <c r="A364" s="8" t="inlineStr">
        <is>
          <t>Venezuela</t>
        </is>
      </c>
      <c r="B364" s="8" t="n">
        <v>2003</v>
      </c>
      <c r="C364" s="18">
        <f>IF(Categorias!C365="","",Categorias!C365)</f>
        <v/>
      </c>
      <c r="D364" s="18">
        <f>IF(Categorias!H365="","",Categorias!H365)</f>
        <v/>
      </c>
      <c r="E364" s="17">
        <f>IFERROR(IF(INDEX(Gini!$C$2:$C$377,MATCH($A364&amp;"|"&amp;$B364,Gini!$E$2:$E$377,0))="","",INDEX(Gini!$C$2:$C$377,MATCH($A364&amp;"|"&amp;$B364,Gini!$E$2:$E$377,0))),"")</f>
        <v/>
      </c>
      <c r="F364" s="19">
        <f>IFERROR(IF(INDEX(Corrupcion!$E$2:$E$377,MATCH($A364&amp;"|"&amp;$B364,Corrupcion!$H$2:$H$377,0))="","",INDEX(Corrupcion!$E$2:$E$377,MATCH($A364&amp;"|"&amp;$B364,Corrupcion!$H$2:$H$377,0))),"")</f>
        <v/>
      </c>
      <c r="G364" s="20">
        <f>IFERROR(IF(INDEX(Corrupcion!$F$2:$F$377,MATCH($A364&amp;"|"&amp;$B364,Corrupcion!$H$2:$H$377,0))="","",INDEX(Corrupcion!$F$2:$F$377,MATCH($A364&amp;"|"&amp;$B364,Corrupcion!$H$2:$H$377,0))),"")</f>
        <v/>
      </c>
      <c r="H364" s="17">
        <f>IFERROR(IF(INDEX(Corrupcion!$G$2:$G$377,MATCH($A364&amp;"|"&amp;$B364,Corrupcion!$H$2:$H$377,0))="","",INDEX(Corrupcion!$G$2:$G$377,MATCH($A364&amp;"|"&amp;$B364,Corrupcion!$H$2:$H$377,0))),"")</f>
        <v/>
      </c>
      <c r="I364" s="8">
        <f>IF(COUNTBLANK(C364:E364)+COUNTBLANK(F364)=0,1,0)</f>
        <v/>
      </c>
      <c r="J364" s="8">
        <f>IF(COUNTBLANK(C364:E364)+COUNTBLANK(G364)=0,1,0)</f>
        <v/>
      </c>
      <c r="K364" s="8">
        <f>IF(COUNTBLANK(C364:E364)+COUNTBLANK(H364)=0,1,0)</f>
        <v/>
      </c>
    </row>
    <row r="365">
      <c r="A365" s="8" t="inlineStr">
        <is>
          <t>Venezuela</t>
        </is>
      </c>
      <c r="B365" s="8" t="n">
        <v>2004</v>
      </c>
      <c r="C365" s="18">
        <f>IF(Categorias!C366="","",Categorias!C366)</f>
        <v/>
      </c>
      <c r="D365" s="18">
        <f>IF(Categorias!H366="","",Categorias!H366)</f>
        <v/>
      </c>
      <c r="E365" s="17">
        <f>IFERROR(IF(INDEX(Gini!$C$2:$C$377,MATCH($A365&amp;"|"&amp;$B365,Gini!$E$2:$E$377,0))="","",INDEX(Gini!$C$2:$C$377,MATCH($A365&amp;"|"&amp;$B365,Gini!$E$2:$E$377,0))),"")</f>
        <v/>
      </c>
      <c r="F365" s="19">
        <f>IFERROR(IF(INDEX(Corrupcion!$E$2:$E$377,MATCH($A365&amp;"|"&amp;$B365,Corrupcion!$H$2:$H$377,0))="","",INDEX(Corrupcion!$E$2:$E$377,MATCH($A365&amp;"|"&amp;$B365,Corrupcion!$H$2:$H$377,0))),"")</f>
        <v/>
      </c>
      <c r="G365" s="20">
        <f>IFERROR(IF(INDEX(Corrupcion!$F$2:$F$377,MATCH($A365&amp;"|"&amp;$B365,Corrupcion!$H$2:$H$377,0))="","",INDEX(Corrupcion!$F$2:$F$377,MATCH($A365&amp;"|"&amp;$B365,Corrupcion!$H$2:$H$377,0))),"")</f>
        <v/>
      </c>
      <c r="H365" s="17">
        <f>IFERROR(IF(INDEX(Corrupcion!$G$2:$G$377,MATCH($A365&amp;"|"&amp;$B365,Corrupcion!$H$2:$H$377,0))="","",INDEX(Corrupcion!$G$2:$G$377,MATCH($A365&amp;"|"&amp;$B365,Corrupcion!$H$2:$H$377,0))),"")</f>
        <v/>
      </c>
      <c r="I365" s="8">
        <f>IF(COUNTBLANK(C365:E365)+COUNTBLANK(F365)=0,1,0)</f>
        <v/>
      </c>
      <c r="J365" s="8">
        <f>IF(COUNTBLANK(C365:E365)+COUNTBLANK(G365)=0,1,0)</f>
        <v/>
      </c>
      <c r="K365" s="8">
        <f>IF(COUNTBLANK(C365:E365)+COUNTBLANK(H365)=0,1,0)</f>
        <v/>
      </c>
    </row>
    <row r="366">
      <c r="A366" s="8" t="inlineStr">
        <is>
          <t>Venezuela</t>
        </is>
      </c>
      <c r="B366" s="8" t="n">
        <v>2005</v>
      </c>
      <c r="C366" s="18">
        <f>IF(Categorias!C367="","",Categorias!C367)</f>
        <v/>
      </c>
      <c r="D366" s="18">
        <f>IF(Categorias!H367="","",Categorias!H367)</f>
        <v/>
      </c>
      <c r="E366" s="17">
        <f>IFERROR(IF(INDEX(Gini!$C$2:$C$377,MATCH($A366&amp;"|"&amp;$B366,Gini!$E$2:$E$377,0))="","",INDEX(Gini!$C$2:$C$377,MATCH($A366&amp;"|"&amp;$B366,Gini!$E$2:$E$377,0))),"")</f>
        <v/>
      </c>
      <c r="F366" s="19">
        <f>IFERROR(IF(INDEX(Corrupcion!$E$2:$E$377,MATCH($A366&amp;"|"&amp;$B366,Corrupcion!$H$2:$H$377,0))="","",INDEX(Corrupcion!$E$2:$E$377,MATCH($A366&amp;"|"&amp;$B366,Corrupcion!$H$2:$H$377,0))),"")</f>
        <v/>
      </c>
      <c r="G366" s="20">
        <f>IFERROR(IF(INDEX(Corrupcion!$F$2:$F$377,MATCH($A366&amp;"|"&amp;$B366,Corrupcion!$H$2:$H$377,0))="","",INDEX(Corrupcion!$F$2:$F$377,MATCH($A366&amp;"|"&amp;$B366,Corrupcion!$H$2:$H$377,0))),"")</f>
        <v/>
      </c>
      <c r="H366" s="17">
        <f>IFERROR(IF(INDEX(Corrupcion!$G$2:$G$377,MATCH($A366&amp;"|"&amp;$B366,Corrupcion!$H$2:$H$377,0))="","",INDEX(Corrupcion!$G$2:$G$377,MATCH($A366&amp;"|"&amp;$B366,Corrupcion!$H$2:$H$377,0))),"")</f>
        <v/>
      </c>
      <c r="I366" s="8">
        <f>IF(COUNTBLANK(C366:E366)+COUNTBLANK(F366)=0,1,0)</f>
        <v/>
      </c>
      <c r="J366" s="8">
        <f>IF(COUNTBLANK(C366:E366)+COUNTBLANK(G366)=0,1,0)</f>
        <v/>
      </c>
      <c r="K366" s="8">
        <f>IF(COUNTBLANK(C366:E366)+COUNTBLANK(H366)=0,1,0)</f>
        <v/>
      </c>
    </row>
    <row r="367">
      <c r="A367" s="8" t="inlineStr">
        <is>
          <t>Venezuela</t>
        </is>
      </c>
      <c r="B367" s="8" t="n">
        <v>2006</v>
      </c>
      <c r="C367" s="18">
        <f>IF(Categorias!C368="","",Categorias!C368)</f>
        <v/>
      </c>
      <c r="D367" s="18">
        <f>IF(Categorias!H368="","",Categorias!H368)</f>
        <v/>
      </c>
      <c r="E367" s="17">
        <f>IFERROR(IF(INDEX(Gini!$C$2:$C$377,MATCH($A367&amp;"|"&amp;$B367,Gini!$E$2:$E$377,0))="","",INDEX(Gini!$C$2:$C$377,MATCH($A367&amp;"|"&amp;$B367,Gini!$E$2:$E$377,0))),"")</f>
        <v/>
      </c>
      <c r="F367" s="19">
        <f>IFERROR(IF(INDEX(Corrupcion!$E$2:$E$377,MATCH($A367&amp;"|"&amp;$B367,Corrupcion!$H$2:$H$377,0))="","",INDEX(Corrupcion!$E$2:$E$377,MATCH($A367&amp;"|"&amp;$B367,Corrupcion!$H$2:$H$377,0))),"")</f>
        <v/>
      </c>
      <c r="G367" s="20">
        <f>IFERROR(IF(INDEX(Corrupcion!$F$2:$F$377,MATCH($A367&amp;"|"&amp;$B367,Corrupcion!$H$2:$H$377,0))="","",INDEX(Corrupcion!$F$2:$F$377,MATCH($A367&amp;"|"&amp;$B367,Corrupcion!$H$2:$H$377,0))),"")</f>
        <v/>
      </c>
      <c r="H367" s="17">
        <f>IFERROR(IF(INDEX(Corrupcion!$G$2:$G$377,MATCH($A367&amp;"|"&amp;$B367,Corrupcion!$H$2:$H$377,0))="","",INDEX(Corrupcion!$G$2:$G$377,MATCH($A367&amp;"|"&amp;$B367,Corrupcion!$H$2:$H$377,0))),"")</f>
        <v/>
      </c>
      <c r="I367" s="8">
        <f>IF(COUNTBLANK(C367:E367)+COUNTBLANK(F367)=0,1,0)</f>
        <v/>
      </c>
      <c r="J367" s="8">
        <f>IF(COUNTBLANK(C367:E367)+COUNTBLANK(G367)=0,1,0)</f>
        <v/>
      </c>
      <c r="K367" s="8">
        <f>IF(COUNTBLANK(C367:E367)+COUNTBLANK(H367)=0,1,0)</f>
        <v/>
      </c>
    </row>
    <row r="368">
      <c r="A368" s="8" t="inlineStr">
        <is>
          <t>Venezuela</t>
        </is>
      </c>
      <c r="B368" s="8" t="n">
        <v>2007</v>
      </c>
      <c r="C368" s="18">
        <f>IF(Categorias!C369="","",Categorias!C369)</f>
        <v/>
      </c>
      <c r="D368" s="18">
        <f>IF(Categorias!H369="","",Categorias!H369)</f>
        <v/>
      </c>
      <c r="E368" s="17">
        <f>IFERROR(IF(INDEX(Gini!$C$2:$C$377,MATCH($A368&amp;"|"&amp;$B368,Gini!$E$2:$E$377,0))="","",INDEX(Gini!$C$2:$C$377,MATCH($A368&amp;"|"&amp;$B368,Gini!$E$2:$E$377,0))),"")</f>
        <v/>
      </c>
      <c r="F368" s="19">
        <f>IFERROR(IF(INDEX(Corrupcion!$E$2:$E$377,MATCH($A368&amp;"|"&amp;$B368,Corrupcion!$H$2:$H$377,0))="","",INDEX(Corrupcion!$E$2:$E$377,MATCH($A368&amp;"|"&amp;$B368,Corrupcion!$H$2:$H$377,0))),"")</f>
        <v/>
      </c>
      <c r="G368" s="20">
        <f>IFERROR(IF(INDEX(Corrupcion!$F$2:$F$377,MATCH($A368&amp;"|"&amp;$B368,Corrupcion!$H$2:$H$377,0))="","",INDEX(Corrupcion!$F$2:$F$377,MATCH($A368&amp;"|"&amp;$B368,Corrupcion!$H$2:$H$377,0))),"")</f>
        <v/>
      </c>
      <c r="H368" s="17">
        <f>IFERROR(IF(INDEX(Corrupcion!$G$2:$G$377,MATCH($A368&amp;"|"&amp;$B368,Corrupcion!$H$2:$H$377,0))="","",INDEX(Corrupcion!$G$2:$G$377,MATCH($A368&amp;"|"&amp;$B368,Corrupcion!$H$2:$H$377,0))),"")</f>
        <v/>
      </c>
      <c r="I368" s="8">
        <f>IF(COUNTBLANK(C368:E368)+COUNTBLANK(F368)=0,1,0)</f>
        <v/>
      </c>
      <c r="J368" s="8">
        <f>IF(COUNTBLANK(C368:E368)+COUNTBLANK(G368)=0,1,0)</f>
        <v/>
      </c>
      <c r="K368" s="8">
        <f>IF(COUNTBLANK(C368:E368)+COUNTBLANK(H368)=0,1,0)</f>
        <v/>
      </c>
    </row>
    <row r="369">
      <c r="A369" s="8" t="inlineStr">
        <is>
          <t>Venezuela</t>
        </is>
      </c>
      <c r="B369" s="8" t="n">
        <v>2008</v>
      </c>
      <c r="C369" s="18">
        <f>IF(Categorias!C370="","",Categorias!C370)</f>
        <v/>
      </c>
      <c r="D369" s="18">
        <f>IF(Categorias!H370="","",Categorias!H370)</f>
        <v/>
      </c>
      <c r="E369" s="17">
        <f>IFERROR(IF(INDEX(Gini!$C$2:$C$377,MATCH($A369&amp;"|"&amp;$B369,Gini!$E$2:$E$377,0))="","",INDEX(Gini!$C$2:$C$377,MATCH($A369&amp;"|"&amp;$B369,Gini!$E$2:$E$377,0))),"")</f>
        <v/>
      </c>
      <c r="F369" s="19">
        <f>IFERROR(IF(INDEX(Corrupcion!$E$2:$E$377,MATCH($A369&amp;"|"&amp;$B369,Corrupcion!$H$2:$H$377,0))="","",INDEX(Corrupcion!$E$2:$E$377,MATCH($A369&amp;"|"&amp;$B369,Corrupcion!$H$2:$H$377,0))),"")</f>
        <v/>
      </c>
      <c r="G369" s="20">
        <f>IFERROR(IF(INDEX(Corrupcion!$F$2:$F$377,MATCH($A369&amp;"|"&amp;$B369,Corrupcion!$H$2:$H$377,0))="","",INDEX(Corrupcion!$F$2:$F$377,MATCH($A369&amp;"|"&amp;$B369,Corrupcion!$H$2:$H$377,0))),"")</f>
        <v/>
      </c>
      <c r="H369" s="17">
        <f>IFERROR(IF(INDEX(Corrupcion!$G$2:$G$377,MATCH($A369&amp;"|"&amp;$B369,Corrupcion!$H$2:$H$377,0))="","",INDEX(Corrupcion!$G$2:$G$377,MATCH($A369&amp;"|"&amp;$B369,Corrupcion!$H$2:$H$377,0))),"")</f>
        <v/>
      </c>
      <c r="I369" s="8">
        <f>IF(COUNTBLANK(C369:E369)+COUNTBLANK(F369)=0,1,0)</f>
        <v/>
      </c>
      <c r="J369" s="8">
        <f>IF(COUNTBLANK(C369:E369)+COUNTBLANK(G369)=0,1,0)</f>
        <v/>
      </c>
      <c r="K369" s="8">
        <f>IF(COUNTBLANK(C369:E369)+COUNTBLANK(H369)=0,1,0)</f>
        <v/>
      </c>
    </row>
    <row r="370">
      <c r="A370" s="8" t="inlineStr">
        <is>
          <t>Venezuela</t>
        </is>
      </c>
      <c r="B370" s="8" t="n">
        <v>2009</v>
      </c>
      <c r="C370" s="18">
        <f>IF(Categorias!C371="","",Categorias!C371)</f>
        <v/>
      </c>
      <c r="D370" s="18">
        <f>IF(Categorias!H371="","",Categorias!H371)</f>
        <v/>
      </c>
      <c r="E370" s="17">
        <f>IFERROR(IF(INDEX(Gini!$C$2:$C$377,MATCH($A370&amp;"|"&amp;$B370,Gini!$E$2:$E$377,0))="","",INDEX(Gini!$C$2:$C$377,MATCH($A370&amp;"|"&amp;$B370,Gini!$E$2:$E$377,0))),"")</f>
        <v/>
      </c>
      <c r="F370" s="19">
        <f>IFERROR(IF(INDEX(Corrupcion!$E$2:$E$377,MATCH($A370&amp;"|"&amp;$B370,Corrupcion!$H$2:$H$377,0))="","",INDEX(Corrupcion!$E$2:$E$377,MATCH($A370&amp;"|"&amp;$B370,Corrupcion!$H$2:$H$377,0))),"")</f>
        <v/>
      </c>
      <c r="G370" s="20">
        <f>IFERROR(IF(INDEX(Corrupcion!$F$2:$F$377,MATCH($A370&amp;"|"&amp;$B370,Corrupcion!$H$2:$H$377,0))="","",INDEX(Corrupcion!$F$2:$F$377,MATCH($A370&amp;"|"&amp;$B370,Corrupcion!$H$2:$H$377,0))),"")</f>
        <v/>
      </c>
      <c r="H370" s="17">
        <f>IFERROR(IF(INDEX(Corrupcion!$G$2:$G$377,MATCH($A370&amp;"|"&amp;$B370,Corrupcion!$H$2:$H$377,0))="","",INDEX(Corrupcion!$G$2:$G$377,MATCH($A370&amp;"|"&amp;$B370,Corrupcion!$H$2:$H$377,0))),"")</f>
        <v/>
      </c>
      <c r="I370" s="8">
        <f>IF(COUNTBLANK(C370:E370)+COUNTBLANK(F370)=0,1,0)</f>
        <v/>
      </c>
      <c r="J370" s="8">
        <f>IF(COUNTBLANK(C370:E370)+COUNTBLANK(G370)=0,1,0)</f>
        <v/>
      </c>
      <c r="K370" s="8">
        <f>IF(COUNTBLANK(C370:E370)+COUNTBLANK(H370)=0,1,0)</f>
        <v/>
      </c>
    </row>
    <row r="371">
      <c r="A371" s="8" t="inlineStr">
        <is>
          <t>Venezuela</t>
        </is>
      </c>
      <c r="B371" s="8" t="n">
        <v>2010</v>
      </c>
      <c r="C371" s="18">
        <f>IF(Categorias!C372="","",Categorias!C372)</f>
        <v/>
      </c>
      <c r="D371" s="18">
        <f>IF(Categorias!H372="","",Categorias!H372)</f>
        <v/>
      </c>
      <c r="E371" s="17">
        <f>IFERROR(IF(INDEX(Gini!$C$2:$C$377,MATCH($A371&amp;"|"&amp;$B371,Gini!$E$2:$E$377,0))="","",INDEX(Gini!$C$2:$C$377,MATCH($A371&amp;"|"&amp;$B371,Gini!$E$2:$E$377,0))),"")</f>
        <v/>
      </c>
      <c r="F371" s="19">
        <f>IFERROR(IF(INDEX(Corrupcion!$E$2:$E$377,MATCH($A371&amp;"|"&amp;$B371,Corrupcion!$H$2:$H$377,0))="","",INDEX(Corrupcion!$E$2:$E$377,MATCH($A371&amp;"|"&amp;$B371,Corrupcion!$H$2:$H$377,0))),"")</f>
        <v/>
      </c>
      <c r="G371" s="20">
        <f>IFERROR(IF(INDEX(Corrupcion!$F$2:$F$377,MATCH($A371&amp;"|"&amp;$B371,Corrupcion!$H$2:$H$377,0))="","",INDEX(Corrupcion!$F$2:$F$377,MATCH($A371&amp;"|"&amp;$B371,Corrupcion!$H$2:$H$377,0))),"")</f>
        <v/>
      </c>
      <c r="H371" s="17">
        <f>IFERROR(IF(INDEX(Corrupcion!$G$2:$G$377,MATCH($A371&amp;"|"&amp;$B371,Corrupcion!$H$2:$H$377,0))="","",INDEX(Corrupcion!$G$2:$G$377,MATCH($A371&amp;"|"&amp;$B371,Corrupcion!$H$2:$H$377,0))),"")</f>
        <v/>
      </c>
      <c r="I371" s="8">
        <f>IF(COUNTBLANK(C371:E371)+COUNTBLANK(F371)=0,1,0)</f>
        <v/>
      </c>
      <c r="J371" s="8">
        <f>IF(COUNTBLANK(C371:E371)+COUNTBLANK(G371)=0,1,0)</f>
        <v/>
      </c>
      <c r="K371" s="8">
        <f>IF(COUNTBLANK(C371:E371)+COUNTBLANK(H371)=0,1,0)</f>
        <v/>
      </c>
    </row>
    <row r="372">
      <c r="A372" s="8" t="inlineStr">
        <is>
          <t>Venezuela</t>
        </is>
      </c>
      <c r="B372" s="8" t="n">
        <v>2011</v>
      </c>
      <c r="C372" s="18">
        <f>IF(Categorias!C373="","",Categorias!C373)</f>
        <v/>
      </c>
      <c r="D372" s="18">
        <f>IF(Categorias!H373="","",Categorias!H373)</f>
        <v/>
      </c>
      <c r="E372" s="17">
        <f>IFERROR(IF(INDEX(Gini!$C$2:$C$377,MATCH($A372&amp;"|"&amp;$B372,Gini!$E$2:$E$377,0))="","",INDEX(Gini!$C$2:$C$377,MATCH($A372&amp;"|"&amp;$B372,Gini!$E$2:$E$377,0))),"")</f>
        <v/>
      </c>
      <c r="F372" s="19">
        <f>IFERROR(IF(INDEX(Corrupcion!$E$2:$E$377,MATCH($A372&amp;"|"&amp;$B372,Corrupcion!$H$2:$H$377,0))="","",INDEX(Corrupcion!$E$2:$E$377,MATCH($A372&amp;"|"&amp;$B372,Corrupcion!$H$2:$H$377,0))),"")</f>
        <v/>
      </c>
      <c r="G372" s="20">
        <f>IFERROR(IF(INDEX(Corrupcion!$F$2:$F$377,MATCH($A372&amp;"|"&amp;$B372,Corrupcion!$H$2:$H$377,0))="","",INDEX(Corrupcion!$F$2:$F$377,MATCH($A372&amp;"|"&amp;$B372,Corrupcion!$H$2:$H$377,0))),"")</f>
        <v/>
      </c>
      <c r="H372" s="17">
        <f>IFERROR(IF(INDEX(Corrupcion!$G$2:$G$377,MATCH($A372&amp;"|"&amp;$B372,Corrupcion!$H$2:$H$377,0))="","",INDEX(Corrupcion!$G$2:$G$377,MATCH($A372&amp;"|"&amp;$B372,Corrupcion!$H$2:$H$377,0))),"")</f>
        <v/>
      </c>
      <c r="I372" s="8">
        <f>IF(COUNTBLANK(C372:E372)+COUNTBLANK(F372)=0,1,0)</f>
        <v/>
      </c>
      <c r="J372" s="8">
        <f>IF(COUNTBLANK(C372:E372)+COUNTBLANK(G372)=0,1,0)</f>
        <v/>
      </c>
      <c r="K372" s="8">
        <f>IF(COUNTBLANK(C372:E372)+COUNTBLANK(H372)=0,1,0)</f>
        <v/>
      </c>
    </row>
    <row r="373">
      <c r="A373" s="8" t="inlineStr">
        <is>
          <t>Venezuela</t>
        </is>
      </c>
      <c r="B373" s="8" t="n">
        <v>2016</v>
      </c>
      <c r="C373" s="18">
        <f>IF(Categorias!C374="","",Categorias!C374)</f>
        <v/>
      </c>
      <c r="D373" s="18">
        <f>IF(Categorias!H374="","",Categorias!H374)</f>
        <v/>
      </c>
      <c r="E373" s="17">
        <f>IFERROR(IF(INDEX(Gini!$C$2:$C$377,MATCH($A373&amp;"|"&amp;$B373,Gini!$E$2:$E$377,0))="","",INDEX(Gini!$C$2:$C$377,MATCH($A373&amp;"|"&amp;$B373,Gini!$E$2:$E$377,0))),"")</f>
        <v/>
      </c>
      <c r="F373" s="19">
        <f>IFERROR(IF(INDEX(Corrupcion!$E$2:$E$377,MATCH($A373&amp;"|"&amp;$B373,Corrupcion!$H$2:$H$377,0))="","",INDEX(Corrupcion!$E$2:$E$377,MATCH($A373&amp;"|"&amp;$B373,Corrupcion!$H$2:$H$377,0))),"")</f>
        <v/>
      </c>
      <c r="G373" s="20">
        <f>IFERROR(IF(INDEX(Corrupcion!$F$2:$F$377,MATCH($A373&amp;"|"&amp;$B373,Corrupcion!$H$2:$H$377,0))="","",INDEX(Corrupcion!$F$2:$F$377,MATCH($A373&amp;"|"&amp;$B373,Corrupcion!$H$2:$H$377,0))),"")</f>
        <v/>
      </c>
      <c r="H373" s="17">
        <f>IFERROR(IF(INDEX(Corrupcion!$G$2:$G$377,MATCH($A373&amp;"|"&amp;$B373,Corrupcion!$H$2:$H$377,0))="","",INDEX(Corrupcion!$G$2:$G$377,MATCH($A373&amp;"|"&amp;$B373,Corrupcion!$H$2:$H$377,0))),"")</f>
        <v/>
      </c>
      <c r="I373" s="8">
        <f>IF(COUNTBLANK(C373:E373)+COUNTBLANK(F373)=0,1,0)</f>
        <v/>
      </c>
      <c r="J373" s="8">
        <f>IF(COUNTBLANK(C373:E373)+COUNTBLANK(G373)=0,1,0)</f>
        <v/>
      </c>
      <c r="K373" s="8">
        <f>IF(COUNTBLANK(C373:E373)+COUNTBLANK(H373)=0,1,0)</f>
        <v/>
      </c>
    </row>
    <row r="374">
      <c r="A374" s="8" t="inlineStr">
        <is>
          <t>Venezuela</t>
        </is>
      </c>
      <c r="B374" s="8" t="n">
        <v>2017</v>
      </c>
      <c r="C374" s="18">
        <f>IF(Categorias!C375="","",Categorias!C375)</f>
        <v/>
      </c>
      <c r="D374" s="18">
        <f>IF(Categorias!H375="","",Categorias!H375)</f>
        <v/>
      </c>
      <c r="E374" s="17">
        <f>IFERROR(IF(INDEX(Gini!$C$2:$C$377,MATCH($A374&amp;"|"&amp;$B374,Gini!$E$2:$E$377,0))="","",INDEX(Gini!$C$2:$C$377,MATCH($A374&amp;"|"&amp;$B374,Gini!$E$2:$E$377,0))),"")</f>
        <v/>
      </c>
      <c r="F374" s="19">
        <f>IFERROR(IF(INDEX(Corrupcion!$E$2:$E$377,MATCH($A374&amp;"|"&amp;$B374,Corrupcion!$H$2:$H$377,0))="","",INDEX(Corrupcion!$E$2:$E$377,MATCH($A374&amp;"|"&amp;$B374,Corrupcion!$H$2:$H$377,0))),"")</f>
        <v/>
      </c>
      <c r="G374" s="20">
        <f>IFERROR(IF(INDEX(Corrupcion!$F$2:$F$377,MATCH($A374&amp;"|"&amp;$B374,Corrupcion!$H$2:$H$377,0))="","",INDEX(Corrupcion!$F$2:$F$377,MATCH($A374&amp;"|"&amp;$B374,Corrupcion!$H$2:$H$377,0))),"")</f>
        <v/>
      </c>
      <c r="H374" s="17">
        <f>IFERROR(IF(INDEX(Corrupcion!$G$2:$G$377,MATCH($A374&amp;"|"&amp;$B374,Corrupcion!$H$2:$H$377,0))="","",INDEX(Corrupcion!$G$2:$G$377,MATCH($A374&amp;"|"&amp;$B374,Corrupcion!$H$2:$H$377,0))),"")</f>
        <v/>
      </c>
      <c r="I374" s="8">
        <f>IF(COUNTBLANK(C374:E374)+COUNTBLANK(F374)=0,1,0)</f>
        <v/>
      </c>
      <c r="J374" s="8">
        <f>IF(COUNTBLANK(C374:E374)+COUNTBLANK(G374)=0,1,0)</f>
        <v/>
      </c>
      <c r="K374" s="8">
        <f>IF(COUNTBLANK(C374:E374)+COUNTBLANK(H374)=0,1,0)</f>
        <v/>
      </c>
    </row>
    <row r="375">
      <c r="A375" s="8" t="inlineStr">
        <is>
          <t>Venezuela</t>
        </is>
      </c>
      <c r="B375" s="8" t="n">
        <v>2018</v>
      </c>
      <c r="C375" s="18">
        <f>IF(Categorias!C376="","",Categorias!C376)</f>
        <v/>
      </c>
      <c r="D375" s="18">
        <f>IF(Categorias!H376="","",Categorias!H376)</f>
        <v/>
      </c>
      <c r="E375" s="17">
        <f>IFERROR(IF(INDEX(Gini!$C$2:$C$377,MATCH($A375&amp;"|"&amp;$B375,Gini!$E$2:$E$377,0))="","",INDEX(Gini!$C$2:$C$377,MATCH($A375&amp;"|"&amp;$B375,Gini!$E$2:$E$377,0))),"")</f>
        <v/>
      </c>
      <c r="F375" s="19">
        <f>IFERROR(IF(INDEX(Corrupcion!$E$2:$E$377,MATCH($A375&amp;"|"&amp;$B375,Corrupcion!$H$2:$H$377,0))="","",INDEX(Corrupcion!$E$2:$E$377,MATCH($A375&amp;"|"&amp;$B375,Corrupcion!$H$2:$H$377,0))),"")</f>
        <v/>
      </c>
      <c r="G375" s="20">
        <f>IFERROR(IF(INDEX(Corrupcion!$F$2:$F$377,MATCH($A375&amp;"|"&amp;$B375,Corrupcion!$H$2:$H$377,0))="","",INDEX(Corrupcion!$F$2:$F$377,MATCH($A375&amp;"|"&amp;$B375,Corrupcion!$H$2:$H$377,0))),"")</f>
        <v/>
      </c>
      <c r="H375" s="17">
        <f>IFERROR(IF(INDEX(Corrupcion!$G$2:$G$377,MATCH($A375&amp;"|"&amp;$B375,Corrupcion!$H$2:$H$377,0))="","",INDEX(Corrupcion!$G$2:$G$377,MATCH($A375&amp;"|"&amp;$B375,Corrupcion!$H$2:$H$377,0))),"")</f>
        <v/>
      </c>
      <c r="I375" s="8">
        <f>IF(COUNTBLANK(C375:E375)+COUNTBLANK(F375)=0,1,0)</f>
        <v/>
      </c>
      <c r="J375" s="8">
        <f>IF(COUNTBLANK(C375:E375)+COUNTBLANK(G375)=0,1,0)</f>
        <v/>
      </c>
      <c r="K375" s="8">
        <f>IF(COUNTBLANK(C375:E375)+COUNTBLANK(H375)=0,1,0)</f>
        <v/>
      </c>
    </row>
    <row r="376">
      <c r="A376" s="8" t="inlineStr">
        <is>
          <t>Venezuela</t>
        </is>
      </c>
      <c r="B376" s="8" t="n">
        <v>2020</v>
      </c>
      <c r="C376" s="18">
        <f>IF(Categorias!C377="","",Categorias!C377)</f>
        <v/>
      </c>
      <c r="D376" s="18">
        <f>IF(Categorias!H377="","",Categorias!H377)</f>
        <v/>
      </c>
      <c r="E376" s="17">
        <f>IFERROR(IF(INDEX(Gini!$C$2:$C$377,MATCH($A376&amp;"|"&amp;$B376,Gini!$E$2:$E$377,0))="","",INDEX(Gini!$C$2:$C$377,MATCH($A376&amp;"|"&amp;$B376,Gini!$E$2:$E$377,0))),"")</f>
        <v/>
      </c>
      <c r="F376" s="19">
        <f>IFERROR(IF(INDEX(Corrupcion!$E$2:$E$377,MATCH($A376&amp;"|"&amp;$B376,Corrupcion!$H$2:$H$377,0))="","",INDEX(Corrupcion!$E$2:$E$377,MATCH($A376&amp;"|"&amp;$B376,Corrupcion!$H$2:$H$377,0))),"")</f>
        <v/>
      </c>
      <c r="G376" s="20">
        <f>IFERROR(IF(INDEX(Corrupcion!$F$2:$F$377,MATCH($A376&amp;"|"&amp;$B376,Corrupcion!$H$2:$H$377,0))="","",INDEX(Corrupcion!$F$2:$F$377,MATCH($A376&amp;"|"&amp;$B376,Corrupcion!$H$2:$H$377,0))),"")</f>
        <v/>
      </c>
      <c r="H376" s="17">
        <f>IFERROR(IF(INDEX(Corrupcion!$G$2:$G$377,MATCH($A376&amp;"|"&amp;$B376,Corrupcion!$H$2:$H$377,0))="","",INDEX(Corrupcion!$G$2:$G$377,MATCH($A376&amp;"|"&amp;$B376,Corrupcion!$H$2:$H$377,0))),"")</f>
        <v/>
      </c>
      <c r="I376" s="8">
        <f>IF(COUNTBLANK(C376:E376)+COUNTBLANK(F376)=0,1,0)</f>
        <v/>
      </c>
      <c r="J376" s="8">
        <f>IF(COUNTBLANK(C376:E376)+COUNTBLANK(G376)=0,1,0)</f>
        <v/>
      </c>
      <c r="K376" s="8">
        <f>IF(COUNTBLANK(C376:E376)+COUNTBLANK(H376)=0,1,0)</f>
        <v/>
      </c>
    </row>
    <row r="377">
      <c r="A377" s="8" t="inlineStr">
        <is>
          <t>Venezuela</t>
        </is>
      </c>
      <c r="B377" s="8" t="n">
        <v>2024</v>
      </c>
      <c r="C377" s="18">
        <f>IF(Categorias!C378="","",Categorias!C378)</f>
        <v/>
      </c>
      <c r="D377" s="18">
        <f>IF(Categorias!H378="","",Categorias!H378)</f>
        <v/>
      </c>
      <c r="E377" s="17">
        <f>IFERROR(IF(INDEX(Gini!$C$2:$C$377,MATCH($A377&amp;"|"&amp;$B377,Gini!$E$2:$E$377,0))="","",INDEX(Gini!$C$2:$C$377,MATCH($A377&amp;"|"&amp;$B377,Gini!$E$2:$E$377,0))),"")</f>
        <v/>
      </c>
      <c r="F377" s="19">
        <f>IFERROR(IF(INDEX(Corrupcion!$E$2:$E$377,MATCH($A377&amp;"|"&amp;$B377,Corrupcion!$H$2:$H$377,0))="","",INDEX(Corrupcion!$E$2:$E$377,MATCH($A377&amp;"|"&amp;$B377,Corrupcion!$H$2:$H$377,0))),"")</f>
        <v/>
      </c>
      <c r="G377" s="20">
        <f>IFERROR(IF(INDEX(Corrupcion!$F$2:$F$377,MATCH($A377&amp;"|"&amp;$B377,Corrupcion!$H$2:$H$377,0))="","",INDEX(Corrupcion!$F$2:$F$377,MATCH($A377&amp;"|"&amp;$B377,Corrupcion!$H$2:$H$377,0))),"")</f>
        <v/>
      </c>
      <c r="H377" s="17">
        <f>IFERROR(IF(INDEX(Corrupcion!$G$2:$G$377,MATCH($A377&amp;"|"&amp;$B377,Corrupcion!$H$2:$H$377,0))="","",INDEX(Corrupcion!$G$2:$G$377,MATCH($A377&amp;"|"&amp;$B377,Corrupcion!$H$2:$H$377,0))),"")</f>
        <v/>
      </c>
      <c r="I377" s="8">
        <f>IF(COUNTBLANK(C377:E377)+COUNTBLANK(F377)=0,1,0)</f>
        <v/>
      </c>
      <c r="J377" s="8">
        <f>IF(COUNTBLANK(C377:E377)+COUNTBLANK(G377)=0,1,0)</f>
        <v/>
      </c>
      <c r="K377" s="8">
        <f>IF(COUNTBLANK(C377:E377)+COUNTBLANK(H377)=0,1,0)</f>
        <v/>
      </c>
    </row>
  </sheetData>
  <autoFilter ref="A1:K3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2" customHeight="1">
      <c r="A1" s="4" t="inlineStr">
        <is>
          <t>País</t>
        </is>
      </c>
      <c r="B1" s="4" t="inlineStr">
        <is>
          <t>Año</t>
        </is>
      </c>
      <c r="C1" s="4" t="inlineStr">
        <is>
          <t>Y: Apoyo democracia (B)</t>
        </is>
      </c>
      <c r="D1" s="4" t="inlineStr">
        <is>
          <t>X: Grupos poderosos (B)</t>
        </is>
      </c>
      <c r="E1" s="4" t="inlineStr">
        <is>
          <t>X: Gini</t>
        </is>
      </c>
      <c r="F1" s="4" t="inlineStr">
        <is>
          <t>X: CPI escala 0-10 (empalmado)</t>
        </is>
      </c>
      <c r="G1" s="4" t="inlineStr">
        <is>
          <t>X: CPI 0-100 (desde 2012)</t>
        </is>
      </c>
      <c r="H1" s="4" t="inlineStr">
        <is>
          <t>X: CPI 0-100 empalmado por regresión</t>
        </is>
      </c>
      <c r="I1" s="4" t="inlineStr">
        <is>
          <t>Completo con CPI 0-10 (1 = usar)</t>
        </is>
      </c>
      <c r="J1" s="4" t="inlineStr">
        <is>
          <t>Completo con CPI 0-100 (1 = usar)</t>
        </is>
      </c>
      <c r="K1" s="4" t="inlineStr">
        <is>
          <t>Completo con CPI regresión (1 = usar)</t>
        </is>
      </c>
    </row>
    <row r="2">
      <c r="A2" s="8" t="inlineStr">
        <is>
          <t>Argentina</t>
        </is>
      </c>
      <c r="B2" s="8" t="n">
        <v>1995</v>
      </c>
      <c r="C2" s="18">
        <f>IF(Categorias!C3="","",Categorias!C3/(N(Categorias!C3)+N(Categorias!D3)+N(Categorias!E3)))</f>
        <v/>
      </c>
      <c r="D2" s="18">
        <f>IF(Categorias!H3="","",Categorias!H3/(N(Categorias!H3)+N(Categorias!I3)))</f>
        <v/>
      </c>
      <c r="E2" s="17">
        <f>IFERROR(IF(INDEX(Gini!$C$2:$C$377,MATCH($A2&amp;"|"&amp;$B2,Gini!$E$2:$E$377,0))="","",INDEX(Gini!$C$2:$C$377,MATCH($A2&amp;"|"&amp;$B2,Gini!$E$2:$E$377,0))),"")</f>
        <v/>
      </c>
      <c r="F2" s="19">
        <f>IFERROR(IF(INDEX(Corrupcion!$E$2:$E$377,MATCH($A2&amp;"|"&amp;$B2,Corrupcion!$H$2:$H$377,0))="","",INDEX(Corrupcion!$E$2:$E$377,MATCH($A2&amp;"|"&amp;$B2,Corrupcion!$H$2:$H$377,0))),"")</f>
        <v/>
      </c>
      <c r="G2" s="20">
        <f>IFERROR(IF(INDEX(Corrupcion!$F$2:$F$377,MATCH($A2&amp;"|"&amp;$B2,Corrupcion!$H$2:$H$377,0))="","",INDEX(Corrupcion!$F$2:$F$377,MATCH($A2&amp;"|"&amp;$B2,Corrupcion!$H$2:$H$377,0))),"")</f>
        <v/>
      </c>
      <c r="H2" s="17">
        <f>IFERROR(IF(INDEX(Corrupcion!$G$2:$G$377,MATCH($A2&amp;"|"&amp;$B2,Corrupcion!$H$2:$H$377,0))="","",INDEX(Corrupcion!$G$2:$G$377,MATCH($A2&amp;"|"&amp;$B2,Corrupcion!$H$2:$H$377,0))),"")</f>
        <v/>
      </c>
      <c r="I2" s="8">
        <f>IF(COUNTBLANK(C2:E2)+COUNTBLANK(F2)=0,1,0)</f>
        <v/>
      </c>
      <c r="J2" s="8">
        <f>IF(COUNTBLANK(C2:E2)+COUNTBLANK(G2)=0,1,0)</f>
        <v/>
      </c>
      <c r="K2" s="8">
        <f>IF(COUNTBLANK(C2:E2)+COUNTBLANK(H2)=0,1,0)</f>
        <v/>
      </c>
    </row>
    <row r="3">
      <c r="A3" s="8" t="inlineStr">
        <is>
          <t>Argentina</t>
        </is>
      </c>
      <c r="B3" s="8" t="n">
        <v>1996</v>
      </c>
      <c r="C3" s="18">
        <f>IF(Categorias!C4="","",Categorias!C4/(N(Categorias!C4)+N(Categorias!D4)+N(Categorias!E4)))</f>
        <v/>
      </c>
      <c r="D3" s="18">
        <f>IF(Categorias!H4="","",Categorias!H4/(N(Categorias!H4)+N(Categorias!I4)))</f>
        <v/>
      </c>
      <c r="E3" s="17">
        <f>IFERROR(IF(INDEX(Gini!$C$2:$C$377,MATCH($A3&amp;"|"&amp;$B3,Gini!$E$2:$E$377,0))="","",INDEX(Gini!$C$2:$C$377,MATCH($A3&amp;"|"&amp;$B3,Gini!$E$2:$E$377,0))),"")</f>
        <v/>
      </c>
      <c r="F3" s="19">
        <f>IFERROR(IF(INDEX(Corrupcion!$E$2:$E$377,MATCH($A3&amp;"|"&amp;$B3,Corrupcion!$H$2:$H$377,0))="","",INDEX(Corrupcion!$E$2:$E$377,MATCH($A3&amp;"|"&amp;$B3,Corrupcion!$H$2:$H$377,0))),"")</f>
        <v/>
      </c>
      <c r="G3" s="20">
        <f>IFERROR(IF(INDEX(Corrupcion!$F$2:$F$377,MATCH($A3&amp;"|"&amp;$B3,Corrupcion!$H$2:$H$377,0))="","",INDEX(Corrupcion!$F$2:$F$377,MATCH($A3&amp;"|"&amp;$B3,Corrupcion!$H$2:$H$377,0))),"")</f>
        <v/>
      </c>
      <c r="H3" s="17">
        <f>IFERROR(IF(INDEX(Corrupcion!$G$2:$G$377,MATCH($A3&amp;"|"&amp;$B3,Corrupcion!$H$2:$H$377,0))="","",INDEX(Corrupcion!$G$2:$G$377,MATCH($A3&amp;"|"&amp;$B3,Corrupcion!$H$2:$H$377,0))),"")</f>
        <v/>
      </c>
      <c r="I3" s="8">
        <f>IF(COUNTBLANK(C3:E3)+COUNTBLANK(F3)=0,1,0)</f>
        <v/>
      </c>
      <c r="J3" s="8">
        <f>IF(COUNTBLANK(C3:E3)+COUNTBLANK(G3)=0,1,0)</f>
        <v/>
      </c>
      <c r="K3" s="8">
        <f>IF(COUNTBLANK(C3:E3)+COUNTBLANK(H3)=0,1,0)</f>
        <v/>
      </c>
    </row>
    <row r="4">
      <c r="A4" s="8" t="inlineStr">
        <is>
          <t>Argentina</t>
        </is>
      </c>
      <c r="B4" s="8" t="n">
        <v>1997</v>
      </c>
      <c r="C4" s="18">
        <f>IF(Categorias!C5="","",Categorias!C5/(N(Categorias!C5)+N(Categorias!D5)+N(Categorias!E5)))</f>
        <v/>
      </c>
      <c r="D4" s="18">
        <f>IF(Categorias!H5="","",Categorias!H5/(N(Categorias!H5)+N(Categorias!I5)))</f>
        <v/>
      </c>
      <c r="E4" s="17">
        <f>IFERROR(IF(INDEX(Gini!$C$2:$C$377,MATCH($A4&amp;"|"&amp;$B4,Gini!$E$2:$E$377,0))="","",INDEX(Gini!$C$2:$C$377,MATCH($A4&amp;"|"&amp;$B4,Gini!$E$2:$E$377,0))),"")</f>
        <v/>
      </c>
      <c r="F4" s="19">
        <f>IFERROR(IF(INDEX(Corrupcion!$E$2:$E$377,MATCH($A4&amp;"|"&amp;$B4,Corrupcion!$H$2:$H$377,0))="","",INDEX(Corrupcion!$E$2:$E$377,MATCH($A4&amp;"|"&amp;$B4,Corrupcion!$H$2:$H$377,0))),"")</f>
        <v/>
      </c>
      <c r="G4" s="20">
        <f>IFERROR(IF(INDEX(Corrupcion!$F$2:$F$377,MATCH($A4&amp;"|"&amp;$B4,Corrupcion!$H$2:$H$377,0))="","",INDEX(Corrupcion!$F$2:$F$377,MATCH($A4&amp;"|"&amp;$B4,Corrupcion!$H$2:$H$377,0))),"")</f>
        <v/>
      </c>
      <c r="H4" s="17">
        <f>IFERROR(IF(INDEX(Corrupcion!$G$2:$G$377,MATCH($A4&amp;"|"&amp;$B4,Corrupcion!$H$2:$H$377,0))="","",INDEX(Corrupcion!$G$2:$G$377,MATCH($A4&amp;"|"&amp;$B4,Corrupcion!$H$2:$H$377,0))),"")</f>
        <v/>
      </c>
      <c r="I4" s="8">
        <f>IF(COUNTBLANK(C4:E4)+COUNTBLANK(F4)=0,1,0)</f>
        <v/>
      </c>
      <c r="J4" s="8">
        <f>IF(COUNTBLANK(C4:E4)+COUNTBLANK(G4)=0,1,0)</f>
        <v/>
      </c>
      <c r="K4" s="8">
        <f>IF(COUNTBLANK(C4:E4)+COUNTBLANK(H4)=0,1,0)</f>
        <v/>
      </c>
    </row>
    <row r="5">
      <c r="A5" s="8" t="inlineStr">
        <is>
          <t>Argentina</t>
        </is>
      </c>
      <c r="B5" s="8" t="n">
        <v>1998</v>
      </c>
      <c r="C5" s="18">
        <f>IF(Categorias!C6="","",Categorias!C6/(N(Categorias!C6)+N(Categorias!D6)+N(Categorias!E6)))</f>
        <v/>
      </c>
      <c r="D5" s="18">
        <f>IF(Categorias!H6="","",Categorias!H6/(N(Categorias!H6)+N(Categorias!I6)))</f>
        <v/>
      </c>
      <c r="E5" s="17">
        <f>IFERROR(IF(INDEX(Gini!$C$2:$C$377,MATCH($A5&amp;"|"&amp;$B5,Gini!$E$2:$E$377,0))="","",INDEX(Gini!$C$2:$C$377,MATCH($A5&amp;"|"&amp;$B5,Gini!$E$2:$E$377,0))),"")</f>
        <v/>
      </c>
      <c r="F5" s="19">
        <f>IFERROR(IF(INDEX(Corrupcion!$E$2:$E$377,MATCH($A5&amp;"|"&amp;$B5,Corrupcion!$H$2:$H$377,0))="","",INDEX(Corrupcion!$E$2:$E$377,MATCH($A5&amp;"|"&amp;$B5,Corrupcion!$H$2:$H$377,0))),"")</f>
        <v/>
      </c>
      <c r="G5" s="20">
        <f>IFERROR(IF(INDEX(Corrupcion!$F$2:$F$377,MATCH($A5&amp;"|"&amp;$B5,Corrupcion!$H$2:$H$377,0))="","",INDEX(Corrupcion!$F$2:$F$377,MATCH($A5&amp;"|"&amp;$B5,Corrupcion!$H$2:$H$377,0))),"")</f>
        <v/>
      </c>
      <c r="H5" s="17">
        <f>IFERROR(IF(INDEX(Corrupcion!$G$2:$G$377,MATCH($A5&amp;"|"&amp;$B5,Corrupcion!$H$2:$H$377,0))="","",INDEX(Corrupcion!$G$2:$G$377,MATCH($A5&amp;"|"&amp;$B5,Corrupcion!$H$2:$H$377,0))),"")</f>
        <v/>
      </c>
      <c r="I5" s="8">
        <f>IF(COUNTBLANK(C5:E5)+COUNTBLANK(F5)=0,1,0)</f>
        <v/>
      </c>
      <c r="J5" s="8">
        <f>IF(COUNTBLANK(C5:E5)+COUNTBLANK(G5)=0,1,0)</f>
        <v/>
      </c>
      <c r="K5" s="8">
        <f>IF(COUNTBLANK(C5:E5)+COUNTBLANK(H5)=0,1,0)</f>
        <v/>
      </c>
    </row>
    <row r="6">
      <c r="A6" s="8" t="inlineStr">
        <is>
          <t>Argentina</t>
        </is>
      </c>
      <c r="B6" s="8" t="n">
        <v>2000</v>
      </c>
      <c r="C6" s="18">
        <f>IF(Categorias!C7="","",Categorias!C7/(N(Categorias!C7)+N(Categorias!D7)+N(Categorias!E7)))</f>
        <v/>
      </c>
      <c r="D6" s="18">
        <f>IF(Categorias!H7="","",Categorias!H7/(N(Categorias!H7)+N(Categorias!I7)))</f>
        <v/>
      </c>
      <c r="E6" s="17">
        <f>IFERROR(IF(INDEX(Gini!$C$2:$C$377,MATCH($A6&amp;"|"&amp;$B6,Gini!$E$2:$E$377,0))="","",INDEX(Gini!$C$2:$C$377,MATCH($A6&amp;"|"&amp;$B6,Gini!$E$2:$E$377,0))),"")</f>
        <v/>
      </c>
      <c r="F6" s="19">
        <f>IFERROR(IF(INDEX(Corrupcion!$E$2:$E$377,MATCH($A6&amp;"|"&amp;$B6,Corrupcion!$H$2:$H$377,0))="","",INDEX(Corrupcion!$E$2:$E$377,MATCH($A6&amp;"|"&amp;$B6,Corrupcion!$H$2:$H$377,0))),"")</f>
        <v/>
      </c>
      <c r="G6" s="20">
        <f>IFERROR(IF(INDEX(Corrupcion!$F$2:$F$377,MATCH($A6&amp;"|"&amp;$B6,Corrupcion!$H$2:$H$377,0))="","",INDEX(Corrupcion!$F$2:$F$377,MATCH($A6&amp;"|"&amp;$B6,Corrupcion!$H$2:$H$377,0))),"")</f>
        <v/>
      </c>
      <c r="H6" s="17">
        <f>IFERROR(IF(INDEX(Corrupcion!$G$2:$G$377,MATCH($A6&amp;"|"&amp;$B6,Corrupcion!$H$2:$H$377,0))="","",INDEX(Corrupcion!$G$2:$G$377,MATCH($A6&amp;"|"&amp;$B6,Corrupcion!$H$2:$H$377,0))),"")</f>
        <v/>
      </c>
      <c r="I6" s="8">
        <f>IF(COUNTBLANK(C6:E6)+COUNTBLANK(F6)=0,1,0)</f>
        <v/>
      </c>
      <c r="J6" s="8">
        <f>IF(COUNTBLANK(C6:E6)+COUNTBLANK(G6)=0,1,0)</f>
        <v/>
      </c>
      <c r="K6" s="8">
        <f>IF(COUNTBLANK(C6:E6)+COUNTBLANK(H6)=0,1,0)</f>
        <v/>
      </c>
    </row>
    <row r="7">
      <c r="A7" s="8" t="inlineStr">
        <is>
          <t>Argentina</t>
        </is>
      </c>
      <c r="B7" s="8" t="n">
        <v>2001</v>
      </c>
      <c r="C7" s="18">
        <f>IF(Categorias!C8="","",Categorias!C8/(N(Categorias!C8)+N(Categorias!D8)+N(Categorias!E8)))</f>
        <v/>
      </c>
      <c r="D7" s="18">
        <f>IF(Categorias!H8="","",Categorias!H8/(N(Categorias!H8)+N(Categorias!I8)))</f>
        <v/>
      </c>
      <c r="E7" s="17">
        <f>IFERROR(IF(INDEX(Gini!$C$2:$C$377,MATCH($A7&amp;"|"&amp;$B7,Gini!$E$2:$E$377,0))="","",INDEX(Gini!$C$2:$C$377,MATCH($A7&amp;"|"&amp;$B7,Gini!$E$2:$E$377,0))),"")</f>
        <v/>
      </c>
      <c r="F7" s="19">
        <f>IFERROR(IF(INDEX(Corrupcion!$E$2:$E$377,MATCH($A7&amp;"|"&amp;$B7,Corrupcion!$H$2:$H$377,0))="","",INDEX(Corrupcion!$E$2:$E$377,MATCH($A7&amp;"|"&amp;$B7,Corrupcion!$H$2:$H$377,0))),"")</f>
        <v/>
      </c>
      <c r="G7" s="20">
        <f>IFERROR(IF(INDEX(Corrupcion!$F$2:$F$377,MATCH($A7&amp;"|"&amp;$B7,Corrupcion!$H$2:$H$377,0))="","",INDEX(Corrupcion!$F$2:$F$377,MATCH($A7&amp;"|"&amp;$B7,Corrupcion!$H$2:$H$377,0))),"")</f>
        <v/>
      </c>
      <c r="H7" s="17">
        <f>IFERROR(IF(INDEX(Corrupcion!$G$2:$G$377,MATCH($A7&amp;"|"&amp;$B7,Corrupcion!$H$2:$H$377,0))="","",INDEX(Corrupcion!$G$2:$G$377,MATCH($A7&amp;"|"&amp;$B7,Corrupcion!$H$2:$H$377,0))),"")</f>
        <v/>
      </c>
      <c r="I7" s="8">
        <f>IF(COUNTBLANK(C7:E7)+COUNTBLANK(F7)=0,1,0)</f>
        <v/>
      </c>
      <c r="J7" s="8">
        <f>IF(COUNTBLANK(C7:E7)+COUNTBLANK(G7)=0,1,0)</f>
        <v/>
      </c>
      <c r="K7" s="8">
        <f>IF(COUNTBLANK(C7:E7)+COUNTBLANK(H7)=0,1,0)</f>
        <v/>
      </c>
    </row>
    <row r="8">
      <c r="A8" s="8" t="inlineStr">
        <is>
          <t>Argentina</t>
        </is>
      </c>
      <c r="B8" s="8" t="n">
        <v>2002</v>
      </c>
      <c r="C8" s="18">
        <f>IF(Categorias!C9="","",Categorias!C9/(N(Categorias!C9)+N(Categorias!D9)+N(Categorias!E9)))</f>
        <v/>
      </c>
      <c r="D8" s="18">
        <f>IF(Categorias!H9="","",Categorias!H9/(N(Categorias!H9)+N(Categorias!I9)))</f>
        <v/>
      </c>
      <c r="E8" s="17">
        <f>IFERROR(IF(INDEX(Gini!$C$2:$C$377,MATCH($A8&amp;"|"&amp;$B8,Gini!$E$2:$E$377,0))="","",INDEX(Gini!$C$2:$C$377,MATCH($A8&amp;"|"&amp;$B8,Gini!$E$2:$E$377,0))),"")</f>
        <v/>
      </c>
      <c r="F8" s="19">
        <f>IFERROR(IF(INDEX(Corrupcion!$E$2:$E$377,MATCH($A8&amp;"|"&amp;$B8,Corrupcion!$H$2:$H$377,0))="","",INDEX(Corrupcion!$E$2:$E$377,MATCH($A8&amp;"|"&amp;$B8,Corrupcion!$H$2:$H$377,0))),"")</f>
        <v/>
      </c>
      <c r="G8" s="20">
        <f>IFERROR(IF(INDEX(Corrupcion!$F$2:$F$377,MATCH($A8&amp;"|"&amp;$B8,Corrupcion!$H$2:$H$377,0))="","",INDEX(Corrupcion!$F$2:$F$377,MATCH($A8&amp;"|"&amp;$B8,Corrupcion!$H$2:$H$377,0))),"")</f>
        <v/>
      </c>
      <c r="H8" s="17">
        <f>IFERROR(IF(INDEX(Corrupcion!$G$2:$G$377,MATCH($A8&amp;"|"&amp;$B8,Corrupcion!$H$2:$H$377,0))="","",INDEX(Corrupcion!$G$2:$G$377,MATCH($A8&amp;"|"&amp;$B8,Corrupcion!$H$2:$H$377,0))),"")</f>
        <v/>
      </c>
      <c r="I8" s="8">
        <f>IF(COUNTBLANK(C8:E8)+COUNTBLANK(F8)=0,1,0)</f>
        <v/>
      </c>
      <c r="J8" s="8">
        <f>IF(COUNTBLANK(C8:E8)+COUNTBLANK(G8)=0,1,0)</f>
        <v/>
      </c>
      <c r="K8" s="8">
        <f>IF(COUNTBLANK(C8:E8)+COUNTBLANK(H8)=0,1,0)</f>
        <v/>
      </c>
    </row>
    <row r="9">
      <c r="A9" s="8" t="inlineStr">
        <is>
          <t>Argentina</t>
        </is>
      </c>
      <c r="B9" s="8" t="n">
        <v>2003</v>
      </c>
      <c r="C9" s="18">
        <f>IF(Categorias!C10="","",Categorias!C10/(N(Categorias!C10)+N(Categorias!D10)+N(Categorias!E10)))</f>
        <v/>
      </c>
      <c r="D9" s="18">
        <f>IF(Categorias!H10="","",Categorias!H10/(N(Categorias!H10)+N(Categorias!I10)))</f>
        <v/>
      </c>
      <c r="E9" s="17">
        <f>IFERROR(IF(INDEX(Gini!$C$2:$C$377,MATCH($A9&amp;"|"&amp;$B9,Gini!$E$2:$E$377,0))="","",INDEX(Gini!$C$2:$C$377,MATCH($A9&amp;"|"&amp;$B9,Gini!$E$2:$E$377,0))),"")</f>
        <v/>
      </c>
      <c r="F9" s="19">
        <f>IFERROR(IF(INDEX(Corrupcion!$E$2:$E$377,MATCH($A9&amp;"|"&amp;$B9,Corrupcion!$H$2:$H$377,0))="","",INDEX(Corrupcion!$E$2:$E$377,MATCH($A9&amp;"|"&amp;$B9,Corrupcion!$H$2:$H$377,0))),"")</f>
        <v/>
      </c>
      <c r="G9" s="20">
        <f>IFERROR(IF(INDEX(Corrupcion!$F$2:$F$377,MATCH($A9&amp;"|"&amp;$B9,Corrupcion!$H$2:$H$377,0))="","",INDEX(Corrupcion!$F$2:$F$377,MATCH($A9&amp;"|"&amp;$B9,Corrupcion!$H$2:$H$377,0))),"")</f>
        <v/>
      </c>
      <c r="H9" s="17">
        <f>IFERROR(IF(INDEX(Corrupcion!$G$2:$G$377,MATCH($A9&amp;"|"&amp;$B9,Corrupcion!$H$2:$H$377,0))="","",INDEX(Corrupcion!$G$2:$G$377,MATCH($A9&amp;"|"&amp;$B9,Corrupcion!$H$2:$H$377,0))),"")</f>
        <v/>
      </c>
      <c r="I9" s="8">
        <f>IF(COUNTBLANK(C9:E9)+COUNTBLANK(F9)=0,1,0)</f>
        <v/>
      </c>
      <c r="J9" s="8">
        <f>IF(COUNTBLANK(C9:E9)+COUNTBLANK(G9)=0,1,0)</f>
        <v/>
      </c>
      <c r="K9" s="8">
        <f>IF(COUNTBLANK(C9:E9)+COUNTBLANK(H9)=0,1,0)</f>
        <v/>
      </c>
    </row>
    <row r="10">
      <c r="A10" s="8" t="inlineStr">
        <is>
          <t>Argentina</t>
        </is>
      </c>
      <c r="B10" s="8" t="n">
        <v>2004</v>
      </c>
      <c r="C10" s="18">
        <f>IF(Categorias!C11="","",Categorias!C11/(N(Categorias!C11)+N(Categorias!D11)+N(Categorias!E11)))</f>
        <v/>
      </c>
      <c r="D10" s="18">
        <f>IF(Categorias!H11="","",Categorias!H11/(N(Categorias!H11)+N(Categorias!I11)))</f>
        <v/>
      </c>
      <c r="E10" s="17">
        <f>IFERROR(IF(INDEX(Gini!$C$2:$C$377,MATCH($A10&amp;"|"&amp;$B10,Gini!$E$2:$E$377,0))="","",INDEX(Gini!$C$2:$C$377,MATCH($A10&amp;"|"&amp;$B10,Gini!$E$2:$E$377,0))),"")</f>
        <v/>
      </c>
      <c r="F10" s="19">
        <f>IFERROR(IF(INDEX(Corrupcion!$E$2:$E$377,MATCH($A10&amp;"|"&amp;$B10,Corrupcion!$H$2:$H$377,0))="","",INDEX(Corrupcion!$E$2:$E$377,MATCH($A10&amp;"|"&amp;$B10,Corrupcion!$H$2:$H$377,0))),"")</f>
        <v/>
      </c>
      <c r="G10" s="20">
        <f>IFERROR(IF(INDEX(Corrupcion!$F$2:$F$377,MATCH($A10&amp;"|"&amp;$B10,Corrupcion!$H$2:$H$377,0))="","",INDEX(Corrupcion!$F$2:$F$377,MATCH($A10&amp;"|"&amp;$B10,Corrupcion!$H$2:$H$377,0))),"")</f>
        <v/>
      </c>
      <c r="H10" s="17">
        <f>IFERROR(IF(INDEX(Corrupcion!$G$2:$G$377,MATCH($A10&amp;"|"&amp;$B10,Corrupcion!$H$2:$H$377,0))="","",INDEX(Corrupcion!$G$2:$G$377,MATCH($A10&amp;"|"&amp;$B10,Corrupcion!$H$2:$H$377,0))),"")</f>
        <v/>
      </c>
      <c r="I10" s="8">
        <f>IF(COUNTBLANK(C10:E10)+COUNTBLANK(F10)=0,1,0)</f>
        <v/>
      </c>
      <c r="J10" s="8">
        <f>IF(COUNTBLANK(C10:E10)+COUNTBLANK(G10)=0,1,0)</f>
        <v/>
      </c>
      <c r="K10" s="8">
        <f>IF(COUNTBLANK(C10:E10)+COUNTBLANK(H10)=0,1,0)</f>
        <v/>
      </c>
    </row>
    <row r="11">
      <c r="A11" s="8" t="inlineStr">
        <is>
          <t>Argentina</t>
        </is>
      </c>
      <c r="B11" s="8" t="n">
        <v>2005</v>
      </c>
      <c r="C11" s="18">
        <f>IF(Categorias!C12="","",Categorias!C12/(N(Categorias!C12)+N(Categorias!D12)+N(Categorias!E12)))</f>
        <v/>
      </c>
      <c r="D11" s="18">
        <f>IF(Categorias!H12="","",Categorias!H12/(N(Categorias!H12)+N(Categorias!I12)))</f>
        <v/>
      </c>
      <c r="E11" s="17">
        <f>IFERROR(IF(INDEX(Gini!$C$2:$C$377,MATCH($A11&amp;"|"&amp;$B11,Gini!$E$2:$E$377,0))="","",INDEX(Gini!$C$2:$C$377,MATCH($A11&amp;"|"&amp;$B11,Gini!$E$2:$E$377,0))),"")</f>
        <v/>
      </c>
      <c r="F11" s="19">
        <f>IFERROR(IF(INDEX(Corrupcion!$E$2:$E$377,MATCH($A11&amp;"|"&amp;$B11,Corrupcion!$H$2:$H$377,0))="","",INDEX(Corrupcion!$E$2:$E$377,MATCH($A11&amp;"|"&amp;$B11,Corrupcion!$H$2:$H$377,0))),"")</f>
        <v/>
      </c>
      <c r="G11" s="20">
        <f>IFERROR(IF(INDEX(Corrupcion!$F$2:$F$377,MATCH($A11&amp;"|"&amp;$B11,Corrupcion!$H$2:$H$377,0))="","",INDEX(Corrupcion!$F$2:$F$377,MATCH($A11&amp;"|"&amp;$B11,Corrupcion!$H$2:$H$377,0))),"")</f>
        <v/>
      </c>
      <c r="H11" s="17">
        <f>IFERROR(IF(INDEX(Corrupcion!$G$2:$G$377,MATCH($A11&amp;"|"&amp;$B11,Corrupcion!$H$2:$H$377,0))="","",INDEX(Corrupcion!$G$2:$G$377,MATCH($A11&amp;"|"&amp;$B11,Corrupcion!$H$2:$H$377,0))),"")</f>
        <v/>
      </c>
      <c r="I11" s="8">
        <f>IF(COUNTBLANK(C11:E11)+COUNTBLANK(F11)=0,1,0)</f>
        <v/>
      </c>
      <c r="J11" s="8">
        <f>IF(COUNTBLANK(C11:E11)+COUNTBLANK(G11)=0,1,0)</f>
        <v/>
      </c>
      <c r="K11" s="8">
        <f>IF(COUNTBLANK(C11:E11)+COUNTBLANK(H11)=0,1,0)</f>
        <v/>
      </c>
    </row>
    <row r="12">
      <c r="A12" s="8" t="inlineStr">
        <is>
          <t>Argentina</t>
        </is>
      </c>
      <c r="B12" s="8" t="n">
        <v>2006</v>
      </c>
      <c r="C12" s="18">
        <f>IF(Categorias!C13="","",Categorias!C13/(N(Categorias!C13)+N(Categorias!D13)+N(Categorias!E13)))</f>
        <v/>
      </c>
      <c r="D12" s="18">
        <f>IF(Categorias!H13="","",Categorias!H13/(N(Categorias!H13)+N(Categorias!I13)))</f>
        <v/>
      </c>
      <c r="E12" s="17">
        <f>IFERROR(IF(INDEX(Gini!$C$2:$C$377,MATCH($A12&amp;"|"&amp;$B12,Gini!$E$2:$E$377,0))="","",INDEX(Gini!$C$2:$C$377,MATCH($A12&amp;"|"&amp;$B12,Gini!$E$2:$E$377,0))),"")</f>
        <v/>
      </c>
      <c r="F12" s="19">
        <f>IFERROR(IF(INDEX(Corrupcion!$E$2:$E$377,MATCH($A12&amp;"|"&amp;$B12,Corrupcion!$H$2:$H$377,0))="","",INDEX(Corrupcion!$E$2:$E$377,MATCH($A12&amp;"|"&amp;$B12,Corrupcion!$H$2:$H$377,0))),"")</f>
        <v/>
      </c>
      <c r="G12" s="20">
        <f>IFERROR(IF(INDEX(Corrupcion!$F$2:$F$377,MATCH($A12&amp;"|"&amp;$B12,Corrupcion!$H$2:$H$377,0))="","",INDEX(Corrupcion!$F$2:$F$377,MATCH($A12&amp;"|"&amp;$B12,Corrupcion!$H$2:$H$377,0))),"")</f>
        <v/>
      </c>
      <c r="H12" s="17">
        <f>IFERROR(IF(INDEX(Corrupcion!$G$2:$G$377,MATCH($A12&amp;"|"&amp;$B12,Corrupcion!$H$2:$H$377,0))="","",INDEX(Corrupcion!$G$2:$G$377,MATCH($A12&amp;"|"&amp;$B12,Corrupcion!$H$2:$H$377,0))),"")</f>
        <v/>
      </c>
      <c r="I12" s="8">
        <f>IF(COUNTBLANK(C12:E12)+COUNTBLANK(F12)=0,1,0)</f>
        <v/>
      </c>
      <c r="J12" s="8">
        <f>IF(COUNTBLANK(C12:E12)+COUNTBLANK(G12)=0,1,0)</f>
        <v/>
      </c>
      <c r="K12" s="8">
        <f>IF(COUNTBLANK(C12:E12)+COUNTBLANK(H12)=0,1,0)</f>
        <v/>
      </c>
    </row>
    <row r="13">
      <c r="A13" s="8" t="inlineStr">
        <is>
          <t>Argentina</t>
        </is>
      </c>
      <c r="B13" s="8" t="n">
        <v>2007</v>
      </c>
      <c r="C13" s="18">
        <f>IF(Categorias!C14="","",Categorias!C14/(N(Categorias!C14)+N(Categorias!D14)+N(Categorias!E14)))</f>
        <v/>
      </c>
      <c r="D13" s="18">
        <f>IF(Categorias!H14="","",Categorias!H14/(N(Categorias!H14)+N(Categorias!I14)))</f>
        <v/>
      </c>
      <c r="E13" s="17">
        <f>IFERROR(IF(INDEX(Gini!$C$2:$C$377,MATCH($A13&amp;"|"&amp;$B13,Gini!$E$2:$E$377,0))="","",INDEX(Gini!$C$2:$C$377,MATCH($A13&amp;"|"&amp;$B13,Gini!$E$2:$E$377,0))),"")</f>
        <v/>
      </c>
      <c r="F13" s="19">
        <f>IFERROR(IF(INDEX(Corrupcion!$E$2:$E$377,MATCH($A13&amp;"|"&amp;$B13,Corrupcion!$H$2:$H$377,0))="","",INDEX(Corrupcion!$E$2:$E$377,MATCH($A13&amp;"|"&amp;$B13,Corrupcion!$H$2:$H$377,0))),"")</f>
        <v/>
      </c>
      <c r="G13" s="20">
        <f>IFERROR(IF(INDEX(Corrupcion!$F$2:$F$377,MATCH($A13&amp;"|"&amp;$B13,Corrupcion!$H$2:$H$377,0))="","",INDEX(Corrupcion!$F$2:$F$377,MATCH($A13&amp;"|"&amp;$B13,Corrupcion!$H$2:$H$377,0))),"")</f>
        <v/>
      </c>
      <c r="H13" s="17">
        <f>IFERROR(IF(INDEX(Corrupcion!$G$2:$G$377,MATCH($A13&amp;"|"&amp;$B13,Corrupcion!$H$2:$H$377,0))="","",INDEX(Corrupcion!$G$2:$G$377,MATCH($A13&amp;"|"&amp;$B13,Corrupcion!$H$2:$H$377,0))),"")</f>
        <v/>
      </c>
      <c r="I13" s="8">
        <f>IF(COUNTBLANK(C13:E13)+COUNTBLANK(F13)=0,1,0)</f>
        <v/>
      </c>
      <c r="J13" s="8">
        <f>IF(COUNTBLANK(C13:E13)+COUNTBLANK(G13)=0,1,0)</f>
        <v/>
      </c>
      <c r="K13" s="8">
        <f>IF(COUNTBLANK(C13:E13)+COUNTBLANK(H13)=0,1,0)</f>
        <v/>
      </c>
    </row>
    <row r="14">
      <c r="A14" s="8" t="inlineStr">
        <is>
          <t>Argentina</t>
        </is>
      </c>
      <c r="B14" s="8" t="n">
        <v>2008</v>
      </c>
      <c r="C14" s="18">
        <f>IF(Categorias!C15="","",Categorias!C15/(N(Categorias!C15)+N(Categorias!D15)+N(Categorias!E15)))</f>
        <v/>
      </c>
      <c r="D14" s="18">
        <f>IF(Categorias!H15="","",Categorias!H15/(N(Categorias!H15)+N(Categorias!I15)))</f>
        <v/>
      </c>
      <c r="E14" s="17">
        <f>IFERROR(IF(INDEX(Gini!$C$2:$C$377,MATCH($A14&amp;"|"&amp;$B14,Gini!$E$2:$E$377,0))="","",INDEX(Gini!$C$2:$C$377,MATCH($A14&amp;"|"&amp;$B14,Gini!$E$2:$E$377,0))),"")</f>
        <v/>
      </c>
      <c r="F14" s="19">
        <f>IFERROR(IF(INDEX(Corrupcion!$E$2:$E$377,MATCH($A14&amp;"|"&amp;$B14,Corrupcion!$H$2:$H$377,0))="","",INDEX(Corrupcion!$E$2:$E$377,MATCH($A14&amp;"|"&amp;$B14,Corrupcion!$H$2:$H$377,0))),"")</f>
        <v/>
      </c>
      <c r="G14" s="20">
        <f>IFERROR(IF(INDEX(Corrupcion!$F$2:$F$377,MATCH($A14&amp;"|"&amp;$B14,Corrupcion!$H$2:$H$377,0))="","",INDEX(Corrupcion!$F$2:$F$377,MATCH($A14&amp;"|"&amp;$B14,Corrupcion!$H$2:$H$377,0))),"")</f>
        <v/>
      </c>
      <c r="H14" s="17">
        <f>IFERROR(IF(INDEX(Corrupcion!$G$2:$G$377,MATCH($A14&amp;"|"&amp;$B14,Corrupcion!$H$2:$H$377,0))="","",INDEX(Corrupcion!$G$2:$G$377,MATCH($A14&amp;"|"&amp;$B14,Corrupcion!$H$2:$H$377,0))),"")</f>
        <v/>
      </c>
      <c r="I14" s="8">
        <f>IF(COUNTBLANK(C14:E14)+COUNTBLANK(F14)=0,1,0)</f>
        <v/>
      </c>
      <c r="J14" s="8">
        <f>IF(COUNTBLANK(C14:E14)+COUNTBLANK(G14)=0,1,0)</f>
        <v/>
      </c>
      <c r="K14" s="8">
        <f>IF(COUNTBLANK(C14:E14)+COUNTBLANK(H14)=0,1,0)</f>
        <v/>
      </c>
    </row>
    <row r="15">
      <c r="A15" s="8" t="inlineStr">
        <is>
          <t>Argentina</t>
        </is>
      </c>
      <c r="B15" s="8" t="n">
        <v>2009</v>
      </c>
      <c r="C15" s="18">
        <f>IF(Categorias!C16="","",Categorias!C16/(N(Categorias!C16)+N(Categorias!D16)+N(Categorias!E16)))</f>
        <v/>
      </c>
      <c r="D15" s="18">
        <f>IF(Categorias!H16="","",Categorias!H16/(N(Categorias!H16)+N(Categorias!I16)))</f>
        <v/>
      </c>
      <c r="E15" s="17">
        <f>IFERROR(IF(INDEX(Gini!$C$2:$C$377,MATCH($A15&amp;"|"&amp;$B15,Gini!$E$2:$E$377,0))="","",INDEX(Gini!$C$2:$C$377,MATCH($A15&amp;"|"&amp;$B15,Gini!$E$2:$E$377,0))),"")</f>
        <v/>
      </c>
      <c r="F15" s="19">
        <f>IFERROR(IF(INDEX(Corrupcion!$E$2:$E$377,MATCH($A15&amp;"|"&amp;$B15,Corrupcion!$H$2:$H$377,0))="","",INDEX(Corrupcion!$E$2:$E$377,MATCH($A15&amp;"|"&amp;$B15,Corrupcion!$H$2:$H$377,0))),"")</f>
        <v/>
      </c>
      <c r="G15" s="20">
        <f>IFERROR(IF(INDEX(Corrupcion!$F$2:$F$377,MATCH($A15&amp;"|"&amp;$B15,Corrupcion!$H$2:$H$377,0))="","",INDEX(Corrupcion!$F$2:$F$377,MATCH($A15&amp;"|"&amp;$B15,Corrupcion!$H$2:$H$377,0))),"")</f>
        <v/>
      </c>
      <c r="H15" s="17">
        <f>IFERROR(IF(INDEX(Corrupcion!$G$2:$G$377,MATCH($A15&amp;"|"&amp;$B15,Corrupcion!$H$2:$H$377,0))="","",INDEX(Corrupcion!$G$2:$G$377,MATCH($A15&amp;"|"&amp;$B15,Corrupcion!$H$2:$H$377,0))),"")</f>
        <v/>
      </c>
      <c r="I15" s="8">
        <f>IF(COUNTBLANK(C15:E15)+COUNTBLANK(F15)=0,1,0)</f>
        <v/>
      </c>
      <c r="J15" s="8">
        <f>IF(COUNTBLANK(C15:E15)+COUNTBLANK(G15)=0,1,0)</f>
        <v/>
      </c>
      <c r="K15" s="8">
        <f>IF(COUNTBLANK(C15:E15)+COUNTBLANK(H15)=0,1,0)</f>
        <v/>
      </c>
    </row>
    <row r="16">
      <c r="A16" s="8" t="inlineStr">
        <is>
          <t>Argentina</t>
        </is>
      </c>
      <c r="B16" s="8" t="n">
        <v>2010</v>
      </c>
      <c r="C16" s="18">
        <f>IF(Categorias!C17="","",Categorias!C17/(N(Categorias!C17)+N(Categorias!D17)+N(Categorias!E17)))</f>
        <v/>
      </c>
      <c r="D16" s="18">
        <f>IF(Categorias!H17="","",Categorias!H17/(N(Categorias!H17)+N(Categorias!I17)))</f>
        <v/>
      </c>
      <c r="E16" s="17">
        <f>IFERROR(IF(INDEX(Gini!$C$2:$C$377,MATCH($A16&amp;"|"&amp;$B16,Gini!$E$2:$E$377,0))="","",INDEX(Gini!$C$2:$C$377,MATCH($A16&amp;"|"&amp;$B16,Gini!$E$2:$E$377,0))),"")</f>
        <v/>
      </c>
      <c r="F16" s="19">
        <f>IFERROR(IF(INDEX(Corrupcion!$E$2:$E$377,MATCH($A16&amp;"|"&amp;$B16,Corrupcion!$H$2:$H$377,0))="","",INDEX(Corrupcion!$E$2:$E$377,MATCH($A16&amp;"|"&amp;$B16,Corrupcion!$H$2:$H$377,0))),"")</f>
        <v/>
      </c>
      <c r="G16" s="20">
        <f>IFERROR(IF(INDEX(Corrupcion!$F$2:$F$377,MATCH($A16&amp;"|"&amp;$B16,Corrupcion!$H$2:$H$377,0))="","",INDEX(Corrupcion!$F$2:$F$377,MATCH($A16&amp;"|"&amp;$B16,Corrupcion!$H$2:$H$377,0))),"")</f>
        <v/>
      </c>
      <c r="H16" s="17">
        <f>IFERROR(IF(INDEX(Corrupcion!$G$2:$G$377,MATCH($A16&amp;"|"&amp;$B16,Corrupcion!$H$2:$H$377,0))="","",INDEX(Corrupcion!$G$2:$G$377,MATCH($A16&amp;"|"&amp;$B16,Corrupcion!$H$2:$H$377,0))),"")</f>
        <v/>
      </c>
      <c r="I16" s="8">
        <f>IF(COUNTBLANK(C16:E16)+COUNTBLANK(F16)=0,1,0)</f>
        <v/>
      </c>
      <c r="J16" s="8">
        <f>IF(COUNTBLANK(C16:E16)+COUNTBLANK(G16)=0,1,0)</f>
        <v/>
      </c>
      <c r="K16" s="8">
        <f>IF(COUNTBLANK(C16:E16)+COUNTBLANK(H16)=0,1,0)</f>
        <v/>
      </c>
    </row>
    <row r="17">
      <c r="A17" s="8" t="inlineStr">
        <is>
          <t>Argentina</t>
        </is>
      </c>
      <c r="B17" s="8" t="n">
        <v>2011</v>
      </c>
      <c r="C17" s="18">
        <f>IF(Categorias!C18="","",Categorias!C18/(N(Categorias!C18)+N(Categorias!D18)+N(Categorias!E18)))</f>
        <v/>
      </c>
      <c r="D17" s="18">
        <f>IF(Categorias!H18="","",Categorias!H18/(N(Categorias!H18)+N(Categorias!I18)))</f>
        <v/>
      </c>
      <c r="E17" s="17">
        <f>IFERROR(IF(INDEX(Gini!$C$2:$C$377,MATCH($A17&amp;"|"&amp;$B17,Gini!$E$2:$E$377,0))="","",INDEX(Gini!$C$2:$C$377,MATCH($A17&amp;"|"&amp;$B17,Gini!$E$2:$E$377,0))),"")</f>
        <v/>
      </c>
      <c r="F17" s="19">
        <f>IFERROR(IF(INDEX(Corrupcion!$E$2:$E$377,MATCH($A17&amp;"|"&amp;$B17,Corrupcion!$H$2:$H$377,0))="","",INDEX(Corrupcion!$E$2:$E$377,MATCH($A17&amp;"|"&amp;$B17,Corrupcion!$H$2:$H$377,0))),"")</f>
        <v/>
      </c>
      <c r="G17" s="20">
        <f>IFERROR(IF(INDEX(Corrupcion!$F$2:$F$377,MATCH($A17&amp;"|"&amp;$B17,Corrupcion!$H$2:$H$377,0))="","",INDEX(Corrupcion!$F$2:$F$377,MATCH($A17&amp;"|"&amp;$B17,Corrupcion!$H$2:$H$377,0))),"")</f>
        <v/>
      </c>
      <c r="H17" s="17">
        <f>IFERROR(IF(INDEX(Corrupcion!$G$2:$G$377,MATCH($A17&amp;"|"&amp;$B17,Corrupcion!$H$2:$H$377,0))="","",INDEX(Corrupcion!$G$2:$G$377,MATCH($A17&amp;"|"&amp;$B17,Corrupcion!$H$2:$H$377,0))),"")</f>
        <v/>
      </c>
      <c r="I17" s="8">
        <f>IF(COUNTBLANK(C17:E17)+COUNTBLANK(F17)=0,1,0)</f>
        <v/>
      </c>
      <c r="J17" s="8">
        <f>IF(COUNTBLANK(C17:E17)+COUNTBLANK(G17)=0,1,0)</f>
        <v/>
      </c>
      <c r="K17" s="8">
        <f>IF(COUNTBLANK(C17:E17)+COUNTBLANK(H17)=0,1,0)</f>
        <v/>
      </c>
    </row>
    <row r="18">
      <c r="A18" s="8" t="inlineStr">
        <is>
          <t>Argentina</t>
        </is>
      </c>
      <c r="B18" s="8" t="n">
        <v>2015</v>
      </c>
      <c r="C18" s="18">
        <f>IF(Categorias!C19="","",Categorias!C19/(N(Categorias!C19)+N(Categorias!D19)+N(Categorias!E19)))</f>
        <v/>
      </c>
      <c r="D18" s="18">
        <f>IF(Categorias!H19="","",Categorias!H19/(N(Categorias!H19)+N(Categorias!I19)))</f>
        <v/>
      </c>
      <c r="E18" s="17">
        <f>IFERROR(IF(INDEX(Gini!$C$2:$C$377,MATCH($A18&amp;"|"&amp;$B18,Gini!$E$2:$E$377,0))="","",INDEX(Gini!$C$2:$C$377,MATCH($A18&amp;"|"&amp;$B18,Gini!$E$2:$E$377,0))),"")</f>
        <v/>
      </c>
      <c r="F18" s="19">
        <f>IFERROR(IF(INDEX(Corrupcion!$E$2:$E$377,MATCH($A18&amp;"|"&amp;$B18,Corrupcion!$H$2:$H$377,0))="","",INDEX(Corrupcion!$E$2:$E$377,MATCH($A18&amp;"|"&amp;$B18,Corrupcion!$H$2:$H$377,0))),"")</f>
        <v/>
      </c>
      <c r="G18" s="20">
        <f>IFERROR(IF(INDEX(Corrupcion!$F$2:$F$377,MATCH($A18&amp;"|"&amp;$B18,Corrupcion!$H$2:$H$377,0))="","",INDEX(Corrupcion!$F$2:$F$377,MATCH($A18&amp;"|"&amp;$B18,Corrupcion!$H$2:$H$377,0))),"")</f>
        <v/>
      </c>
      <c r="H18" s="17">
        <f>IFERROR(IF(INDEX(Corrupcion!$G$2:$G$377,MATCH($A18&amp;"|"&amp;$B18,Corrupcion!$H$2:$H$377,0))="","",INDEX(Corrupcion!$G$2:$G$377,MATCH($A18&amp;"|"&amp;$B18,Corrupcion!$H$2:$H$377,0))),"")</f>
        <v/>
      </c>
      <c r="I18" s="8">
        <f>IF(COUNTBLANK(C18:E18)+COUNTBLANK(F18)=0,1,0)</f>
        <v/>
      </c>
      <c r="J18" s="8">
        <f>IF(COUNTBLANK(C18:E18)+COUNTBLANK(G18)=0,1,0)</f>
        <v/>
      </c>
      <c r="K18" s="8">
        <f>IF(COUNTBLANK(C18:E18)+COUNTBLANK(H18)=0,1,0)</f>
        <v/>
      </c>
    </row>
    <row r="19">
      <c r="A19" s="8" t="inlineStr">
        <is>
          <t>Argentina</t>
        </is>
      </c>
      <c r="B19" s="8" t="n">
        <v>2016</v>
      </c>
      <c r="C19" s="18">
        <f>IF(Categorias!C20="","",Categorias!C20/(N(Categorias!C20)+N(Categorias!D20)+N(Categorias!E20)))</f>
        <v/>
      </c>
      <c r="D19" s="18">
        <f>IF(Categorias!H20="","",Categorias!H20/(N(Categorias!H20)+N(Categorias!I20)))</f>
        <v/>
      </c>
      <c r="E19" s="17">
        <f>IFERROR(IF(INDEX(Gini!$C$2:$C$377,MATCH($A19&amp;"|"&amp;$B19,Gini!$E$2:$E$377,0))="","",INDEX(Gini!$C$2:$C$377,MATCH($A19&amp;"|"&amp;$B19,Gini!$E$2:$E$377,0))),"")</f>
        <v/>
      </c>
      <c r="F19" s="19">
        <f>IFERROR(IF(INDEX(Corrupcion!$E$2:$E$377,MATCH($A19&amp;"|"&amp;$B19,Corrupcion!$H$2:$H$377,0))="","",INDEX(Corrupcion!$E$2:$E$377,MATCH($A19&amp;"|"&amp;$B19,Corrupcion!$H$2:$H$377,0))),"")</f>
        <v/>
      </c>
      <c r="G19" s="20">
        <f>IFERROR(IF(INDEX(Corrupcion!$F$2:$F$377,MATCH($A19&amp;"|"&amp;$B19,Corrupcion!$H$2:$H$377,0))="","",INDEX(Corrupcion!$F$2:$F$377,MATCH($A19&amp;"|"&amp;$B19,Corrupcion!$H$2:$H$377,0))),"")</f>
        <v/>
      </c>
      <c r="H19" s="17">
        <f>IFERROR(IF(INDEX(Corrupcion!$G$2:$G$377,MATCH($A19&amp;"|"&amp;$B19,Corrupcion!$H$2:$H$377,0))="","",INDEX(Corrupcion!$G$2:$G$377,MATCH($A19&amp;"|"&amp;$B19,Corrupcion!$H$2:$H$377,0))),"")</f>
        <v/>
      </c>
      <c r="I19" s="8">
        <f>IF(COUNTBLANK(C19:E19)+COUNTBLANK(F19)=0,1,0)</f>
        <v/>
      </c>
      <c r="J19" s="8">
        <f>IF(COUNTBLANK(C19:E19)+COUNTBLANK(G19)=0,1,0)</f>
        <v/>
      </c>
      <c r="K19" s="8">
        <f>IF(COUNTBLANK(C19:E19)+COUNTBLANK(H19)=0,1,0)</f>
        <v/>
      </c>
    </row>
    <row r="20">
      <c r="A20" s="8" t="inlineStr">
        <is>
          <t>Argentina</t>
        </is>
      </c>
      <c r="B20" s="8" t="n">
        <v>2017</v>
      </c>
      <c r="C20" s="18">
        <f>IF(Categorias!C21="","",Categorias!C21/(N(Categorias!C21)+N(Categorias!D21)+N(Categorias!E21)))</f>
        <v/>
      </c>
      <c r="D20" s="18">
        <f>IF(Categorias!H21="","",Categorias!H21/(N(Categorias!H21)+N(Categorias!I21)))</f>
        <v/>
      </c>
      <c r="E20" s="17">
        <f>IFERROR(IF(INDEX(Gini!$C$2:$C$377,MATCH($A20&amp;"|"&amp;$B20,Gini!$E$2:$E$377,0))="","",INDEX(Gini!$C$2:$C$377,MATCH($A20&amp;"|"&amp;$B20,Gini!$E$2:$E$377,0))),"")</f>
        <v/>
      </c>
      <c r="F20" s="19">
        <f>IFERROR(IF(INDEX(Corrupcion!$E$2:$E$377,MATCH($A20&amp;"|"&amp;$B20,Corrupcion!$H$2:$H$377,0))="","",INDEX(Corrupcion!$E$2:$E$377,MATCH($A20&amp;"|"&amp;$B20,Corrupcion!$H$2:$H$377,0))),"")</f>
        <v/>
      </c>
      <c r="G20" s="20">
        <f>IFERROR(IF(INDEX(Corrupcion!$F$2:$F$377,MATCH($A20&amp;"|"&amp;$B20,Corrupcion!$H$2:$H$377,0))="","",INDEX(Corrupcion!$F$2:$F$377,MATCH($A20&amp;"|"&amp;$B20,Corrupcion!$H$2:$H$377,0))),"")</f>
        <v/>
      </c>
      <c r="H20" s="17">
        <f>IFERROR(IF(INDEX(Corrupcion!$G$2:$G$377,MATCH($A20&amp;"|"&amp;$B20,Corrupcion!$H$2:$H$377,0))="","",INDEX(Corrupcion!$G$2:$G$377,MATCH($A20&amp;"|"&amp;$B20,Corrupcion!$H$2:$H$377,0))),"")</f>
        <v/>
      </c>
      <c r="I20" s="8">
        <f>IF(COUNTBLANK(C20:E20)+COUNTBLANK(F20)=0,1,0)</f>
        <v/>
      </c>
      <c r="J20" s="8">
        <f>IF(COUNTBLANK(C20:E20)+COUNTBLANK(G20)=0,1,0)</f>
        <v/>
      </c>
      <c r="K20" s="8">
        <f>IF(COUNTBLANK(C20:E20)+COUNTBLANK(H20)=0,1,0)</f>
        <v/>
      </c>
    </row>
    <row r="21">
      <c r="A21" s="8" t="inlineStr">
        <is>
          <t>Argentina</t>
        </is>
      </c>
      <c r="B21" s="8" t="n">
        <v>2018</v>
      </c>
      <c r="C21" s="18">
        <f>IF(Categorias!C22="","",Categorias!C22/(N(Categorias!C22)+N(Categorias!D22)+N(Categorias!E22)))</f>
        <v/>
      </c>
      <c r="D21" s="18">
        <f>IF(Categorias!H22="","",Categorias!H22/(N(Categorias!H22)+N(Categorias!I22)))</f>
        <v/>
      </c>
      <c r="E21" s="17">
        <f>IFERROR(IF(INDEX(Gini!$C$2:$C$377,MATCH($A21&amp;"|"&amp;$B21,Gini!$E$2:$E$377,0))="","",INDEX(Gini!$C$2:$C$377,MATCH($A21&amp;"|"&amp;$B21,Gini!$E$2:$E$377,0))),"")</f>
        <v/>
      </c>
      <c r="F21" s="19">
        <f>IFERROR(IF(INDEX(Corrupcion!$E$2:$E$377,MATCH($A21&amp;"|"&amp;$B21,Corrupcion!$H$2:$H$377,0))="","",INDEX(Corrupcion!$E$2:$E$377,MATCH($A21&amp;"|"&amp;$B21,Corrupcion!$H$2:$H$377,0))),"")</f>
        <v/>
      </c>
      <c r="G21" s="20">
        <f>IFERROR(IF(INDEX(Corrupcion!$F$2:$F$377,MATCH($A21&amp;"|"&amp;$B21,Corrupcion!$H$2:$H$377,0))="","",INDEX(Corrupcion!$F$2:$F$377,MATCH($A21&amp;"|"&amp;$B21,Corrupcion!$H$2:$H$377,0))),"")</f>
        <v/>
      </c>
      <c r="H21" s="17">
        <f>IFERROR(IF(INDEX(Corrupcion!$G$2:$G$377,MATCH($A21&amp;"|"&amp;$B21,Corrupcion!$H$2:$H$377,0))="","",INDEX(Corrupcion!$G$2:$G$377,MATCH($A21&amp;"|"&amp;$B21,Corrupcion!$H$2:$H$377,0))),"")</f>
        <v/>
      </c>
      <c r="I21" s="8">
        <f>IF(COUNTBLANK(C21:E21)+COUNTBLANK(F21)=0,1,0)</f>
        <v/>
      </c>
      <c r="J21" s="8">
        <f>IF(COUNTBLANK(C21:E21)+COUNTBLANK(G21)=0,1,0)</f>
        <v/>
      </c>
      <c r="K21" s="8">
        <f>IF(COUNTBLANK(C21:E21)+COUNTBLANK(H21)=0,1,0)</f>
        <v/>
      </c>
    </row>
    <row r="22">
      <c r="A22" s="8" t="inlineStr">
        <is>
          <t>Argentina</t>
        </is>
      </c>
      <c r="B22" s="8" t="n">
        <v>2020</v>
      </c>
      <c r="C22" s="18">
        <f>IF(Categorias!C23="","",Categorias!C23/(N(Categorias!C23)+N(Categorias!D23)+N(Categorias!E23)))</f>
        <v/>
      </c>
      <c r="D22" s="18">
        <f>IF(Categorias!H23="","",Categorias!H23/(N(Categorias!H23)+N(Categorias!I23)))</f>
        <v/>
      </c>
      <c r="E22" s="17">
        <f>IFERROR(IF(INDEX(Gini!$C$2:$C$377,MATCH($A22&amp;"|"&amp;$B22,Gini!$E$2:$E$377,0))="","",INDEX(Gini!$C$2:$C$377,MATCH($A22&amp;"|"&amp;$B22,Gini!$E$2:$E$377,0))),"")</f>
        <v/>
      </c>
      <c r="F22" s="19">
        <f>IFERROR(IF(INDEX(Corrupcion!$E$2:$E$377,MATCH($A22&amp;"|"&amp;$B22,Corrupcion!$H$2:$H$377,0))="","",INDEX(Corrupcion!$E$2:$E$377,MATCH($A22&amp;"|"&amp;$B22,Corrupcion!$H$2:$H$377,0))),"")</f>
        <v/>
      </c>
      <c r="G22" s="20">
        <f>IFERROR(IF(INDEX(Corrupcion!$F$2:$F$377,MATCH($A22&amp;"|"&amp;$B22,Corrupcion!$H$2:$H$377,0))="","",INDEX(Corrupcion!$F$2:$F$377,MATCH($A22&amp;"|"&amp;$B22,Corrupcion!$H$2:$H$377,0))),"")</f>
        <v/>
      </c>
      <c r="H22" s="17">
        <f>IFERROR(IF(INDEX(Corrupcion!$G$2:$G$377,MATCH($A22&amp;"|"&amp;$B22,Corrupcion!$H$2:$H$377,0))="","",INDEX(Corrupcion!$G$2:$G$377,MATCH($A22&amp;"|"&amp;$B22,Corrupcion!$H$2:$H$377,0))),"")</f>
        <v/>
      </c>
      <c r="I22" s="8">
        <f>IF(COUNTBLANK(C22:E22)+COUNTBLANK(F22)=0,1,0)</f>
        <v/>
      </c>
      <c r="J22" s="8">
        <f>IF(COUNTBLANK(C22:E22)+COUNTBLANK(G22)=0,1,0)</f>
        <v/>
      </c>
      <c r="K22" s="8">
        <f>IF(COUNTBLANK(C22:E22)+COUNTBLANK(H22)=0,1,0)</f>
        <v/>
      </c>
    </row>
    <row r="23">
      <c r="A23" s="8" t="inlineStr">
        <is>
          <t>Argentina</t>
        </is>
      </c>
      <c r="B23" s="8" t="n">
        <v>2024</v>
      </c>
      <c r="C23" s="18">
        <f>IF(Categorias!C24="","",Categorias!C24/(N(Categorias!C24)+N(Categorias!D24)+N(Categorias!E24)))</f>
        <v/>
      </c>
      <c r="D23" s="18">
        <f>IF(Categorias!H24="","",Categorias!H24/(N(Categorias!H24)+N(Categorias!I24)))</f>
        <v/>
      </c>
      <c r="E23" s="17">
        <f>IFERROR(IF(INDEX(Gini!$C$2:$C$377,MATCH($A23&amp;"|"&amp;$B23,Gini!$E$2:$E$377,0))="","",INDEX(Gini!$C$2:$C$377,MATCH($A23&amp;"|"&amp;$B23,Gini!$E$2:$E$377,0))),"")</f>
        <v/>
      </c>
      <c r="F23" s="19">
        <f>IFERROR(IF(INDEX(Corrupcion!$E$2:$E$377,MATCH($A23&amp;"|"&amp;$B23,Corrupcion!$H$2:$H$377,0))="","",INDEX(Corrupcion!$E$2:$E$377,MATCH($A23&amp;"|"&amp;$B23,Corrupcion!$H$2:$H$377,0))),"")</f>
        <v/>
      </c>
      <c r="G23" s="20">
        <f>IFERROR(IF(INDEX(Corrupcion!$F$2:$F$377,MATCH($A23&amp;"|"&amp;$B23,Corrupcion!$H$2:$H$377,0))="","",INDEX(Corrupcion!$F$2:$F$377,MATCH($A23&amp;"|"&amp;$B23,Corrupcion!$H$2:$H$377,0))),"")</f>
        <v/>
      </c>
      <c r="H23" s="17">
        <f>IFERROR(IF(INDEX(Corrupcion!$G$2:$G$377,MATCH($A23&amp;"|"&amp;$B23,Corrupcion!$H$2:$H$377,0))="","",INDEX(Corrupcion!$G$2:$G$377,MATCH($A23&amp;"|"&amp;$B23,Corrupcion!$H$2:$H$377,0))),"")</f>
        <v/>
      </c>
      <c r="I23" s="8">
        <f>IF(COUNTBLANK(C23:E23)+COUNTBLANK(F23)=0,1,0)</f>
        <v/>
      </c>
      <c r="J23" s="8">
        <f>IF(COUNTBLANK(C23:E23)+COUNTBLANK(G23)=0,1,0)</f>
        <v/>
      </c>
      <c r="K23" s="8">
        <f>IF(COUNTBLANK(C23:E23)+COUNTBLANK(H23)=0,1,0)</f>
        <v/>
      </c>
    </row>
    <row r="24">
      <c r="A24" s="8" t="inlineStr">
        <is>
          <t>Bolivia</t>
        </is>
      </c>
      <c r="B24" s="8" t="n">
        <v>1996</v>
      </c>
      <c r="C24" s="18">
        <f>IF(Categorias!C25="","",Categorias!C25/(N(Categorias!C25)+N(Categorias!D25)+N(Categorias!E25)))</f>
        <v/>
      </c>
      <c r="D24" s="18">
        <f>IF(Categorias!H25="","",Categorias!H25/(N(Categorias!H25)+N(Categorias!I25)))</f>
        <v/>
      </c>
      <c r="E24" s="17">
        <f>IFERROR(IF(INDEX(Gini!$C$2:$C$377,MATCH($A24&amp;"|"&amp;$B24,Gini!$E$2:$E$377,0))="","",INDEX(Gini!$C$2:$C$377,MATCH($A24&amp;"|"&amp;$B24,Gini!$E$2:$E$377,0))),"")</f>
        <v/>
      </c>
      <c r="F24" s="19">
        <f>IFERROR(IF(INDEX(Corrupcion!$E$2:$E$377,MATCH($A24&amp;"|"&amp;$B24,Corrupcion!$H$2:$H$377,0))="","",INDEX(Corrupcion!$E$2:$E$377,MATCH($A24&amp;"|"&amp;$B24,Corrupcion!$H$2:$H$377,0))),"")</f>
        <v/>
      </c>
      <c r="G24" s="20">
        <f>IFERROR(IF(INDEX(Corrupcion!$F$2:$F$377,MATCH($A24&amp;"|"&amp;$B24,Corrupcion!$H$2:$H$377,0))="","",INDEX(Corrupcion!$F$2:$F$377,MATCH($A24&amp;"|"&amp;$B24,Corrupcion!$H$2:$H$377,0))),"")</f>
        <v/>
      </c>
      <c r="H24" s="17">
        <f>IFERROR(IF(INDEX(Corrupcion!$G$2:$G$377,MATCH($A24&amp;"|"&amp;$B24,Corrupcion!$H$2:$H$377,0))="","",INDEX(Corrupcion!$G$2:$G$377,MATCH($A24&amp;"|"&amp;$B24,Corrupcion!$H$2:$H$377,0))),"")</f>
        <v/>
      </c>
      <c r="I24" s="8">
        <f>IF(COUNTBLANK(C24:E24)+COUNTBLANK(F24)=0,1,0)</f>
        <v/>
      </c>
      <c r="J24" s="8">
        <f>IF(COUNTBLANK(C24:E24)+COUNTBLANK(G24)=0,1,0)</f>
        <v/>
      </c>
      <c r="K24" s="8">
        <f>IF(COUNTBLANK(C24:E24)+COUNTBLANK(H24)=0,1,0)</f>
        <v/>
      </c>
    </row>
    <row r="25">
      <c r="A25" s="8" t="inlineStr">
        <is>
          <t>Bolivia</t>
        </is>
      </c>
      <c r="B25" s="8" t="n">
        <v>1997</v>
      </c>
      <c r="C25" s="18">
        <f>IF(Categorias!C26="","",Categorias!C26/(N(Categorias!C26)+N(Categorias!D26)+N(Categorias!E26)))</f>
        <v/>
      </c>
      <c r="D25" s="18">
        <f>IF(Categorias!H26="","",Categorias!H26/(N(Categorias!H26)+N(Categorias!I26)))</f>
        <v/>
      </c>
      <c r="E25" s="17">
        <f>IFERROR(IF(INDEX(Gini!$C$2:$C$377,MATCH($A25&amp;"|"&amp;$B25,Gini!$E$2:$E$377,0))="","",INDEX(Gini!$C$2:$C$377,MATCH($A25&amp;"|"&amp;$B25,Gini!$E$2:$E$377,0))),"")</f>
        <v/>
      </c>
      <c r="F25" s="19">
        <f>IFERROR(IF(INDEX(Corrupcion!$E$2:$E$377,MATCH($A25&amp;"|"&amp;$B25,Corrupcion!$H$2:$H$377,0))="","",INDEX(Corrupcion!$E$2:$E$377,MATCH($A25&amp;"|"&amp;$B25,Corrupcion!$H$2:$H$377,0))),"")</f>
        <v/>
      </c>
      <c r="G25" s="20">
        <f>IFERROR(IF(INDEX(Corrupcion!$F$2:$F$377,MATCH($A25&amp;"|"&amp;$B25,Corrupcion!$H$2:$H$377,0))="","",INDEX(Corrupcion!$F$2:$F$377,MATCH($A25&amp;"|"&amp;$B25,Corrupcion!$H$2:$H$377,0))),"")</f>
        <v/>
      </c>
      <c r="H25" s="17">
        <f>IFERROR(IF(INDEX(Corrupcion!$G$2:$G$377,MATCH($A25&amp;"|"&amp;$B25,Corrupcion!$H$2:$H$377,0))="","",INDEX(Corrupcion!$G$2:$G$377,MATCH($A25&amp;"|"&amp;$B25,Corrupcion!$H$2:$H$377,0))),"")</f>
        <v/>
      </c>
      <c r="I25" s="8">
        <f>IF(COUNTBLANK(C25:E25)+COUNTBLANK(F25)=0,1,0)</f>
        <v/>
      </c>
      <c r="J25" s="8">
        <f>IF(COUNTBLANK(C25:E25)+COUNTBLANK(G25)=0,1,0)</f>
        <v/>
      </c>
      <c r="K25" s="8">
        <f>IF(COUNTBLANK(C25:E25)+COUNTBLANK(H25)=0,1,0)</f>
        <v/>
      </c>
    </row>
    <row r="26">
      <c r="A26" s="8" t="inlineStr">
        <is>
          <t>Bolivia</t>
        </is>
      </c>
      <c r="B26" s="8" t="n">
        <v>1998</v>
      </c>
      <c r="C26" s="18">
        <f>IF(Categorias!C27="","",Categorias!C27/(N(Categorias!C27)+N(Categorias!D27)+N(Categorias!E27)))</f>
        <v/>
      </c>
      <c r="D26" s="18">
        <f>IF(Categorias!H27="","",Categorias!H27/(N(Categorias!H27)+N(Categorias!I27)))</f>
        <v/>
      </c>
      <c r="E26" s="17">
        <f>IFERROR(IF(INDEX(Gini!$C$2:$C$377,MATCH($A26&amp;"|"&amp;$B26,Gini!$E$2:$E$377,0))="","",INDEX(Gini!$C$2:$C$377,MATCH($A26&amp;"|"&amp;$B26,Gini!$E$2:$E$377,0))),"")</f>
        <v/>
      </c>
      <c r="F26" s="19">
        <f>IFERROR(IF(INDEX(Corrupcion!$E$2:$E$377,MATCH($A26&amp;"|"&amp;$B26,Corrupcion!$H$2:$H$377,0))="","",INDEX(Corrupcion!$E$2:$E$377,MATCH($A26&amp;"|"&amp;$B26,Corrupcion!$H$2:$H$377,0))),"")</f>
        <v/>
      </c>
      <c r="G26" s="20">
        <f>IFERROR(IF(INDEX(Corrupcion!$F$2:$F$377,MATCH($A26&amp;"|"&amp;$B26,Corrupcion!$H$2:$H$377,0))="","",INDEX(Corrupcion!$F$2:$F$377,MATCH($A26&amp;"|"&amp;$B26,Corrupcion!$H$2:$H$377,0))),"")</f>
        <v/>
      </c>
      <c r="H26" s="17">
        <f>IFERROR(IF(INDEX(Corrupcion!$G$2:$G$377,MATCH($A26&amp;"|"&amp;$B26,Corrupcion!$H$2:$H$377,0))="","",INDEX(Corrupcion!$G$2:$G$377,MATCH($A26&amp;"|"&amp;$B26,Corrupcion!$H$2:$H$377,0))),"")</f>
        <v/>
      </c>
      <c r="I26" s="8">
        <f>IF(COUNTBLANK(C26:E26)+COUNTBLANK(F26)=0,1,0)</f>
        <v/>
      </c>
      <c r="J26" s="8">
        <f>IF(COUNTBLANK(C26:E26)+COUNTBLANK(G26)=0,1,0)</f>
        <v/>
      </c>
      <c r="K26" s="8">
        <f>IF(COUNTBLANK(C26:E26)+COUNTBLANK(H26)=0,1,0)</f>
        <v/>
      </c>
    </row>
    <row r="27">
      <c r="A27" s="8" t="inlineStr">
        <is>
          <t>Bolivia</t>
        </is>
      </c>
      <c r="B27" s="8" t="n">
        <v>2000</v>
      </c>
      <c r="C27" s="18">
        <f>IF(Categorias!C28="","",Categorias!C28/(N(Categorias!C28)+N(Categorias!D28)+N(Categorias!E28)))</f>
        <v/>
      </c>
      <c r="D27" s="18">
        <f>IF(Categorias!H28="","",Categorias!H28/(N(Categorias!H28)+N(Categorias!I28)))</f>
        <v/>
      </c>
      <c r="E27" s="17">
        <f>IFERROR(IF(INDEX(Gini!$C$2:$C$377,MATCH($A27&amp;"|"&amp;$B27,Gini!$E$2:$E$377,0))="","",INDEX(Gini!$C$2:$C$377,MATCH($A27&amp;"|"&amp;$B27,Gini!$E$2:$E$377,0))),"")</f>
        <v/>
      </c>
      <c r="F27" s="19">
        <f>IFERROR(IF(INDEX(Corrupcion!$E$2:$E$377,MATCH($A27&amp;"|"&amp;$B27,Corrupcion!$H$2:$H$377,0))="","",INDEX(Corrupcion!$E$2:$E$377,MATCH($A27&amp;"|"&amp;$B27,Corrupcion!$H$2:$H$377,0))),"")</f>
        <v/>
      </c>
      <c r="G27" s="20">
        <f>IFERROR(IF(INDEX(Corrupcion!$F$2:$F$377,MATCH($A27&amp;"|"&amp;$B27,Corrupcion!$H$2:$H$377,0))="","",INDEX(Corrupcion!$F$2:$F$377,MATCH($A27&amp;"|"&amp;$B27,Corrupcion!$H$2:$H$377,0))),"")</f>
        <v/>
      </c>
      <c r="H27" s="17">
        <f>IFERROR(IF(INDEX(Corrupcion!$G$2:$G$377,MATCH($A27&amp;"|"&amp;$B27,Corrupcion!$H$2:$H$377,0))="","",INDEX(Corrupcion!$G$2:$G$377,MATCH($A27&amp;"|"&amp;$B27,Corrupcion!$H$2:$H$377,0))),"")</f>
        <v/>
      </c>
      <c r="I27" s="8">
        <f>IF(COUNTBLANK(C27:E27)+COUNTBLANK(F27)=0,1,0)</f>
        <v/>
      </c>
      <c r="J27" s="8">
        <f>IF(COUNTBLANK(C27:E27)+COUNTBLANK(G27)=0,1,0)</f>
        <v/>
      </c>
      <c r="K27" s="8">
        <f>IF(COUNTBLANK(C27:E27)+COUNTBLANK(H27)=0,1,0)</f>
        <v/>
      </c>
    </row>
    <row r="28">
      <c r="A28" s="8" t="inlineStr">
        <is>
          <t>Bolivia</t>
        </is>
      </c>
      <c r="B28" s="8" t="n">
        <v>2001</v>
      </c>
      <c r="C28" s="18">
        <f>IF(Categorias!C29="","",Categorias!C29/(N(Categorias!C29)+N(Categorias!D29)+N(Categorias!E29)))</f>
        <v/>
      </c>
      <c r="D28" s="18">
        <f>IF(Categorias!H29="","",Categorias!H29/(N(Categorias!H29)+N(Categorias!I29)))</f>
        <v/>
      </c>
      <c r="E28" s="17">
        <f>IFERROR(IF(INDEX(Gini!$C$2:$C$377,MATCH($A28&amp;"|"&amp;$B28,Gini!$E$2:$E$377,0))="","",INDEX(Gini!$C$2:$C$377,MATCH($A28&amp;"|"&amp;$B28,Gini!$E$2:$E$377,0))),"")</f>
        <v/>
      </c>
      <c r="F28" s="19">
        <f>IFERROR(IF(INDEX(Corrupcion!$E$2:$E$377,MATCH($A28&amp;"|"&amp;$B28,Corrupcion!$H$2:$H$377,0))="","",INDEX(Corrupcion!$E$2:$E$377,MATCH($A28&amp;"|"&amp;$B28,Corrupcion!$H$2:$H$377,0))),"")</f>
        <v/>
      </c>
      <c r="G28" s="20">
        <f>IFERROR(IF(INDEX(Corrupcion!$F$2:$F$377,MATCH($A28&amp;"|"&amp;$B28,Corrupcion!$H$2:$H$377,0))="","",INDEX(Corrupcion!$F$2:$F$377,MATCH($A28&amp;"|"&amp;$B28,Corrupcion!$H$2:$H$377,0))),"")</f>
        <v/>
      </c>
      <c r="H28" s="17">
        <f>IFERROR(IF(INDEX(Corrupcion!$G$2:$G$377,MATCH($A28&amp;"|"&amp;$B28,Corrupcion!$H$2:$H$377,0))="","",INDEX(Corrupcion!$G$2:$G$377,MATCH($A28&amp;"|"&amp;$B28,Corrupcion!$H$2:$H$377,0))),"")</f>
        <v/>
      </c>
      <c r="I28" s="8">
        <f>IF(COUNTBLANK(C28:E28)+COUNTBLANK(F28)=0,1,0)</f>
        <v/>
      </c>
      <c r="J28" s="8">
        <f>IF(COUNTBLANK(C28:E28)+COUNTBLANK(G28)=0,1,0)</f>
        <v/>
      </c>
      <c r="K28" s="8">
        <f>IF(COUNTBLANK(C28:E28)+COUNTBLANK(H28)=0,1,0)</f>
        <v/>
      </c>
    </row>
    <row r="29">
      <c r="A29" s="8" t="inlineStr">
        <is>
          <t>Bolivia</t>
        </is>
      </c>
      <c r="B29" s="8" t="n">
        <v>2002</v>
      </c>
      <c r="C29" s="18">
        <f>IF(Categorias!C30="","",Categorias!C30/(N(Categorias!C30)+N(Categorias!D30)+N(Categorias!E30)))</f>
        <v/>
      </c>
      <c r="D29" s="18">
        <f>IF(Categorias!H30="","",Categorias!H30/(N(Categorias!H30)+N(Categorias!I30)))</f>
        <v/>
      </c>
      <c r="E29" s="17">
        <f>IFERROR(IF(INDEX(Gini!$C$2:$C$377,MATCH($A29&amp;"|"&amp;$B29,Gini!$E$2:$E$377,0))="","",INDEX(Gini!$C$2:$C$377,MATCH($A29&amp;"|"&amp;$B29,Gini!$E$2:$E$377,0))),"")</f>
        <v/>
      </c>
      <c r="F29" s="19">
        <f>IFERROR(IF(INDEX(Corrupcion!$E$2:$E$377,MATCH($A29&amp;"|"&amp;$B29,Corrupcion!$H$2:$H$377,0))="","",INDEX(Corrupcion!$E$2:$E$377,MATCH($A29&amp;"|"&amp;$B29,Corrupcion!$H$2:$H$377,0))),"")</f>
        <v/>
      </c>
      <c r="G29" s="20">
        <f>IFERROR(IF(INDEX(Corrupcion!$F$2:$F$377,MATCH($A29&amp;"|"&amp;$B29,Corrupcion!$H$2:$H$377,0))="","",INDEX(Corrupcion!$F$2:$F$377,MATCH($A29&amp;"|"&amp;$B29,Corrupcion!$H$2:$H$377,0))),"")</f>
        <v/>
      </c>
      <c r="H29" s="17">
        <f>IFERROR(IF(INDEX(Corrupcion!$G$2:$G$377,MATCH($A29&amp;"|"&amp;$B29,Corrupcion!$H$2:$H$377,0))="","",INDEX(Corrupcion!$G$2:$G$377,MATCH($A29&amp;"|"&amp;$B29,Corrupcion!$H$2:$H$377,0))),"")</f>
        <v/>
      </c>
      <c r="I29" s="8">
        <f>IF(COUNTBLANK(C29:E29)+COUNTBLANK(F29)=0,1,0)</f>
        <v/>
      </c>
      <c r="J29" s="8">
        <f>IF(COUNTBLANK(C29:E29)+COUNTBLANK(G29)=0,1,0)</f>
        <v/>
      </c>
      <c r="K29" s="8">
        <f>IF(COUNTBLANK(C29:E29)+COUNTBLANK(H29)=0,1,0)</f>
        <v/>
      </c>
    </row>
    <row r="30">
      <c r="A30" s="8" t="inlineStr">
        <is>
          <t>Bolivia</t>
        </is>
      </c>
      <c r="B30" s="8" t="n">
        <v>2003</v>
      </c>
      <c r="C30" s="18">
        <f>IF(Categorias!C31="","",Categorias!C31/(N(Categorias!C31)+N(Categorias!D31)+N(Categorias!E31)))</f>
        <v/>
      </c>
      <c r="D30" s="18">
        <f>IF(Categorias!H31="","",Categorias!H31/(N(Categorias!H31)+N(Categorias!I31)))</f>
        <v/>
      </c>
      <c r="E30" s="17">
        <f>IFERROR(IF(INDEX(Gini!$C$2:$C$377,MATCH($A30&amp;"|"&amp;$B30,Gini!$E$2:$E$377,0))="","",INDEX(Gini!$C$2:$C$377,MATCH($A30&amp;"|"&amp;$B30,Gini!$E$2:$E$377,0))),"")</f>
        <v/>
      </c>
      <c r="F30" s="19">
        <f>IFERROR(IF(INDEX(Corrupcion!$E$2:$E$377,MATCH($A30&amp;"|"&amp;$B30,Corrupcion!$H$2:$H$377,0))="","",INDEX(Corrupcion!$E$2:$E$377,MATCH($A30&amp;"|"&amp;$B30,Corrupcion!$H$2:$H$377,0))),"")</f>
        <v/>
      </c>
      <c r="G30" s="20">
        <f>IFERROR(IF(INDEX(Corrupcion!$F$2:$F$377,MATCH($A30&amp;"|"&amp;$B30,Corrupcion!$H$2:$H$377,0))="","",INDEX(Corrupcion!$F$2:$F$377,MATCH($A30&amp;"|"&amp;$B30,Corrupcion!$H$2:$H$377,0))),"")</f>
        <v/>
      </c>
      <c r="H30" s="17">
        <f>IFERROR(IF(INDEX(Corrupcion!$G$2:$G$377,MATCH($A30&amp;"|"&amp;$B30,Corrupcion!$H$2:$H$377,0))="","",INDEX(Corrupcion!$G$2:$G$377,MATCH($A30&amp;"|"&amp;$B30,Corrupcion!$H$2:$H$377,0))),"")</f>
        <v/>
      </c>
      <c r="I30" s="8">
        <f>IF(COUNTBLANK(C30:E30)+COUNTBLANK(F30)=0,1,0)</f>
        <v/>
      </c>
      <c r="J30" s="8">
        <f>IF(COUNTBLANK(C30:E30)+COUNTBLANK(G30)=0,1,0)</f>
        <v/>
      </c>
      <c r="K30" s="8">
        <f>IF(COUNTBLANK(C30:E30)+COUNTBLANK(H30)=0,1,0)</f>
        <v/>
      </c>
    </row>
    <row r="31">
      <c r="A31" s="8" t="inlineStr">
        <is>
          <t>Bolivia</t>
        </is>
      </c>
      <c r="B31" s="8" t="n">
        <v>2004</v>
      </c>
      <c r="C31" s="18">
        <f>IF(Categorias!C32="","",Categorias!C32/(N(Categorias!C32)+N(Categorias!D32)+N(Categorias!E32)))</f>
        <v/>
      </c>
      <c r="D31" s="18">
        <f>IF(Categorias!H32="","",Categorias!H32/(N(Categorias!H32)+N(Categorias!I32)))</f>
        <v/>
      </c>
      <c r="E31" s="17">
        <f>IFERROR(IF(INDEX(Gini!$C$2:$C$377,MATCH($A31&amp;"|"&amp;$B31,Gini!$E$2:$E$377,0))="","",INDEX(Gini!$C$2:$C$377,MATCH($A31&amp;"|"&amp;$B31,Gini!$E$2:$E$377,0))),"")</f>
        <v/>
      </c>
      <c r="F31" s="19">
        <f>IFERROR(IF(INDEX(Corrupcion!$E$2:$E$377,MATCH($A31&amp;"|"&amp;$B31,Corrupcion!$H$2:$H$377,0))="","",INDEX(Corrupcion!$E$2:$E$377,MATCH($A31&amp;"|"&amp;$B31,Corrupcion!$H$2:$H$377,0))),"")</f>
        <v/>
      </c>
      <c r="G31" s="20">
        <f>IFERROR(IF(INDEX(Corrupcion!$F$2:$F$377,MATCH($A31&amp;"|"&amp;$B31,Corrupcion!$H$2:$H$377,0))="","",INDEX(Corrupcion!$F$2:$F$377,MATCH($A31&amp;"|"&amp;$B31,Corrupcion!$H$2:$H$377,0))),"")</f>
        <v/>
      </c>
      <c r="H31" s="17">
        <f>IFERROR(IF(INDEX(Corrupcion!$G$2:$G$377,MATCH($A31&amp;"|"&amp;$B31,Corrupcion!$H$2:$H$377,0))="","",INDEX(Corrupcion!$G$2:$G$377,MATCH($A31&amp;"|"&amp;$B31,Corrupcion!$H$2:$H$377,0))),"")</f>
        <v/>
      </c>
      <c r="I31" s="8">
        <f>IF(COUNTBLANK(C31:E31)+COUNTBLANK(F31)=0,1,0)</f>
        <v/>
      </c>
      <c r="J31" s="8">
        <f>IF(COUNTBLANK(C31:E31)+COUNTBLANK(G31)=0,1,0)</f>
        <v/>
      </c>
      <c r="K31" s="8">
        <f>IF(COUNTBLANK(C31:E31)+COUNTBLANK(H31)=0,1,0)</f>
        <v/>
      </c>
    </row>
    <row r="32">
      <c r="A32" s="8" t="inlineStr">
        <is>
          <t>Bolivia</t>
        </is>
      </c>
      <c r="B32" s="8" t="n">
        <v>2005</v>
      </c>
      <c r="C32" s="18">
        <f>IF(Categorias!C33="","",Categorias!C33/(N(Categorias!C33)+N(Categorias!D33)+N(Categorias!E33)))</f>
        <v/>
      </c>
      <c r="D32" s="18">
        <f>IF(Categorias!H33="","",Categorias!H33/(N(Categorias!H33)+N(Categorias!I33)))</f>
        <v/>
      </c>
      <c r="E32" s="17">
        <f>IFERROR(IF(INDEX(Gini!$C$2:$C$377,MATCH($A32&amp;"|"&amp;$B32,Gini!$E$2:$E$377,0))="","",INDEX(Gini!$C$2:$C$377,MATCH($A32&amp;"|"&amp;$B32,Gini!$E$2:$E$377,0))),"")</f>
        <v/>
      </c>
      <c r="F32" s="19">
        <f>IFERROR(IF(INDEX(Corrupcion!$E$2:$E$377,MATCH($A32&amp;"|"&amp;$B32,Corrupcion!$H$2:$H$377,0))="","",INDEX(Corrupcion!$E$2:$E$377,MATCH($A32&amp;"|"&amp;$B32,Corrupcion!$H$2:$H$377,0))),"")</f>
        <v/>
      </c>
      <c r="G32" s="20">
        <f>IFERROR(IF(INDEX(Corrupcion!$F$2:$F$377,MATCH($A32&amp;"|"&amp;$B32,Corrupcion!$H$2:$H$377,0))="","",INDEX(Corrupcion!$F$2:$F$377,MATCH($A32&amp;"|"&amp;$B32,Corrupcion!$H$2:$H$377,0))),"")</f>
        <v/>
      </c>
      <c r="H32" s="17">
        <f>IFERROR(IF(INDEX(Corrupcion!$G$2:$G$377,MATCH($A32&amp;"|"&amp;$B32,Corrupcion!$H$2:$H$377,0))="","",INDEX(Corrupcion!$G$2:$G$377,MATCH($A32&amp;"|"&amp;$B32,Corrupcion!$H$2:$H$377,0))),"")</f>
        <v/>
      </c>
      <c r="I32" s="8">
        <f>IF(COUNTBLANK(C32:E32)+COUNTBLANK(F32)=0,1,0)</f>
        <v/>
      </c>
      <c r="J32" s="8">
        <f>IF(COUNTBLANK(C32:E32)+COUNTBLANK(G32)=0,1,0)</f>
        <v/>
      </c>
      <c r="K32" s="8">
        <f>IF(COUNTBLANK(C32:E32)+COUNTBLANK(H32)=0,1,0)</f>
        <v/>
      </c>
    </row>
    <row r="33">
      <c r="A33" s="8" t="inlineStr">
        <is>
          <t>Bolivia</t>
        </is>
      </c>
      <c r="B33" s="8" t="n">
        <v>2006</v>
      </c>
      <c r="C33" s="18">
        <f>IF(Categorias!C34="","",Categorias!C34/(N(Categorias!C34)+N(Categorias!D34)+N(Categorias!E34)))</f>
        <v/>
      </c>
      <c r="D33" s="18">
        <f>IF(Categorias!H34="","",Categorias!H34/(N(Categorias!H34)+N(Categorias!I34)))</f>
        <v/>
      </c>
      <c r="E33" s="17">
        <f>IFERROR(IF(INDEX(Gini!$C$2:$C$377,MATCH($A33&amp;"|"&amp;$B33,Gini!$E$2:$E$377,0))="","",INDEX(Gini!$C$2:$C$377,MATCH($A33&amp;"|"&amp;$B33,Gini!$E$2:$E$377,0))),"")</f>
        <v/>
      </c>
      <c r="F33" s="19">
        <f>IFERROR(IF(INDEX(Corrupcion!$E$2:$E$377,MATCH($A33&amp;"|"&amp;$B33,Corrupcion!$H$2:$H$377,0))="","",INDEX(Corrupcion!$E$2:$E$377,MATCH($A33&amp;"|"&amp;$B33,Corrupcion!$H$2:$H$377,0))),"")</f>
        <v/>
      </c>
      <c r="G33" s="20">
        <f>IFERROR(IF(INDEX(Corrupcion!$F$2:$F$377,MATCH($A33&amp;"|"&amp;$B33,Corrupcion!$H$2:$H$377,0))="","",INDEX(Corrupcion!$F$2:$F$377,MATCH($A33&amp;"|"&amp;$B33,Corrupcion!$H$2:$H$377,0))),"")</f>
        <v/>
      </c>
      <c r="H33" s="17">
        <f>IFERROR(IF(INDEX(Corrupcion!$G$2:$G$377,MATCH($A33&amp;"|"&amp;$B33,Corrupcion!$H$2:$H$377,0))="","",INDEX(Corrupcion!$G$2:$G$377,MATCH($A33&amp;"|"&amp;$B33,Corrupcion!$H$2:$H$377,0))),"")</f>
        <v/>
      </c>
      <c r="I33" s="8">
        <f>IF(COUNTBLANK(C33:E33)+COUNTBLANK(F33)=0,1,0)</f>
        <v/>
      </c>
      <c r="J33" s="8">
        <f>IF(COUNTBLANK(C33:E33)+COUNTBLANK(G33)=0,1,0)</f>
        <v/>
      </c>
      <c r="K33" s="8">
        <f>IF(COUNTBLANK(C33:E33)+COUNTBLANK(H33)=0,1,0)</f>
        <v/>
      </c>
    </row>
    <row r="34">
      <c r="A34" s="8" t="inlineStr">
        <is>
          <t>Bolivia</t>
        </is>
      </c>
      <c r="B34" s="8" t="n">
        <v>2007</v>
      </c>
      <c r="C34" s="18">
        <f>IF(Categorias!C35="","",Categorias!C35/(N(Categorias!C35)+N(Categorias!D35)+N(Categorias!E35)))</f>
        <v/>
      </c>
      <c r="D34" s="18">
        <f>IF(Categorias!H35="","",Categorias!H35/(N(Categorias!H35)+N(Categorias!I35)))</f>
        <v/>
      </c>
      <c r="E34" s="17">
        <f>IFERROR(IF(INDEX(Gini!$C$2:$C$377,MATCH($A34&amp;"|"&amp;$B34,Gini!$E$2:$E$377,0))="","",INDEX(Gini!$C$2:$C$377,MATCH($A34&amp;"|"&amp;$B34,Gini!$E$2:$E$377,0))),"")</f>
        <v/>
      </c>
      <c r="F34" s="19">
        <f>IFERROR(IF(INDEX(Corrupcion!$E$2:$E$377,MATCH($A34&amp;"|"&amp;$B34,Corrupcion!$H$2:$H$377,0))="","",INDEX(Corrupcion!$E$2:$E$377,MATCH($A34&amp;"|"&amp;$B34,Corrupcion!$H$2:$H$377,0))),"")</f>
        <v/>
      </c>
      <c r="G34" s="20">
        <f>IFERROR(IF(INDEX(Corrupcion!$F$2:$F$377,MATCH($A34&amp;"|"&amp;$B34,Corrupcion!$H$2:$H$377,0))="","",INDEX(Corrupcion!$F$2:$F$377,MATCH($A34&amp;"|"&amp;$B34,Corrupcion!$H$2:$H$377,0))),"")</f>
        <v/>
      </c>
      <c r="H34" s="17">
        <f>IFERROR(IF(INDEX(Corrupcion!$G$2:$G$377,MATCH($A34&amp;"|"&amp;$B34,Corrupcion!$H$2:$H$377,0))="","",INDEX(Corrupcion!$G$2:$G$377,MATCH($A34&amp;"|"&amp;$B34,Corrupcion!$H$2:$H$377,0))),"")</f>
        <v/>
      </c>
      <c r="I34" s="8">
        <f>IF(COUNTBLANK(C34:E34)+COUNTBLANK(F34)=0,1,0)</f>
        <v/>
      </c>
      <c r="J34" s="8">
        <f>IF(COUNTBLANK(C34:E34)+COUNTBLANK(G34)=0,1,0)</f>
        <v/>
      </c>
      <c r="K34" s="8">
        <f>IF(COUNTBLANK(C34:E34)+COUNTBLANK(H34)=0,1,0)</f>
        <v/>
      </c>
    </row>
    <row r="35">
      <c r="A35" s="8" t="inlineStr">
        <is>
          <t>Bolivia</t>
        </is>
      </c>
      <c r="B35" s="8" t="n">
        <v>2008</v>
      </c>
      <c r="C35" s="18">
        <f>IF(Categorias!C36="","",Categorias!C36/(N(Categorias!C36)+N(Categorias!D36)+N(Categorias!E36)))</f>
        <v/>
      </c>
      <c r="D35" s="18">
        <f>IF(Categorias!H36="","",Categorias!H36/(N(Categorias!H36)+N(Categorias!I36)))</f>
        <v/>
      </c>
      <c r="E35" s="17">
        <f>IFERROR(IF(INDEX(Gini!$C$2:$C$377,MATCH($A35&amp;"|"&amp;$B35,Gini!$E$2:$E$377,0))="","",INDEX(Gini!$C$2:$C$377,MATCH($A35&amp;"|"&amp;$B35,Gini!$E$2:$E$377,0))),"")</f>
        <v/>
      </c>
      <c r="F35" s="19">
        <f>IFERROR(IF(INDEX(Corrupcion!$E$2:$E$377,MATCH($A35&amp;"|"&amp;$B35,Corrupcion!$H$2:$H$377,0))="","",INDEX(Corrupcion!$E$2:$E$377,MATCH($A35&amp;"|"&amp;$B35,Corrupcion!$H$2:$H$377,0))),"")</f>
        <v/>
      </c>
      <c r="G35" s="20">
        <f>IFERROR(IF(INDEX(Corrupcion!$F$2:$F$377,MATCH($A35&amp;"|"&amp;$B35,Corrupcion!$H$2:$H$377,0))="","",INDEX(Corrupcion!$F$2:$F$377,MATCH($A35&amp;"|"&amp;$B35,Corrupcion!$H$2:$H$377,0))),"")</f>
        <v/>
      </c>
      <c r="H35" s="17">
        <f>IFERROR(IF(INDEX(Corrupcion!$G$2:$G$377,MATCH($A35&amp;"|"&amp;$B35,Corrupcion!$H$2:$H$377,0))="","",INDEX(Corrupcion!$G$2:$G$377,MATCH($A35&amp;"|"&amp;$B35,Corrupcion!$H$2:$H$377,0))),"")</f>
        <v/>
      </c>
      <c r="I35" s="8">
        <f>IF(COUNTBLANK(C35:E35)+COUNTBLANK(F35)=0,1,0)</f>
        <v/>
      </c>
      <c r="J35" s="8">
        <f>IF(COUNTBLANK(C35:E35)+COUNTBLANK(G35)=0,1,0)</f>
        <v/>
      </c>
      <c r="K35" s="8">
        <f>IF(COUNTBLANK(C35:E35)+COUNTBLANK(H35)=0,1,0)</f>
        <v/>
      </c>
    </row>
    <row r="36">
      <c r="A36" s="8" t="inlineStr">
        <is>
          <t>Bolivia</t>
        </is>
      </c>
      <c r="B36" s="8" t="n">
        <v>2009</v>
      </c>
      <c r="C36" s="18">
        <f>IF(Categorias!C37="","",Categorias!C37/(N(Categorias!C37)+N(Categorias!D37)+N(Categorias!E37)))</f>
        <v/>
      </c>
      <c r="D36" s="18">
        <f>IF(Categorias!H37="","",Categorias!H37/(N(Categorias!H37)+N(Categorias!I37)))</f>
        <v/>
      </c>
      <c r="E36" s="17">
        <f>IFERROR(IF(INDEX(Gini!$C$2:$C$377,MATCH($A36&amp;"|"&amp;$B36,Gini!$E$2:$E$377,0))="","",INDEX(Gini!$C$2:$C$377,MATCH($A36&amp;"|"&amp;$B36,Gini!$E$2:$E$377,0))),"")</f>
        <v/>
      </c>
      <c r="F36" s="19">
        <f>IFERROR(IF(INDEX(Corrupcion!$E$2:$E$377,MATCH($A36&amp;"|"&amp;$B36,Corrupcion!$H$2:$H$377,0))="","",INDEX(Corrupcion!$E$2:$E$377,MATCH($A36&amp;"|"&amp;$B36,Corrupcion!$H$2:$H$377,0))),"")</f>
        <v/>
      </c>
      <c r="G36" s="20">
        <f>IFERROR(IF(INDEX(Corrupcion!$F$2:$F$377,MATCH($A36&amp;"|"&amp;$B36,Corrupcion!$H$2:$H$377,0))="","",INDEX(Corrupcion!$F$2:$F$377,MATCH($A36&amp;"|"&amp;$B36,Corrupcion!$H$2:$H$377,0))),"")</f>
        <v/>
      </c>
      <c r="H36" s="17">
        <f>IFERROR(IF(INDEX(Corrupcion!$G$2:$G$377,MATCH($A36&amp;"|"&amp;$B36,Corrupcion!$H$2:$H$377,0))="","",INDEX(Corrupcion!$G$2:$G$377,MATCH($A36&amp;"|"&amp;$B36,Corrupcion!$H$2:$H$377,0))),"")</f>
        <v/>
      </c>
      <c r="I36" s="8">
        <f>IF(COUNTBLANK(C36:E36)+COUNTBLANK(F36)=0,1,0)</f>
        <v/>
      </c>
      <c r="J36" s="8">
        <f>IF(COUNTBLANK(C36:E36)+COUNTBLANK(G36)=0,1,0)</f>
        <v/>
      </c>
      <c r="K36" s="8">
        <f>IF(COUNTBLANK(C36:E36)+COUNTBLANK(H36)=0,1,0)</f>
        <v/>
      </c>
    </row>
    <row r="37">
      <c r="A37" s="8" t="inlineStr">
        <is>
          <t>Bolivia</t>
        </is>
      </c>
      <c r="B37" s="8" t="n">
        <v>2010</v>
      </c>
      <c r="C37" s="18">
        <f>IF(Categorias!C38="","",Categorias!C38/(N(Categorias!C38)+N(Categorias!D38)+N(Categorias!E38)))</f>
        <v/>
      </c>
      <c r="D37" s="18">
        <f>IF(Categorias!H38="","",Categorias!H38/(N(Categorias!H38)+N(Categorias!I38)))</f>
        <v/>
      </c>
      <c r="E37" s="17">
        <f>IFERROR(IF(INDEX(Gini!$C$2:$C$377,MATCH($A37&amp;"|"&amp;$B37,Gini!$E$2:$E$377,0))="","",INDEX(Gini!$C$2:$C$377,MATCH($A37&amp;"|"&amp;$B37,Gini!$E$2:$E$377,0))),"")</f>
        <v/>
      </c>
      <c r="F37" s="19">
        <f>IFERROR(IF(INDEX(Corrupcion!$E$2:$E$377,MATCH($A37&amp;"|"&amp;$B37,Corrupcion!$H$2:$H$377,0))="","",INDEX(Corrupcion!$E$2:$E$377,MATCH($A37&amp;"|"&amp;$B37,Corrupcion!$H$2:$H$377,0))),"")</f>
        <v/>
      </c>
      <c r="G37" s="20">
        <f>IFERROR(IF(INDEX(Corrupcion!$F$2:$F$377,MATCH($A37&amp;"|"&amp;$B37,Corrupcion!$H$2:$H$377,0))="","",INDEX(Corrupcion!$F$2:$F$377,MATCH($A37&amp;"|"&amp;$B37,Corrupcion!$H$2:$H$377,0))),"")</f>
        <v/>
      </c>
      <c r="H37" s="17">
        <f>IFERROR(IF(INDEX(Corrupcion!$G$2:$G$377,MATCH($A37&amp;"|"&amp;$B37,Corrupcion!$H$2:$H$377,0))="","",INDEX(Corrupcion!$G$2:$G$377,MATCH($A37&amp;"|"&amp;$B37,Corrupcion!$H$2:$H$377,0))),"")</f>
        <v/>
      </c>
      <c r="I37" s="8">
        <f>IF(COUNTBLANK(C37:E37)+COUNTBLANK(F37)=0,1,0)</f>
        <v/>
      </c>
      <c r="J37" s="8">
        <f>IF(COUNTBLANK(C37:E37)+COUNTBLANK(G37)=0,1,0)</f>
        <v/>
      </c>
      <c r="K37" s="8">
        <f>IF(COUNTBLANK(C37:E37)+COUNTBLANK(H37)=0,1,0)</f>
        <v/>
      </c>
    </row>
    <row r="38">
      <c r="A38" s="8" t="inlineStr">
        <is>
          <t>Bolivia</t>
        </is>
      </c>
      <c r="B38" s="8" t="n">
        <v>2011</v>
      </c>
      <c r="C38" s="18">
        <f>IF(Categorias!C39="","",Categorias!C39/(N(Categorias!C39)+N(Categorias!D39)+N(Categorias!E39)))</f>
        <v/>
      </c>
      <c r="D38" s="18">
        <f>IF(Categorias!H39="","",Categorias!H39/(N(Categorias!H39)+N(Categorias!I39)))</f>
        <v/>
      </c>
      <c r="E38" s="17">
        <f>IFERROR(IF(INDEX(Gini!$C$2:$C$377,MATCH($A38&amp;"|"&amp;$B38,Gini!$E$2:$E$377,0))="","",INDEX(Gini!$C$2:$C$377,MATCH($A38&amp;"|"&amp;$B38,Gini!$E$2:$E$377,0))),"")</f>
        <v/>
      </c>
      <c r="F38" s="19">
        <f>IFERROR(IF(INDEX(Corrupcion!$E$2:$E$377,MATCH($A38&amp;"|"&amp;$B38,Corrupcion!$H$2:$H$377,0))="","",INDEX(Corrupcion!$E$2:$E$377,MATCH($A38&amp;"|"&amp;$B38,Corrupcion!$H$2:$H$377,0))),"")</f>
        <v/>
      </c>
      <c r="G38" s="20">
        <f>IFERROR(IF(INDEX(Corrupcion!$F$2:$F$377,MATCH($A38&amp;"|"&amp;$B38,Corrupcion!$H$2:$H$377,0))="","",INDEX(Corrupcion!$F$2:$F$377,MATCH($A38&amp;"|"&amp;$B38,Corrupcion!$H$2:$H$377,0))),"")</f>
        <v/>
      </c>
      <c r="H38" s="17">
        <f>IFERROR(IF(INDEX(Corrupcion!$G$2:$G$377,MATCH($A38&amp;"|"&amp;$B38,Corrupcion!$H$2:$H$377,0))="","",INDEX(Corrupcion!$G$2:$G$377,MATCH($A38&amp;"|"&amp;$B38,Corrupcion!$H$2:$H$377,0))),"")</f>
        <v/>
      </c>
      <c r="I38" s="8">
        <f>IF(COUNTBLANK(C38:E38)+COUNTBLANK(F38)=0,1,0)</f>
        <v/>
      </c>
      <c r="J38" s="8">
        <f>IF(COUNTBLANK(C38:E38)+COUNTBLANK(G38)=0,1,0)</f>
        <v/>
      </c>
      <c r="K38" s="8">
        <f>IF(COUNTBLANK(C38:E38)+COUNTBLANK(H38)=0,1,0)</f>
        <v/>
      </c>
    </row>
    <row r="39">
      <c r="A39" s="8" t="inlineStr">
        <is>
          <t>Bolivia</t>
        </is>
      </c>
      <c r="B39" s="8" t="n">
        <v>2016</v>
      </c>
      <c r="C39" s="18">
        <f>IF(Categorias!C40="","",Categorias!C40/(N(Categorias!C40)+N(Categorias!D40)+N(Categorias!E40)))</f>
        <v/>
      </c>
      <c r="D39" s="18">
        <f>IF(Categorias!H40="","",Categorias!H40/(N(Categorias!H40)+N(Categorias!I40)))</f>
        <v/>
      </c>
      <c r="E39" s="17">
        <f>IFERROR(IF(INDEX(Gini!$C$2:$C$377,MATCH($A39&amp;"|"&amp;$B39,Gini!$E$2:$E$377,0))="","",INDEX(Gini!$C$2:$C$377,MATCH($A39&amp;"|"&amp;$B39,Gini!$E$2:$E$377,0))),"")</f>
        <v/>
      </c>
      <c r="F39" s="19">
        <f>IFERROR(IF(INDEX(Corrupcion!$E$2:$E$377,MATCH($A39&amp;"|"&amp;$B39,Corrupcion!$H$2:$H$377,0))="","",INDEX(Corrupcion!$E$2:$E$377,MATCH($A39&amp;"|"&amp;$B39,Corrupcion!$H$2:$H$377,0))),"")</f>
        <v/>
      </c>
      <c r="G39" s="20">
        <f>IFERROR(IF(INDEX(Corrupcion!$F$2:$F$377,MATCH($A39&amp;"|"&amp;$B39,Corrupcion!$H$2:$H$377,0))="","",INDEX(Corrupcion!$F$2:$F$377,MATCH($A39&amp;"|"&amp;$B39,Corrupcion!$H$2:$H$377,0))),"")</f>
        <v/>
      </c>
      <c r="H39" s="17">
        <f>IFERROR(IF(INDEX(Corrupcion!$G$2:$G$377,MATCH($A39&amp;"|"&amp;$B39,Corrupcion!$H$2:$H$377,0))="","",INDEX(Corrupcion!$G$2:$G$377,MATCH($A39&amp;"|"&amp;$B39,Corrupcion!$H$2:$H$377,0))),"")</f>
        <v/>
      </c>
      <c r="I39" s="8">
        <f>IF(COUNTBLANK(C39:E39)+COUNTBLANK(F39)=0,1,0)</f>
        <v/>
      </c>
      <c r="J39" s="8">
        <f>IF(COUNTBLANK(C39:E39)+COUNTBLANK(G39)=0,1,0)</f>
        <v/>
      </c>
      <c r="K39" s="8">
        <f>IF(COUNTBLANK(C39:E39)+COUNTBLANK(H39)=0,1,0)</f>
        <v/>
      </c>
    </row>
    <row r="40">
      <c r="A40" s="8" t="inlineStr">
        <is>
          <t>Bolivia</t>
        </is>
      </c>
      <c r="B40" s="8" t="n">
        <v>2017</v>
      </c>
      <c r="C40" s="18">
        <f>IF(Categorias!C41="","",Categorias!C41/(N(Categorias!C41)+N(Categorias!D41)+N(Categorias!E41)))</f>
        <v/>
      </c>
      <c r="D40" s="18">
        <f>IF(Categorias!H41="","",Categorias!H41/(N(Categorias!H41)+N(Categorias!I41)))</f>
        <v/>
      </c>
      <c r="E40" s="17">
        <f>IFERROR(IF(INDEX(Gini!$C$2:$C$377,MATCH($A40&amp;"|"&amp;$B40,Gini!$E$2:$E$377,0))="","",INDEX(Gini!$C$2:$C$377,MATCH($A40&amp;"|"&amp;$B40,Gini!$E$2:$E$377,0))),"")</f>
        <v/>
      </c>
      <c r="F40" s="19">
        <f>IFERROR(IF(INDEX(Corrupcion!$E$2:$E$377,MATCH($A40&amp;"|"&amp;$B40,Corrupcion!$H$2:$H$377,0))="","",INDEX(Corrupcion!$E$2:$E$377,MATCH($A40&amp;"|"&amp;$B40,Corrupcion!$H$2:$H$377,0))),"")</f>
        <v/>
      </c>
      <c r="G40" s="20">
        <f>IFERROR(IF(INDEX(Corrupcion!$F$2:$F$377,MATCH($A40&amp;"|"&amp;$B40,Corrupcion!$H$2:$H$377,0))="","",INDEX(Corrupcion!$F$2:$F$377,MATCH($A40&amp;"|"&amp;$B40,Corrupcion!$H$2:$H$377,0))),"")</f>
        <v/>
      </c>
      <c r="H40" s="17">
        <f>IFERROR(IF(INDEX(Corrupcion!$G$2:$G$377,MATCH($A40&amp;"|"&amp;$B40,Corrupcion!$H$2:$H$377,0))="","",INDEX(Corrupcion!$G$2:$G$377,MATCH($A40&amp;"|"&amp;$B40,Corrupcion!$H$2:$H$377,0))),"")</f>
        <v/>
      </c>
      <c r="I40" s="8">
        <f>IF(COUNTBLANK(C40:E40)+COUNTBLANK(F40)=0,1,0)</f>
        <v/>
      </c>
      <c r="J40" s="8">
        <f>IF(COUNTBLANK(C40:E40)+COUNTBLANK(G40)=0,1,0)</f>
        <v/>
      </c>
      <c r="K40" s="8">
        <f>IF(COUNTBLANK(C40:E40)+COUNTBLANK(H40)=0,1,0)</f>
        <v/>
      </c>
    </row>
    <row r="41">
      <c r="A41" s="8" t="inlineStr">
        <is>
          <t>Bolivia</t>
        </is>
      </c>
      <c r="B41" s="8" t="n">
        <v>2018</v>
      </c>
      <c r="C41" s="18">
        <f>IF(Categorias!C42="","",Categorias!C42/(N(Categorias!C42)+N(Categorias!D42)+N(Categorias!E42)))</f>
        <v/>
      </c>
      <c r="D41" s="18">
        <f>IF(Categorias!H42="","",Categorias!H42/(N(Categorias!H42)+N(Categorias!I42)))</f>
        <v/>
      </c>
      <c r="E41" s="17">
        <f>IFERROR(IF(INDEX(Gini!$C$2:$C$377,MATCH($A41&amp;"|"&amp;$B41,Gini!$E$2:$E$377,0))="","",INDEX(Gini!$C$2:$C$377,MATCH($A41&amp;"|"&amp;$B41,Gini!$E$2:$E$377,0))),"")</f>
        <v/>
      </c>
      <c r="F41" s="19">
        <f>IFERROR(IF(INDEX(Corrupcion!$E$2:$E$377,MATCH($A41&amp;"|"&amp;$B41,Corrupcion!$H$2:$H$377,0))="","",INDEX(Corrupcion!$E$2:$E$377,MATCH($A41&amp;"|"&amp;$B41,Corrupcion!$H$2:$H$377,0))),"")</f>
        <v/>
      </c>
      <c r="G41" s="20">
        <f>IFERROR(IF(INDEX(Corrupcion!$F$2:$F$377,MATCH($A41&amp;"|"&amp;$B41,Corrupcion!$H$2:$H$377,0))="","",INDEX(Corrupcion!$F$2:$F$377,MATCH($A41&amp;"|"&amp;$B41,Corrupcion!$H$2:$H$377,0))),"")</f>
        <v/>
      </c>
      <c r="H41" s="17">
        <f>IFERROR(IF(INDEX(Corrupcion!$G$2:$G$377,MATCH($A41&amp;"|"&amp;$B41,Corrupcion!$H$2:$H$377,0))="","",INDEX(Corrupcion!$G$2:$G$377,MATCH($A41&amp;"|"&amp;$B41,Corrupcion!$H$2:$H$377,0))),"")</f>
        <v/>
      </c>
      <c r="I41" s="8">
        <f>IF(COUNTBLANK(C41:E41)+COUNTBLANK(F41)=0,1,0)</f>
        <v/>
      </c>
      <c r="J41" s="8">
        <f>IF(COUNTBLANK(C41:E41)+COUNTBLANK(G41)=0,1,0)</f>
        <v/>
      </c>
      <c r="K41" s="8">
        <f>IF(COUNTBLANK(C41:E41)+COUNTBLANK(H41)=0,1,0)</f>
        <v/>
      </c>
    </row>
    <row r="42">
      <c r="A42" s="8" t="inlineStr">
        <is>
          <t>Bolivia</t>
        </is>
      </c>
      <c r="B42" s="8" t="n">
        <v>2020</v>
      </c>
      <c r="C42" s="18">
        <f>IF(Categorias!C43="","",Categorias!C43/(N(Categorias!C43)+N(Categorias!D43)+N(Categorias!E43)))</f>
        <v/>
      </c>
      <c r="D42" s="18">
        <f>IF(Categorias!H43="","",Categorias!H43/(N(Categorias!H43)+N(Categorias!I43)))</f>
        <v/>
      </c>
      <c r="E42" s="17">
        <f>IFERROR(IF(INDEX(Gini!$C$2:$C$377,MATCH($A42&amp;"|"&amp;$B42,Gini!$E$2:$E$377,0))="","",INDEX(Gini!$C$2:$C$377,MATCH($A42&amp;"|"&amp;$B42,Gini!$E$2:$E$377,0))),"")</f>
        <v/>
      </c>
      <c r="F42" s="19">
        <f>IFERROR(IF(INDEX(Corrupcion!$E$2:$E$377,MATCH($A42&amp;"|"&amp;$B42,Corrupcion!$H$2:$H$377,0))="","",INDEX(Corrupcion!$E$2:$E$377,MATCH($A42&amp;"|"&amp;$B42,Corrupcion!$H$2:$H$377,0))),"")</f>
        <v/>
      </c>
      <c r="G42" s="20">
        <f>IFERROR(IF(INDEX(Corrupcion!$F$2:$F$377,MATCH($A42&amp;"|"&amp;$B42,Corrupcion!$H$2:$H$377,0))="","",INDEX(Corrupcion!$F$2:$F$377,MATCH($A42&amp;"|"&amp;$B42,Corrupcion!$H$2:$H$377,0))),"")</f>
        <v/>
      </c>
      <c r="H42" s="17">
        <f>IFERROR(IF(INDEX(Corrupcion!$G$2:$G$377,MATCH($A42&amp;"|"&amp;$B42,Corrupcion!$H$2:$H$377,0))="","",INDEX(Corrupcion!$G$2:$G$377,MATCH($A42&amp;"|"&amp;$B42,Corrupcion!$H$2:$H$377,0))),"")</f>
        <v/>
      </c>
      <c r="I42" s="8">
        <f>IF(COUNTBLANK(C42:E42)+COUNTBLANK(F42)=0,1,0)</f>
        <v/>
      </c>
      <c r="J42" s="8">
        <f>IF(COUNTBLANK(C42:E42)+COUNTBLANK(G42)=0,1,0)</f>
        <v/>
      </c>
      <c r="K42" s="8">
        <f>IF(COUNTBLANK(C42:E42)+COUNTBLANK(H42)=0,1,0)</f>
        <v/>
      </c>
    </row>
    <row r="43">
      <c r="A43" s="8" t="inlineStr">
        <is>
          <t>Bolivia</t>
        </is>
      </c>
      <c r="B43" s="8" t="n">
        <v>2024</v>
      </c>
      <c r="C43" s="18">
        <f>IF(Categorias!C44="","",Categorias!C44/(N(Categorias!C44)+N(Categorias!D44)+N(Categorias!E44)))</f>
        <v/>
      </c>
      <c r="D43" s="18">
        <f>IF(Categorias!H44="","",Categorias!H44/(N(Categorias!H44)+N(Categorias!I44)))</f>
        <v/>
      </c>
      <c r="E43" s="17">
        <f>IFERROR(IF(INDEX(Gini!$C$2:$C$377,MATCH($A43&amp;"|"&amp;$B43,Gini!$E$2:$E$377,0))="","",INDEX(Gini!$C$2:$C$377,MATCH($A43&amp;"|"&amp;$B43,Gini!$E$2:$E$377,0))),"")</f>
        <v/>
      </c>
      <c r="F43" s="19">
        <f>IFERROR(IF(INDEX(Corrupcion!$E$2:$E$377,MATCH($A43&amp;"|"&amp;$B43,Corrupcion!$H$2:$H$377,0))="","",INDEX(Corrupcion!$E$2:$E$377,MATCH($A43&amp;"|"&amp;$B43,Corrupcion!$H$2:$H$377,0))),"")</f>
        <v/>
      </c>
      <c r="G43" s="20">
        <f>IFERROR(IF(INDEX(Corrupcion!$F$2:$F$377,MATCH($A43&amp;"|"&amp;$B43,Corrupcion!$H$2:$H$377,0))="","",INDEX(Corrupcion!$F$2:$F$377,MATCH($A43&amp;"|"&amp;$B43,Corrupcion!$H$2:$H$377,0))),"")</f>
        <v/>
      </c>
      <c r="H43" s="17">
        <f>IFERROR(IF(INDEX(Corrupcion!$G$2:$G$377,MATCH($A43&amp;"|"&amp;$B43,Corrupcion!$H$2:$H$377,0))="","",INDEX(Corrupcion!$G$2:$G$377,MATCH($A43&amp;"|"&amp;$B43,Corrupcion!$H$2:$H$377,0))),"")</f>
        <v/>
      </c>
      <c r="I43" s="8">
        <f>IF(COUNTBLANK(C43:E43)+COUNTBLANK(F43)=0,1,0)</f>
        <v/>
      </c>
      <c r="J43" s="8">
        <f>IF(COUNTBLANK(C43:E43)+COUNTBLANK(G43)=0,1,0)</f>
        <v/>
      </c>
      <c r="K43" s="8">
        <f>IF(COUNTBLANK(C43:E43)+COUNTBLANK(H43)=0,1,0)</f>
        <v/>
      </c>
    </row>
    <row r="44">
      <c r="A44" s="8" t="inlineStr">
        <is>
          <t>Brasil</t>
        </is>
      </c>
      <c r="B44" s="8" t="n">
        <v>1995</v>
      </c>
      <c r="C44" s="18">
        <f>IF(Categorias!C45="","",Categorias!C45/(N(Categorias!C45)+N(Categorias!D45)+N(Categorias!E45)))</f>
        <v/>
      </c>
      <c r="D44" s="18">
        <f>IF(Categorias!H45="","",Categorias!H45/(N(Categorias!H45)+N(Categorias!I45)))</f>
        <v/>
      </c>
      <c r="E44" s="17">
        <f>IFERROR(IF(INDEX(Gini!$C$2:$C$377,MATCH($A44&amp;"|"&amp;$B44,Gini!$E$2:$E$377,0))="","",INDEX(Gini!$C$2:$C$377,MATCH($A44&amp;"|"&amp;$B44,Gini!$E$2:$E$377,0))),"")</f>
        <v/>
      </c>
      <c r="F44" s="19">
        <f>IFERROR(IF(INDEX(Corrupcion!$E$2:$E$377,MATCH($A44&amp;"|"&amp;$B44,Corrupcion!$H$2:$H$377,0))="","",INDEX(Corrupcion!$E$2:$E$377,MATCH($A44&amp;"|"&amp;$B44,Corrupcion!$H$2:$H$377,0))),"")</f>
        <v/>
      </c>
      <c r="G44" s="20">
        <f>IFERROR(IF(INDEX(Corrupcion!$F$2:$F$377,MATCH($A44&amp;"|"&amp;$B44,Corrupcion!$H$2:$H$377,0))="","",INDEX(Corrupcion!$F$2:$F$377,MATCH($A44&amp;"|"&amp;$B44,Corrupcion!$H$2:$H$377,0))),"")</f>
        <v/>
      </c>
      <c r="H44" s="17">
        <f>IFERROR(IF(INDEX(Corrupcion!$G$2:$G$377,MATCH($A44&amp;"|"&amp;$B44,Corrupcion!$H$2:$H$377,0))="","",INDEX(Corrupcion!$G$2:$G$377,MATCH($A44&amp;"|"&amp;$B44,Corrupcion!$H$2:$H$377,0))),"")</f>
        <v/>
      </c>
      <c r="I44" s="8">
        <f>IF(COUNTBLANK(C44:E44)+COUNTBLANK(F44)=0,1,0)</f>
        <v/>
      </c>
      <c r="J44" s="8">
        <f>IF(COUNTBLANK(C44:E44)+COUNTBLANK(G44)=0,1,0)</f>
        <v/>
      </c>
      <c r="K44" s="8">
        <f>IF(COUNTBLANK(C44:E44)+COUNTBLANK(H44)=0,1,0)</f>
        <v/>
      </c>
    </row>
    <row r="45">
      <c r="A45" s="8" t="inlineStr">
        <is>
          <t>Brasil</t>
        </is>
      </c>
      <c r="B45" s="8" t="n">
        <v>1996</v>
      </c>
      <c r="C45" s="18">
        <f>IF(Categorias!C46="","",Categorias!C46/(N(Categorias!C46)+N(Categorias!D46)+N(Categorias!E46)))</f>
        <v/>
      </c>
      <c r="D45" s="18">
        <f>IF(Categorias!H46="","",Categorias!H46/(N(Categorias!H46)+N(Categorias!I46)))</f>
        <v/>
      </c>
      <c r="E45" s="17">
        <f>IFERROR(IF(INDEX(Gini!$C$2:$C$377,MATCH($A45&amp;"|"&amp;$B45,Gini!$E$2:$E$377,0))="","",INDEX(Gini!$C$2:$C$377,MATCH($A45&amp;"|"&amp;$B45,Gini!$E$2:$E$377,0))),"")</f>
        <v/>
      </c>
      <c r="F45" s="19">
        <f>IFERROR(IF(INDEX(Corrupcion!$E$2:$E$377,MATCH($A45&amp;"|"&amp;$B45,Corrupcion!$H$2:$H$377,0))="","",INDEX(Corrupcion!$E$2:$E$377,MATCH($A45&amp;"|"&amp;$B45,Corrupcion!$H$2:$H$377,0))),"")</f>
        <v/>
      </c>
      <c r="G45" s="20">
        <f>IFERROR(IF(INDEX(Corrupcion!$F$2:$F$377,MATCH($A45&amp;"|"&amp;$B45,Corrupcion!$H$2:$H$377,0))="","",INDEX(Corrupcion!$F$2:$F$377,MATCH($A45&amp;"|"&amp;$B45,Corrupcion!$H$2:$H$377,0))),"")</f>
        <v/>
      </c>
      <c r="H45" s="17">
        <f>IFERROR(IF(INDEX(Corrupcion!$G$2:$G$377,MATCH($A45&amp;"|"&amp;$B45,Corrupcion!$H$2:$H$377,0))="","",INDEX(Corrupcion!$G$2:$G$377,MATCH($A45&amp;"|"&amp;$B45,Corrupcion!$H$2:$H$377,0))),"")</f>
        <v/>
      </c>
      <c r="I45" s="8">
        <f>IF(COUNTBLANK(C45:E45)+COUNTBLANK(F45)=0,1,0)</f>
        <v/>
      </c>
      <c r="J45" s="8">
        <f>IF(COUNTBLANK(C45:E45)+COUNTBLANK(G45)=0,1,0)</f>
        <v/>
      </c>
      <c r="K45" s="8">
        <f>IF(COUNTBLANK(C45:E45)+COUNTBLANK(H45)=0,1,0)</f>
        <v/>
      </c>
    </row>
    <row r="46">
      <c r="A46" s="8" t="inlineStr">
        <is>
          <t>Brasil</t>
        </is>
      </c>
      <c r="B46" s="8" t="n">
        <v>1997</v>
      </c>
      <c r="C46" s="18">
        <f>IF(Categorias!C47="","",Categorias!C47/(N(Categorias!C47)+N(Categorias!D47)+N(Categorias!E47)))</f>
        <v/>
      </c>
      <c r="D46" s="18">
        <f>IF(Categorias!H47="","",Categorias!H47/(N(Categorias!H47)+N(Categorias!I47)))</f>
        <v/>
      </c>
      <c r="E46" s="17">
        <f>IFERROR(IF(INDEX(Gini!$C$2:$C$377,MATCH($A46&amp;"|"&amp;$B46,Gini!$E$2:$E$377,0))="","",INDEX(Gini!$C$2:$C$377,MATCH($A46&amp;"|"&amp;$B46,Gini!$E$2:$E$377,0))),"")</f>
        <v/>
      </c>
      <c r="F46" s="19">
        <f>IFERROR(IF(INDEX(Corrupcion!$E$2:$E$377,MATCH($A46&amp;"|"&amp;$B46,Corrupcion!$H$2:$H$377,0))="","",INDEX(Corrupcion!$E$2:$E$377,MATCH($A46&amp;"|"&amp;$B46,Corrupcion!$H$2:$H$377,0))),"")</f>
        <v/>
      </c>
      <c r="G46" s="20">
        <f>IFERROR(IF(INDEX(Corrupcion!$F$2:$F$377,MATCH($A46&amp;"|"&amp;$B46,Corrupcion!$H$2:$H$377,0))="","",INDEX(Corrupcion!$F$2:$F$377,MATCH($A46&amp;"|"&amp;$B46,Corrupcion!$H$2:$H$377,0))),"")</f>
        <v/>
      </c>
      <c r="H46" s="17">
        <f>IFERROR(IF(INDEX(Corrupcion!$G$2:$G$377,MATCH($A46&amp;"|"&amp;$B46,Corrupcion!$H$2:$H$377,0))="","",INDEX(Corrupcion!$G$2:$G$377,MATCH($A46&amp;"|"&amp;$B46,Corrupcion!$H$2:$H$377,0))),"")</f>
        <v/>
      </c>
      <c r="I46" s="8">
        <f>IF(COUNTBLANK(C46:E46)+COUNTBLANK(F46)=0,1,0)</f>
        <v/>
      </c>
      <c r="J46" s="8">
        <f>IF(COUNTBLANK(C46:E46)+COUNTBLANK(G46)=0,1,0)</f>
        <v/>
      </c>
      <c r="K46" s="8">
        <f>IF(COUNTBLANK(C46:E46)+COUNTBLANK(H46)=0,1,0)</f>
        <v/>
      </c>
    </row>
    <row r="47">
      <c r="A47" s="8" t="inlineStr">
        <is>
          <t>Brasil</t>
        </is>
      </c>
      <c r="B47" s="8" t="n">
        <v>1998</v>
      </c>
      <c r="C47" s="18">
        <f>IF(Categorias!C48="","",Categorias!C48/(N(Categorias!C48)+N(Categorias!D48)+N(Categorias!E48)))</f>
        <v/>
      </c>
      <c r="D47" s="18">
        <f>IF(Categorias!H48="","",Categorias!H48/(N(Categorias!H48)+N(Categorias!I48)))</f>
        <v/>
      </c>
      <c r="E47" s="17">
        <f>IFERROR(IF(INDEX(Gini!$C$2:$C$377,MATCH($A47&amp;"|"&amp;$B47,Gini!$E$2:$E$377,0))="","",INDEX(Gini!$C$2:$C$377,MATCH($A47&amp;"|"&amp;$B47,Gini!$E$2:$E$377,0))),"")</f>
        <v/>
      </c>
      <c r="F47" s="19">
        <f>IFERROR(IF(INDEX(Corrupcion!$E$2:$E$377,MATCH($A47&amp;"|"&amp;$B47,Corrupcion!$H$2:$H$377,0))="","",INDEX(Corrupcion!$E$2:$E$377,MATCH($A47&amp;"|"&amp;$B47,Corrupcion!$H$2:$H$377,0))),"")</f>
        <v/>
      </c>
      <c r="G47" s="20">
        <f>IFERROR(IF(INDEX(Corrupcion!$F$2:$F$377,MATCH($A47&amp;"|"&amp;$B47,Corrupcion!$H$2:$H$377,0))="","",INDEX(Corrupcion!$F$2:$F$377,MATCH($A47&amp;"|"&amp;$B47,Corrupcion!$H$2:$H$377,0))),"")</f>
        <v/>
      </c>
      <c r="H47" s="17">
        <f>IFERROR(IF(INDEX(Corrupcion!$G$2:$G$377,MATCH($A47&amp;"|"&amp;$B47,Corrupcion!$H$2:$H$377,0))="","",INDEX(Corrupcion!$G$2:$G$377,MATCH($A47&amp;"|"&amp;$B47,Corrupcion!$H$2:$H$377,0))),"")</f>
        <v/>
      </c>
      <c r="I47" s="8">
        <f>IF(COUNTBLANK(C47:E47)+COUNTBLANK(F47)=0,1,0)</f>
        <v/>
      </c>
      <c r="J47" s="8">
        <f>IF(COUNTBLANK(C47:E47)+COUNTBLANK(G47)=0,1,0)</f>
        <v/>
      </c>
      <c r="K47" s="8">
        <f>IF(COUNTBLANK(C47:E47)+COUNTBLANK(H47)=0,1,0)</f>
        <v/>
      </c>
    </row>
    <row r="48">
      <c r="A48" s="8" t="inlineStr">
        <is>
          <t>Brasil</t>
        </is>
      </c>
      <c r="B48" s="8" t="n">
        <v>2000</v>
      </c>
      <c r="C48" s="18">
        <f>IF(Categorias!C49="","",Categorias!C49/(N(Categorias!C49)+N(Categorias!D49)+N(Categorias!E49)))</f>
        <v/>
      </c>
      <c r="D48" s="18">
        <f>IF(Categorias!H49="","",Categorias!H49/(N(Categorias!H49)+N(Categorias!I49)))</f>
        <v/>
      </c>
      <c r="E48" s="17">
        <f>IFERROR(IF(INDEX(Gini!$C$2:$C$377,MATCH($A48&amp;"|"&amp;$B48,Gini!$E$2:$E$377,0))="","",INDEX(Gini!$C$2:$C$377,MATCH($A48&amp;"|"&amp;$B48,Gini!$E$2:$E$377,0))),"")</f>
        <v/>
      </c>
      <c r="F48" s="19">
        <f>IFERROR(IF(INDEX(Corrupcion!$E$2:$E$377,MATCH($A48&amp;"|"&amp;$B48,Corrupcion!$H$2:$H$377,0))="","",INDEX(Corrupcion!$E$2:$E$377,MATCH($A48&amp;"|"&amp;$B48,Corrupcion!$H$2:$H$377,0))),"")</f>
        <v/>
      </c>
      <c r="G48" s="20">
        <f>IFERROR(IF(INDEX(Corrupcion!$F$2:$F$377,MATCH($A48&amp;"|"&amp;$B48,Corrupcion!$H$2:$H$377,0))="","",INDEX(Corrupcion!$F$2:$F$377,MATCH($A48&amp;"|"&amp;$B48,Corrupcion!$H$2:$H$377,0))),"")</f>
        <v/>
      </c>
      <c r="H48" s="17">
        <f>IFERROR(IF(INDEX(Corrupcion!$G$2:$G$377,MATCH($A48&amp;"|"&amp;$B48,Corrupcion!$H$2:$H$377,0))="","",INDEX(Corrupcion!$G$2:$G$377,MATCH($A48&amp;"|"&amp;$B48,Corrupcion!$H$2:$H$377,0))),"")</f>
        <v/>
      </c>
      <c r="I48" s="8">
        <f>IF(COUNTBLANK(C48:E48)+COUNTBLANK(F48)=0,1,0)</f>
        <v/>
      </c>
      <c r="J48" s="8">
        <f>IF(COUNTBLANK(C48:E48)+COUNTBLANK(G48)=0,1,0)</f>
        <v/>
      </c>
      <c r="K48" s="8">
        <f>IF(COUNTBLANK(C48:E48)+COUNTBLANK(H48)=0,1,0)</f>
        <v/>
      </c>
    </row>
    <row r="49">
      <c r="A49" s="8" t="inlineStr">
        <is>
          <t>Brasil</t>
        </is>
      </c>
      <c r="B49" s="8" t="n">
        <v>2001</v>
      </c>
      <c r="C49" s="18">
        <f>IF(Categorias!C50="","",Categorias!C50/(N(Categorias!C50)+N(Categorias!D50)+N(Categorias!E50)))</f>
        <v/>
      </c>
      <c r="D49" s="18">
        <f>IF(Categorias!H50="","",Categorias!H50/(N(Categorias!H50)+N(Categorias!I50)))</f>
        <v/>
      </c>
      <c r="E49" s="17">
        <f>IFERROR(IF(INDEX(Gini!$C$2:$C$377,MATCH($A49&amp;"|"&amp;$B49,Gini!$E$2:$E$377,0))="","",INDEX(Gini!$C$2:$C$377,MATCH($A49&amp;"|"&amp;$B49,Gini!$E$2:$E$377,0))),"")</f>
        <v/>
      </c>
      <c r="F49" s="19">
        <f>IFERROR(IF(INDEX(Corrupcion!$E$2:$E$377,MATCH($A49&amp;"|"&amp;$B49,Corrupcion!$H$2:$H$377,0))="","",INDEX(Corrupcion!$E$2:$E$377,MATCH($A49&amp;"|"&amp;$B49,Corrupcion!$H$2:$H$377,0))),"")</f>
        <v/>
      </c>
      <c r="G49" s="20">
        <f>IFERROR(IF(INDEX(Corrupcion!$F$2:$F$377,MATCH($A49&amp;"|"&amp;$B49,Corrupcion!$H$2:$H$377,0))="","",INDEX(Corrupcion!$F$2:$F$377,MATCH($A49&amp;"|"&amp;$B49,Corrupcion!$H$2:$H$377,0))),"")</f>
        <v/>
      </c>
      <c r="H49" s="17">
        <f>IFERROR(IF(INDEX(Corrupcion!$G$2:$G$377,MATCH($A49&amp;"|"&amp;$B49,Corrupcion!$H$2:$H$377,0))="","",INDEX(Corrupcion!$G$2:$G$377,MATCH($A49&amp;"|"&amp;$B49,Corrupcion!$H$2:$H$377,0))),"")</f>
        <v/>
      </c>
      <c r="I49" s="8">
        <f>IF(COUNTBLANK(C49:E49)+COUNTBLANK(F49)=0,1,0)</f>
        <v/>
      </c>
      <c r="J49" s="8">
        <f>IF(COUNTBLANK(C49:E49)+COUNTBLANK(G49)=0,1,0)</f>
        <v/>
      </c>
      <c r="K49" s="8">
        <f>IF(COUNTBLANK(C49:E49)+COUNTBLANK(H49)=0,1,0)</f>
        <v/>
      </c>
    </row>
    <row r="50">
      <c r="A50" s="8" t="inlineStr">
        <is>
          <t>Brasil</t>
        </is>
      </c>
      <c r="B50" s="8" t="n">
        <v>2002</v>
      </c>
      <c r="C50" s="18">
        <f>IF(Categorias!C51="","",Categorias!C51/(N(Categorias!C51)+N(Categorias!D51)+N(Categorias!E51)))</f>
        <v/>
      </c>
      <c r="D50" s="18">
        <f>IF(Categorias!H51="","",Categorias!H51/(N(Categorias!H51)+N(Categorias!I51)))</f>
        <v/>
      </c>
      <c r="E50" s="17">
        <f>IFERROR(IF(INDEX(Gini!$C$2:$C$377,MATCH($A50&amp;"|"&amp;$B50,Gini!$E$2:$E$377,0))="","",INDEX(Gini!$C$2:$C$377,MATCH($A50&amp;"|"&amp;$B50,Gini!$E$2:$E$377,0))),"")</f>
        <v/>
      </c>
      <c r="F50" s="19">
        <f>IFERROR(IF(INDEX(Corrupcion!$E$2:$E$377,MATCH($A50&amp;"|"&amp;$B50,Corrupcion!$H$2:$H$377,0))="","",INDEX(Corrupcion!$E$2:$E$377,MATCH($A50&amp;"|"&amp;$B50,Corrupcion!$H$2:$H$377,0))),"")</f>
        <v/>
      </c>
      <c r="G50" s="20">
        <f>IFERROR(IF(INDEX(Corrupcion!$F$2:$F$377,MATCH($A50&amp;"|"&amp;$B50,Corrupcion!$H$2:$H$377,0))="","",INDEX(Corrupcion!$F$2:$F$377,MATCH($A50&amp;"|"&amp;$B50,Corrupcion!$H$2:$H$377,0))),"")</f>
        <v/>
      </c>
      <c r="H50" s="17">
        <f>IFERROR(IF(INDEX(Corrupcion!$G$2:$G$377,MATCH($A50&amp;"|"&amp;$B50,Corrupcion!$H$2:$H$377,0))="","",INDEX(Corrupcion!$G$2:$G$377,MATCH($A50&amp;"|"&amp;$B50,Corrupcion!$H$2:$H$377,0))),"")</f>
        <v/>
      </c>
      <c r="I50" s="8">
        <f>IF(COUNTBLANK(C50:E50)+COUNTBLANK(F50)=0,1,0)</f>
        <v/>
      </c>
      <c r="J50" s="8">
        <f>IF(COUNTBLANK(C50:E50)+COUNTBLANK(G50)=0,1,0)</f>
        <v/>
      </c>
      <c r="K50" s="8">
        <f>IF(COUNTBLANK(C50:E50)+COUNTBLANK(H50)=0,1,0)</f>
        <v/>
      </c>
    </row>
    <row r="51">
      <c r="A51" s="8" t="inlineStr">
        <is>
          <t>Brasil</t>
        </is>
      </c>
      <c r="B51" s="8" t="n">
        <v>2003</v>
      </c>
      <c r="C51" s="18">
        <f>IF(Categorias!C52="","",Categorias!C52/(N(Categorias!C52)+N(Categorias!D52)+N(Categorias!E52)))</f>
        <v/>
      </c>
      <c r="D51" s="18">
        <f>IF(Categorias!H52="","",Categorias!H52/(N(Categorias!H52)+N(Categorias!I52)))</f>
        <v/>
      </c>
      <c r="E51" s="17">
        <f>IFERROR(IF(INDEX(Gini!$C$2:$C$377,MATCH($A51&amp;"|"&amp;$B51,Gini!$E$2:$E$377,0))="","",INDEX(Gini!$C$2:$C$377,MATCH($A51&amp;"|"&amp;$B51,Gini!$E$2:$E$377,0))),"")</f>
        <v/>
      </c>
      <c r="F51" s="19">
        <f>IFERROR(IF(INDEX(Corrupcion!$E$2:$E$377,MATCH($A51&amp;"|"&amp;$B51,Corrupcion!$H$2:$H$377,0))="","",INDEX(Corrupcion!$E$2:$E$377,MATCH($A51&amp;"|"&amp;$B51,Corrupcion!$H$2:$H$377,0))),"")</f>
        <v/>
      </c>
      <c r="G51" s="20">
        <f>IFERROR(IF(INDEX(Corrupcion!$F$2:$F$377,MATCH($A51&amp;"|"&amp;$B51,Corrupcion!$H$2:$H$377,0))="","",INDEX(Corrupcion!$F$2:$F$377,MATCH($A51&amp;"|"&amp;$B51,Corrupcion!$H$2:$H$377,0))),"")</f>
        <v/>
      </c>
      <c r="H51" s="17">
        <f>IFERROR(IF(INDEX(Corrupcion!$G$2:$G$377,MATCH($A51&amp;"|"&amp;$B51,Corrupcion!$H$2:$H$377,0))="","",INDEX(Corrupcion!$G$2:$G$377,MATCH($A51&amp;"|"&amp;$B51,Corrupcion!$H$2:$H$377,0))),"")</f>
        <v/>
      </c>
      <c r="I51" s="8">
        <f>IF(COUNTBLANK(C51:E51)+COUNTBLANK(F51)=0,1,0)</f>
        <v/>
      </c>
      <c r="J51" s="8">
        <f>IF(COUNTBLANK(C51:E51)+COUNTBLANK(G51)=0,1,0)</f>
        <v/>
      </c>
      <c r="K51" s="8">
        <f>IF(COUNTBLANK(C51:E51)+COUNTBLANK(H51)=0,1,0)</f>
        <v/>
      </c>
    </row>
    <row r="52">
      <c r="A52" s="8" t="inlineStr">
        <is>
          <t>Brasil</t>
        </is>
      </c>
      <c r="B52" s="8" t="n">
        <v>2004</v>
      </c>
      <c r="C52" s="18">
        <f>IF(Categorias!C53="","",Categorias!C53/(N(Categorias!C53)+N(Categorias!D53)+N(Categorias!E53)))</f>
        <v/>
      </c>
      <c r="D52" s="18">
        <f>IF(Categorias!H53="","",Categorias!H53/(N(Categorias!H53)+N(Categorias!I53)))</f>
        <v/>
      </c>
      <c r="E52" s="17">
        <f>IFERROR(IF(INDEX(Gini!$C$2:$C$377,MATCH($A52&amp;"|"&amp;$B52,Gini!$E$2:$E$377,0))="","",INDEX(Gini!$C$2:$C$377,MATCH($A52&amp;"|"&amp;$B52,Gini!$E$2:$E$377,0))),"")</f>
        <v/>
      </c>
      <c r="F52" s="19">
        <f>IFERROR(IF(INDEX(Corrupcion!$E$2:$E$377,MATCH($A52&amp;"|"&amp;$B52,Corrupcion!$H$2:$H$377,0))="","",INDEX(Corrupcion!$E$2:$E$377,MATCH($A52&amp;"|"&amp;$B52,Corrupcion!$H$2:$H$377,0))),"")</f>
        <v/>
      </c>
      <c r="G52" s="20">
        <f>IFERROR(IF(INDEX(Corrupcion!$F$2:$F$377,MATCH($A52&amp;"|"&amp;$B52,Corrupcion!$H$2:$H$377,0))="","",INDEX(Corrupcion!$F$2:$F$377,MATCH($A52&amp;"|"&amp;$B52,Corrupcion!$H$2:$H$377,0))),"")</f>
        <v/>
      </c>
      <c r="H52" s="17">
        <f>IFERROR(IF(INDEX(Corrupcion!$G$2:$G$377,MATCH($A52&amp;"|"&amp;$B52,Corrupcion!$H$2:$H$377,0))="","",INDEX(Corrupcion!$G$2:$G$377,MATCH($A52&amp;"|"&amp;$B52,Corrupcion!$H$2:$H$377,0))),"")</f>
        <v/>
      </c>
      <c r="I52" s="8">
        <f>IF(COUNTBLANK(C52:E52)+COUNTBLANK(F52)=0,1,0)</f>
        <v/>
      </c>
      <c r="J52" s="8">
        <f>IF(COUNTBLANK(C52:E52)+COUNTBLANK(G52)=0,1,0)</f>
        <v/>
      </c>
      <c r="K52" s="8">
        <f>IF(COUNTBLANK(C52:E52)+COUNTBLANK(H52)=0,1,0)</f>
        <v/>
      </c>
    </row>
    <row r="53">
      <c r="A53" s="8" t="inlineStr">
        <is>
          <t>Brasil</t>
        </is>
      </c>
      <c r="B53" s="8" t="n">
        <v>2005</v>
      </c>
      <c r="C53" s="18">
        <f>IF(Categorias!C54="","",Categorias!C54/(N(Categorias!C54)+N(Categorias!D54)+N(Categorias!E54)))</f>
        <v/>
      </c>
      <c r="D53" s="18">
        <f>IF(Categorias!H54="","",Categorias!H54/(N(Categorias!H54)+N(Categorias!I54)))</f>
        <v/>
      </c>
      <c r="E53" s="17">
        <f>IFERROR(IF(INDEX(Gini!$C$2:$C$377,MATCH($A53&amp;"|"&amp;$B53,Gini!$E$2:$E$377,0))="","",INDEX(Gini!$C$2:$C$377,MATCH($A53&amp;"|"&amp;$B53,Gini!$E$2:$E$377,0))),"")</f>
        <v/>
      </c>
      <c r="F53" s="19">
        <f>IFERROR(IF(INDEX(Corrupcion!$E$2:$E$377,MATCH($A53&amp;"|"&amp;$B53,Corrupcion!$H$2:$H$377,0))="","",INDEX(Corrupcion!$E$2:$E$377,MATCH($A53&amp;"|"&amp;$B53,Corrupcion!$H$2:$H$377,0))),"")</f>
        <v/>
      </c>
      <c r="G53" s="20">
        <f>IFERROR(IF(INDEX(Corrupcion!$F$2:$F$377,MATCH($A53&amp;"|"&amp;$B53,Corrupcion!$H$2:$H$377,0))="","",INDEX(Corrupcion!$F$2:$F$377,MATCH($A53&amp;"|"&amp;$B53,Corrupcion!$H$2:$H$377,0))),"")</f>
        <v/>
      </c>
      <c r="H53" s="17">
        <f>IFERROR(IF(INDEX(Corrupcion!$G$2:$G$377,MATCH($A53&amp;"|"&amp;$B53,Corrupcion!$H$2:$H$377,0))="","",INDEX(Corrupcion!$G$2:$G$377,MATCH($A53&amp;"|"&amp;$B53,Corrupcion!$H$2:$H$377,0))),"")</f>
        <v/>
      </c>
      <c r="I53" s="8">
        <f>IF(COUNTBLANK(C53:E53)+COUNTBLANK(F53)=0,1,0)</f>
        <v/>
      </c>
      <c r="J53" s="8">
        <f>IF(COUNTBLANK(C53:E53)+COUNTBLANK(G53)=0,1,0)</f>
        <v/>
      </c>
      <c r="K53" s="8">
        <f>IF(COUNTBLANK(C53:E53)+COUNTBLANK(H53)=0,1,0)</f>
        <v/>
      </c>
    </row>
    <row r="54">
      <c r="A54" s="8" t="inlineStr">
        <is>
          <t>Brasil</t>
        </is>
      </c>
      <c r="B54" s="8" t="n">
        <v>2006</v>
      </c>
      <c r="C54" s="18">
        <f>IF(Categorias!C55="","",Categorias!C55/(N(Categorias!C55)+N(Categorias!D55)+N(Categorias!E55)))</f>
        <v/>
      </c>
      <c r="D54" s="18">
        <f>IF(Categorias!H55="","",Categorias!H55/(N(Categorias!H55)+N(Categorias!I55)))</f>
        <v/>
      </c>
      <c r="E54" s="17">
        <f>IFERROR(IF(INDEX(Gini!$C$2:$C$377,MATCH($A54&amp;"|"&amp;$B54,Gini!$E$2:$E$377,0))="","",INDEX(Gini!$C$2:$C$377,MATCH($A54&amp;"|"&amp;$B54,Gini!$E$2:$E$377,0))),"")</f>
        <v/>
      </c>
      <c r="F54" s="19">
        <f>IFERROR(IF(INDEX(Corrupcion!$E$2:$E$377,MATCH($A54&amp;"|"&amp;$B54,Corrupcion!$H$2:$H$377,0))="","",INDEX(Corrupcion!$E$2:$E$377,MATCH($A54&amp;"|"&amp;$B54,Corrupcion!$H$2:$H$377,0))),"")</f>
        <v/>
      </c>
      <c r="G54" s="20">
        <f>IFERROR(IF(INDEX(Corrupcion!$F$2:$F$377,MATCH($A54&amp;"|"&amp;$B54,Corrupcion!$H$2:$H$377,0))="","",INDEX(Corrupcion!$F$2:$F$377,MATCH($A54&amp;"|"&amp;$B54,Corrupcion!$H$2:$H$377,0))),"")</f>
        <v/>
      </c>
      <c r="H54" s="17">
        <f>IFERROR(IF(INDEX(Corrupcion!$G$2:$G$377,MATCH($A54&amp;"|"&amp;$B54,Corrupcion!$H$2:$H$377,0))="","",INDEX(Corrupcion!$G$2:$G$377,MATCH($A54&amp;"|"&amp;$B54,Corrupcion!$H$2:$H$377,0))),"")</f>
        <v/>
      </c>
      <c r="I54" s="8">
        <f>IF(COUNTBLANK(C54:E54)+COUNTBLANK(F54)=0,1,0)</f>
        <v/>
      </c>
      <c r="J54" s="8">
        <f>IF(COUNTBLANK(C54:E54)+COUNTBLANK(G54)=0,1,0)</f>
        <v/>
      </c>
      <c r="K54" s="8">
        <f>IF(COUNTBLANK(C54:E54)+COUNTBLANK(H54)=0,1,0)</f>
        <v/>
      </c>
    </row>
    <row r="55">
      <c r="A55" s="8" t="inlineStr">
        <is>
          <t>Brasil</t>
        </is>
      </c>
      <c r="B55" s="8" t="n">
        <v>2007</v>
      </c>
      <c r="C55" s="18">
        <f>IF(Categorias!C56="","",Categorias!C56/(N(Categorias!C56)+N(Categorias!D56)+N(Categorias!E56)))</f>
        <v/>
      </c>
      <c r="D55" s="18">
        <f>IF(Categorias!H56="","",Categorias!H56/(N(Categorias!H56)+N(Categorias!I56)))</f>
        <v/>
      </c>
      <c r="E55" s="17">
        <f>IFERROR(IF(INDEX(Gini!$C$2:$C$377,MATCH($A55&amp;"|"&amp;$B55,Gini!$E$2:$E$377,0))="","",INDEX(Gini!$C$2:$C$377,MATCH($A55&amp;"|"&amp;$B55,Gini!$E$2:$E$377,0))),"")</f>
        <v/>
      </c>
      <c r="F55" s="19">
        <f>IFERROR(IF(INDEX(Corrupcion!$E$2:$E$377,MATCH($A55&amp;"|"&amp;$B55,Corrupcion!$H$2:$H$377,0))="","",INDEX(Corrupcion!$E$2:$E$377,MATCH($A55&amp;"|"&amp;$B55,Corrupcion!$H$2:$H$377,0))),"")</f>
        <v/>
      </c>
      <c r="G55" s="20">
        <f>IFERROR(IF(INDEX(Corrupcion!$F$2:$F$377,MATCH($A55&amp;"|"&amp;$B55,Corrupcion!$H$2:$H$377,0))="","",INDEX(Corrupcion!$F$2:$F$377,MATCH($A55&amp;"|"&amp;$B55,Corrupcion!$H$2:$H$377,0))),"")</f>
        <v/>
      </c>
      <c r="H55" s="17">
        <f>IFERROR(IF(INDEX(Corrupcion!$G$2:$G$377,MATCH($A55&amp;"|"&amp;$B55,Corrupcion!$H$2:$H$377,0))="","",INDEX(Corrupcion!$G$2:$G$377,MATCH($A55&amp;"|"&amp;$B55,Corrupcion!$H$2:$H$377,0))),"")</f>
        <v/>
      </c>
      <c r="I55" s="8">
        <f>IF(COUNTBLANK(C55:E55)+COUNTBLANK(F55)=0,1,0)</f>
        <v/>
      </c>
      <c r="J55" s="8">
        <f>IF(COUNTBLANK(C55:E55)+COUNTBLANK(G55)=0,1,0)</f>
        <v/>
      </c>
      <c r="K55" s="8">
        <f>IF(COUNTBLANK(C55:E55)+COUNTBLANK(H55)=0,1,0)</f>
        <v/>
      </c>
    </row>
    <row r="56">
      <c r="A56" s="8" t="inlineStr">
        <is>
          <t>Brasil</t>
        </is>
      </c>
      <c r="B56" s="8" t="n">
        <v>2008</v>
      </c>
      <c r="C56" s="18">
        <f>IF(Categorias!C57="","",Categorias!C57/(N(Categorias!C57)+N(Categorias!D57)+N(Categorias!E57)))</f>
        <v/>
      </c>
      <c r="D56" s="18">
        <f>IF(Categorias!H57="","",Categorias!H57/(N(Categorias!H57)+N(Categorias!I57)))</f>
        <v/>
      </c>
      <c r="E56" s="17">
        <f>IFERROR(IF(INDEX(Gini!$C$2:$C$377,MATCH($A56&amp;"|"&amp;$B56,Gini!$E$2:$E$377,0))="","",INDEX(Gini!$C$2:$C$377,MATCH($A56&amp;"|"&amp;$B56,Gini!$E$2:$E$377,0))),"")</f>
        <v/>
      </c>
      <c r="F56" s="19">
        <f>IFERROR(IF(INDEX(Corrupcion!$E$2:$E$377,MATCH($A56&amp;"|"&amp;$B56,Corrupcion!$H$2:$H$377,0))="","",INDEX(Corrupcion!$E$2:$E$377,MATCH($A56&amp;"|"&amp;$B56,Corrupcion!$H$2:$H$377,0))),"")</f>
        <v/>
      </c>
      <c r="G56" s="20">
        <f>IFERROR(IF(INDEX(Corrupcion!$F$2:$F$377,MATCH($A56&amp;"|"&amp;$B56,Corrupcion!$H$2:$H$377,0))="","",INDEX(Corrupcion!$F$2:$F$377,MATCH($A56&amp;"|"&amp;$B56,Corrupcion!$H$2:$H$377,0))),"")</f>
        <v/>
      </c>
      <c r="H56" s="17">
        <f>IFERROR(IF(INDEX(Corrupcion!$G$2:$G$377,MATCH($A56&amp;"|"&amp;$B56,Corrupcion!$H$2:$H$377,0))="","",INDEX(Corrupcion!$G$2:$G$377,MATCH($A56&amp;"|"&amp;$B56,Corrupcion!$H$2:$H$377,0))),"")</f>
        <v/>
      </c>
      <c r="I56" s="8">
        <f>IF(COUNTBLANK(C56:E56)+COUNTBLANK(F56)=0,1,0)</f>
        <v/>
      </c>
      <c r="J56" s="8">
        <f>IF(COUNTBLANK(C56:E56)+COUNTBLANK(G56)=0,1,0)</f>
        <v/>
      </c>
      <c r="K56" s="8">
        <f>IF(COUNTBLANK(C56:E56)+COUNTBLANK(H56)=0,1,0)</f>
        <v/>
      </c>
    </row>
    <row r="57">
      <c r="A57" s="8" t="inlineStr">
        <is>
          <t>Brasil</t>
        </is>
      </c>
      <c r="B57" s="8" t="n">
        <v>2009</v>
      </c>
      <c r="C57" s="18">
        <f>IF(Categorias!C58="","",Categorias!C58/(N(Categorias!C58)+N(Categorias!D58)+N(Categorias!E58)))</f>
        <v/>
      </c>
      <c r="D57" s="18">
        <f>IF(Categorias!H58="","",Categorias!H58/(N(Categorias!H58)+N(Categorias!I58)))</f>
        <v/>
      </c>
      <c r="E57" s="17">
        <f>IFERROR(IF(INDEX(Gini!$C$2:$C$377,MATCH($A57&amp;"|"&amp;$B57,Gini!$E$2:$E$377,0))="","",INDEX(Gini!$C$2:$C$377,MATCH($A57&amp;"|"&amp;$B57,Gini!$E$2:$E$377,0))),"")</f>
        <v/>
      </c>
      <c r="F57" s="19">
        <f>IFERROR(IF(INDEX(Corrupcion!$E$2:$E$377,MATCH($A57&amp;"|"&amp;$B57,Corrupcion!$H$2:$H$377,0))="","",INDEX(Corrupcion!$E$2:$E$377,MATCH($A57&amp;"|"&amp;$B57,Corrupcion!$H$2:$H$377,0))),"")</f>
        <v/>
      </c>
      <c r="G57" s="20">
        <f>IFERROR(IF(INDEX(Corrupcion!$F$2:$F$377,MATCH($A57&amp;"|"&amp;$B57,Corrupcion!$H$2:$H$377,0))="","",INDEX(Corrupcion!$F$2:$F$377,MATCH($A57&amp;"|"&amp;$B57,Corrupcion!$H$2:$H$377,0))),"")</f>
        <v/>
      </c>
      <c r="H57" s="17">
        <f>IFERROR(IF(INDEX(Corrupcion!$G$2:$G$377,MATCH($A57&amp;"|"&amp;$B57,Corrupcion!$H$2:$H$377,0))="","",INDEX(Corrupcion!$G$2:$G$377,MATCH($A57&amp;"|"&amp;$B57,Corrupcion!$H$2:$H$377,0))),"")</f>
        <v/>
      </c>
      <c r="I57" s="8">
        <f>IF(COUNTBLANK(C57:E57)+COUNTBLANK(F57)=0,1,0)</f>
        <v/>
      </c>
      <c r="J57" s="8">
        <f>IF(COUNTBLANK(C57:E57)+COUNTBLANK(G57)=0,1,0)</f>
        <v/>
      </c>
      <c r="K57" s="8">
        <f>IF(COUNTBLANK(C57:E57)+COUNTBLANK(H57)=0,1,0)</f>
        <v/>
      </c>
    </row>
    <row r="58">
      <c r="A58" s="8" t="inlineStr">
        <is>
          <t>Brasil</t>
        </is>
      </c>
      <c r="B58" s="8" t="n">
        <v>2010</v>
      </c>
      <c r="C58" s="18">
        <f>IF(Categorias!C59="","",Categorias!C59/(N(Categorias!C59)+N(Categorias!D59)+N(Categorias!E59)))</f>
        <v/>
      </c>
      <c r="D58" s="18">
        <f>IF(Categorias!H59="","",Categorias!H59/(N(Categorias!H59)+N(Categorias!I59)))</f>
        <v/>
      </c>
      <c r="E58" s="17">
        <f>IFERROR(IF(INDEX(Gini!$C$2:$C$377,MATCH($A58&amp;"|"&amp;$B58,Gini!$E$2:$E$377,0))="","",INDEX(Gini!$C$2:$C$377,MATCH($A58&amp;"|"&amp;$B58,Gini!$E$2:$E$377,0))),"")</f>
        <v/>
      </c>
      <c r="F58" s="19">
        <f>IFERROR(IF(INDEX(Corrupcion!$E$2:$E$377,MATCH($A58&amp;"|"&amp;$B58,Corrupcion!$H$2:$H$377,0))="","",INDEX(Corrupcion!$E$2:$E$377,MATCH($A58&amp;"|"&amp;$B58,Corrupcion!$H$2:$H$377,0))),"")</f>
        <v/>
      </c>
      <c r="G58" s="20">
        <f>IFERROR(IF(INDEX(Corrupcion!$F$2:$F$377,MATCH($A58&amp;"|"&amp;$B58,Corrupcion!$H$2:$H$377,0))="","",INDEX(Corrupcion!$F$2:$F$377,MATCH($A58&amp;"|"&amp;$B58,Corrupcion!$H$2:$H$377,0))),"")</f>
        <v/>
      </c>
      <c r="H58" s="17">
        <f>IFERROR(IF(INDEX(Corrupcion!$G$2:$G$377,MATCH($A58&amp;"|"&amp;$B58,Corrupcion!$H$2:$H$377,0))="","",INDEX(Corrupcion!$G$2:$G$377,MATCH($A58&amp;"|"&amp;$B58,Corrupcion!$H$2:$H$377,0))),"")</f>
        <v/>
      </c>
      <c r="I58" s="8">
        <f>IF(COUNTBLANK(C58:E58)+COUNTBLANK(F58)=0,1,0)</f>
        <v/>
      </c>
      <c r="J58" s="8">
        <f>IF(COUNTBLANK(C58:E58)+COUNTBLANK(G58)=0,1,0)</f>
        <v/>
      </c>
      <c r="K58" s="8">
        <f>IF(COUNTBLANK(C58:E58)+COUNTBLANK(H58)=0,1,0)</f>
        <v/>
      </c>
    </row>
    <row r="59">
      <c r="A59" s="8" t="inlineStr">
        <is>
          <t>Brasil</t>
        </is>
      </c>
      <c r="B59" s="8" t="n">
        <v>2011</v>
      </c>
      <c r="C59" s="18">
        <f>IF(Categorias!C60="","",Categorias!C60/(N(Categorias!C60)+N(Categorias!D60)+N(Categorias!E60)))</f>
        <v/>
      </c>
      <c r="D59" s="18">
        <f>IF(Categorias!H60="","",Categorias!H60/(N(Categorias!H60)+N(Categorias!I60)))</f>
        <v/>
      </c>
      <c r="E59" s="17">
        <f>IFERROR(IF(INDEX(Gini!$C$2:$C$377,MATCH($A59&amp;"|"&amp;$B59,Gini!$E$2:$E$377,0))="","",INDEX(Gini!$C$2:$C$377,MATCH($A59&amp;"|"&amp;$B59,Gini!$E$2:$E$377,0))),"")</f>
        <v/>
      </c>
      <c r="F59" s="19">
        <f>IFERROR(IF(INDEX(Corrupcion!$E$2:$E$377,MATCH($A59&amp;"|"&amp;$B59,Corrupcion!$H$2:$H$377,0))="","",INDEX(Corrupcion!$E$2:$E$377,MATCH($A59&amp;"|"&amp;$B59,Corrupcion!$H$2:$H$377,0))),"")</f>
        <v/>
      </c>
      <c r="G59" s="20">
        <f>IFERROR(IF(INDEX(Corrupcion!$F$2:$F$377,MATCH($A59&amp;"|"&amp;$B59,Corrupcion!$H$2:$H$377,0))="","",INDEX(Corrupcion!$F$2:$F$377,MATCH($A59&amp;"|"&amp;$B59,Corrupcion!$H$2:$H$377,0))),"")</f>
        <v/>
      </c>
      <c r="H59" s="17">
        <f>IFERROR(IF(INDEX(Corrupcion!$G$2:$G$377,MATCH($A59&amp;"|"&amp;$B59,Corrupcion!$H$2:$H$377,0))="","",INDEX(Corrupcion!$G$2:$G$377,MATCH($A59&amp;"|"&amp;$B59,Corrupcion!$H$2:$H$377,0))),"")</f>
        <v/>
      </c>
      <c r="I59" s="8">
        <f>IF(COUNTBLANK(C59:E59)+COUNTBLANK(F59)=0,1,0)</f>
        <v/>
      </c>
      <c r="J59" s="8">
        <f>IF(COUNTBLANK(C59:E59)+COUNTBLANK(G59)=0,1,0)</f>
        <v/>
      </c>
      <c r="K59" s="8">
        <f>IF(COUNTBLANK(C59:E59)+COUNTBLANK(H59)=0,1,0)</f>
        <v/>
      </c>
    </row>
    <row r="60">
      <c r="A60" s="8" t="inlineStr">
        <is>
          <t>Brasil</t>
        </is>
      </c>
      <c r="B60" s="8" t="n">
        <v>2015</v>
      </c>
      <c r="C60" s="18">
        <f>IF(Categorias!C61="","",Categorias!C61/(N(Categorias!C61)+N(Categorias!D61)+N(Categorias!E61)))</f>
        <v/>
      </c>
      <c r="D60" s="18">
        <f>IF(Categorias!H61="","",Categorias!H61/(N(Categorias!H61)+N(Categorias!I61)))</f>
        <v/>
      </c>
      <c r="E60" s="17">
        <f>IFERROR(IF(INDEX(Gini!$C$2:$C$377,MATCH($A60&amp;"|"&amp;$B60,Gini!$E$2:$E$377,0))="","",INDEX(Gini!$C$2:$C$377,MATCH($A60&amp;"|"&amp;$B60,Gini!$E$2:$E$377,0))),"")</f>
        <v/>
      </c>
      <c r="F60" s="19">
        <f>IFERROR(IF(INDEX(Corrupcion!$E$2:$E$377,MATCH($A60&amp;"|"&amp;$B60,Corrupcion!$H$2:$H$377,0))="","",INDEX(Corrupcion!$E$2:$E$377,MATCH($A60&amp;"|"&amp;$B60,Corrupcion!$H$2:$H$377,0))),"")</f>
        <v/>
      </c>
      <c r="G60" s="20">
        <f>IFERROR(IF(INDEX(Corrupcion!$F$2:$F$377,MATCH($A60&amp;"|"&amp;$B60,Corrupcion!$H$2:$H$377,0))="","",INDEX(Corrupcion!$F$2:$F$377,MATCH($A60&amp;"|"&amp;$B60,Corrupcion!$H$2:$H$377,0))),"")</f>
        <v/>
      </c>
      <c r="H60" s="17">
        <f>IFERROR(IF(INDEX(Corrupcion!$G$2:$G$377,MATCH($A60&amp;"|"&amp;$B60,Corrupcion!$H$2:$H$377,0))="","",INDEX(Corrupcion!$G$2:$G$377,MATCH($A60&amp;"|"&amp;$B60,Corrupcion!$H$2:$H$377,0))),"")</f>
        <v/>
      </c>
      <c r="I60" s="8">
        <f>IF(COUNTBLANK(C60:E60)+COUNTBLANK(F60)=0,1,0)</f>
        <v/>
      </c>
      <c r="J60" s="8">
        <f>IF(COUNTBLANK(C60:E60)+COUNTBLANK(G60)=0,1,0)</f>
        <v/>
      </c>
      <c r="K60" s="8">
        <f>IF(COUNTBLANK(C60:E60)+COUNTBLANK(H60)=0,1,0)</f>
        <v/>
      </c>
    </row>
    <row r="61">
      <c r="A61" s="8" t="inlineStr">
        <is>
          <t>Brasil</t>
        </is>
      </c>
      <c r="B61" s="8" t="n">
        <v>2016</v>
      </c>
      <c r="C61" s="18">
        <f>IF(Categorias!C62="","",Categorias!C62/(N(Categorias!C62)+N(Categorias!D62)+N(Categorias!E62)))</f>
        <v/>
      </c>
      <c r="D61" s="18">
        <f>IF(Categorias!H62="","",Categorias!H62/(N(Categorias!H62)+N(Categorias!I62)))</f>
        <v/>
      </c>
      <c r="E61" s="17">
        <f>IFERROR(IF(INDEX(Gini!$C$2:$C$377,MATCH($A61&amp;"|"&amp;$B61,Gini!$E$2:$E$377,0))="","",INDEX(Gini!$C$2:$C$377,MATCH($A61&amp;"|"&amp;$B61,Gini!$E$2:$E$377,0))),"")</f>
        <v/>
      </c>
      <c r="F61" s="19">
        <f>IFERROR(IF(INDEX(Corrupcion!$E$2:$E$377,MATCH($A61&amp;"|"&amp;$B61,Corrupcion!$H$2:$H$377,0))="","",INDEX(Corrupcion!$E$2:$E$377,MATCH($A61&amp;"|"&amp;$B61,Corrupcion!$H$2:$H$377,0))),"")</f>
        <v/>
      </c>
      <c r="G61" s="20">
        <f>IFERROR(IF(INDEX(Corrupcion!$F$2:$F$377,MATCH($A61&amp;"|"&amp;$B61,Corrupcion!$H$2:$H$377,0))="","",INDEX(Corrupcion!$F$2:$F$377,MATCH($A61&amp;"|"&amp;$B61,Corrupcion!$H$2:$H$377,0))),"")</f>
        <v/>
      </c>
      <c r="H61" s="17">
        <f>IFERROR(IF(INDEX(Corrupcion!$G$2:$G$377,MATCH($A61&amp;"|"&amp;$B61,Corrupcion!$H$2:$H$377,0))="","",INDEX(Corrupcion!$G$2:$G$377,MATCH($A61&amp;"|"&amp;$B61,Corrupcion!$H$2:$H$377,0))),"")</f>
        <v/>
      </c>
      <c r="I61" s="8">
        <f>IF(COUNTBLANK(C61:E61)+COUNTBLANK(F61)=0,1,0)</f>
        <v/>
      </c>
      <c r="J61" s="8">
        <f>IF(COUNTBLANK(C61:E61)+COUNTBLANK(G61)=0,1,0)</f>
        <v/>
      </c>
      <c r="K61" s="8">
        <f>IF(COUNTBLANK(C61:E61)+COUNTBLANK(H61)=0,1,0)</f>
        <v/>
      </c>
    </row>
    <row r="62">
      <c r="A62" s="8" t="inlineStr">
        <is>
          <t>Brasil</t>
        </is>
      </c>
      <c r="B62" s="8" t="n">
        <v>2017</v>
      </c>
      <c r="C62" s="18">
        <f>IF(Categorias!C63="","",Categorias!C63/(N(Categorias!C63)+N(Categorias!D63)+N(Categorias!E63)))</f>
        <v/>
      </c>
      <c r="D62" s="18">
        <f>IF(Categorias!H63="","",Categorias!H63/(N(Categorias!H63)+N(Categorias!I63)))</f>
        <v/>
      </c>
      <c r="E62" s="17">
        <f>IFERROR(IF(INDEX(Gini!$C$2:$C$377,MATCH($A62&amp;"|"&amp;$B62,Gini!$E$2:$E$377,0))="","",INDEX(Gini!$C$2:$C$377,MATCH($A62&amp;"|"&amp;$B62,Gini!$E$2:$E$377,0))),"")</f>
        <v/>
      </c>
      <c r="F62" s="19">
        <f>IFERROR(IF(INDEX(Corrupcion!$E$2:$E$377,MATCH($A62&amp;"|"&amp;$B62,Corrupcion!$H$2:$H$377,0))="","",INDEX(Corrupcion!$E$2:$E$377,MATCH($A62&amp;"|"&amp;$B62,Corrupcion!$H$2:$H$377,0))),"")</f>
        <v/>
      </c>
      <c r="G62" s="20">
        <f>IFERROR(IF(INDEX(Corrupcion!$F$2:$F$377,MATCH($A62&amp;"|"&amp;$B62,Corrupcion!$H$2:$H$377,0))="","",INDEX(Corrupcion!$F$2:$F$377,MATCH($A62&amp;"|"&amp;$B62,Corrupcion!$H$2:$H$377,0))),"")</f>
        <v/>
      </c>
      <c r="H62" s="17">
        <f>IFERROR(IF(INDEX(Corrupcion!$G$2:$G$377,MATCH($A62&amp;"|"&amp;$B62,Corrupcion!$H$2:$H$377,0))="","",INDEX(Corrupcion!$G$2:$G$377,MATCH($A62&amp;"|"&amp;$B62,Corrupcion!$H$2:$H$377,0))),"")</f>
        <v/>
      </c>
      <c r="I62" s="8">
        <f>IF(COUNTBLANK(C62:E62)+COUNTBLANK(F62)=0,1,0)</f>
        <v/>
      </c>
      <c r="J62" s="8">
        <f>IF(COUNTBLANK(C62:E62)+COUNTBLANK(G62)=0,1,0)</f>
        <v/>
      </c>
      <c r="K62" s="8">
        <f>IF(COUNTBLANK(C62:E62)+COUNTBLANK(H62)=0,1,0)</f>
        <v/>
      </c>
    </row>
    <row r="63">
      <c r="A63" s="8" t="inlineStr">
        <is>
          <t>Brasil</t>
        </is>
      </c>
      <c r="B63" s="8" t="n">
        <v>2018</v>
      </c>
      <c r="C63" s="18">
        <f>IF(Categorias!C64="","",Categorias!C64/(N(Categorias!C64)+N(Categorias!D64)+N(Categorias!E64)))</f>
        <v/>
      </c>
      <c r="D63" s="18">
        <f>IF(Categorias!H64="","",Categorias!H64/(N(Categorias!H64)+N(Categorias!I64)))</f>
        <v/>
      </c>
      <c r="E63" s="17">
        <f>IFERROR(IF(INDEX(Gini!$C$2:$C$377,MATCH($A63&amp;"|"&amp;$B63,Gini!$E$2:$E$377,0))="","",INDEX(Gini!$C$2:$C$377,MATCH($A63&amp;"|"&amp;$B63,Gini!$E$2:$E$377,0))),"")</f>
        <v/>
      </c>
      <c r="F63" s="19">
        <f>IFERROR(IF(INDEX(Corrupcion!$E$2:$E$377,MATCH($A63&amp;"|"&amp;$B63,Corrupcion!$H$2:$H$377,0))="","",INDEX(Corrupcion!$E$2:$E$377,MATCH($A63&amp;"|"&amp;$B63,Corrupcion!$H$2:$H$377,0))),"")</f>
        <v/>
      </c>
      <c r="G63" s="20">
        <f>IFERROR(IF(INDEX(Corrupcion!$F$2:$F$377,MATCH($A63&amp;"|"&amp;$B63,Corrupcion!$H$2:$H$377,0))="","",INDEX(Corrupcion!$F$2:$F$377,MATCH($A63&amp;"|"&amp;$B63,Corrupcion!$H$2:$H$377,0))),"")</f>
        <v/>
      </c>
      <c r="H63" s="17">
        <f>IFERROR(IF(INDEX(Corrupcion!$G$2:$G$377,MATCH($A63&amp;"|"&amp;$B63,Corrupcion!$H$2:$H$377,0))="","",INDEX(Corrupcion!$G$2:$G$377,MATCH($A63&amp;"|"&amp;$B63,Corrupcion!$H$2:$H$377,0))),"")</f>
        <v/>
      </c>
      <c r="I63" s="8">
        <f>IF(COUNTBLANK(C63:E63)+COUNTBLANK(F63)=0,1,0)</f>
        <v/>
      </c>
      <c r="J63" s="8">
        <f>IF(COUNTBLANK(C63:E63)+COUNTBLANK(G63)=0,1,0)</f>
        <v/>
      </c>
      <c r="K63" s="8">
        <f>IF(COUNTBLANK(C63:E63)+COUNTBLANK(H63)=0,1,0)</f>
        <v/>
      </c>
    </row>
    <row r="64">
      <c r="A64" s="8" t="inlineStr">
        <is>
          <t>Brasil</t>
        </is>
      </c>
      <c r="B64" s="8" t="n">
        <v>2020</v>
      </c>
      <c r="C64" s="18">
        <f>IF(Categorias!C65="","",Categorias!C65/(N(Categorias!C65)+N(Categorias!D65)+N(Categorias!E65)))</f>
        <v/>
      </c>
      <c r="D64" s="18">
        <f>IF(Categorias!H65="","",Categorias!H65/(N(Categorias!H65)+N(Categorias!I65)))</f>
        <v/>
      </c>
      <c r="E64" s="17">
        <f>IFERROR(IF(INDEX(Gini!$C$2:$C$377,MATCH($A64&amp;"|"&amp;$B64,Gini!$E$2:$E$377,0))="","",INDEX(Gini!$C$2:$C$377,MATCH($A64&amp;"|"&amp;$B64,Gini!$E$2:$E$377,0))),"")</f>
        <v/>
      </c>
      <c r="F64" s="19">
        <f>IFERROR(IF(INDEX(Corrupcion!$E$2:$E$377,MATCH($A64&amp;"|"&amp;$B64,Corrupcion!$H$2:$H$377,0))="","",INDEX(Corrupcion!$E$2:$E$377,MATCH($A64&amp;"|"&amp;$B64,Corrupcion!$H$2:$H$377,0))),"")</f>
        <v/>
      </c>
      <c r="G64" s="20">
        <f>IFERROR(IF(INDEX(Corrupcion!$F$2:$F$377,MATCH($A64&amp;"|"&amp;$B64,Corrupcion!$H$2:$H$377,0))="","",INDEX(Corrupcion!$F$2:$F$377,MATCH($A64&amp;"|"&amp;$B64,Corrupcion!$H$2:$H$377,0))),"")</f>
        <v/>
      </c>
      <c r="H64" s="17">
        <f>IFERROR(IF(INDEX(Corrupcion!$G$2:$G$377,MATCH($A64&amp;"|"&amp;$B64,Corrupcion!$H$2:$H$377,0))="","",INDEX(Corrupcion!$G$2:$G$377,MATCH($A64&amp;"|"&amp;$B64,Corrupcion!$H$2:$H$377,0))),"")</f>
        <v/>
      </c>
      <c r="I64" s="8">
        <f>IF(COUNTBLANK(C64:E64)+COUNTBLANK(F64)=0,1,0)</f>
        <v/>
      </c>
      <c r="J64" s="8">
        <f>IF(COUNTBLANK(C64:E64)+COUNTBLANK(G64)=0,1,0)</f>
        <v/>
      </c>
      <c r="K64" s="8">
        <f>IF(COUNTBLANK(C64:E64)+COUNTBLANK(H64)=0,1,0)</f>
        <v/>
      </c>
    </row>
    <row r="65">
      <c r="A65" s="8" t="inlineStr">
        <is>
          <t>Brasil</t>
        </is>
      </c>
      <c r="B65" s="8" t="n">
        <v>2024</v>
      </c>
      <c r="C65" s="18">
        <f>IF(Categorias!C66="","",Categorias!C66/(N(Categorias!C66)+N(Categorias!D66)+N(Categorias!E66)))</f>
        <v/>
      </c>
      <c r="D65" s="18">
        <f>IF(Categorias!H66="","",Categorias!H66/(N(Categorias!H66)+N(Categorias!I66)))</f>
        <v/>
      </c>
      <c r="E65" s="17">
        <f>IFERROR(IF(INDEX(Gini!$C$2:$C$377,MATCH($A65&amp;"|"&amp;$B65,Gini!$E$2:$E$377,0))="","",INDEX(Gini!$C$2:$C$377,MATCH($A65&amp;"|"&amp;$B65,Gini!$E$2:$E$377,0))),"")</f>
        <v/>
      </c>
      <c r="F65" s="19">
        <f>IFERROR(IF(INDEX(Corrupcion!$E$2:$E$377,MATCH($A65&amp;"|"&amp;$B65,Corrupcion!$H$2:$H$377,0))="","",INDEX(Corrupcion!$E$2:$E$377,MATCH($A65&amp;"|"&amp;$B65,Corrupcion!$H$2:$H$377,0))),"")</f>
        <v/>
      </c>
      <c r="G65" s="20">
        <f>IFERROR(IF(INDEX(Corrupcion!$F$2:$F$377,MATCH($A65&amp;"|"&amp;$B65,Corrupcion!$H$2:$H$377,0))="","",INDEX(Corrupcion!$F$2:$F$377,MATCH($A65&amp;"|"&amp;$B65,Corrupcion!$H$2:$H$377,0))),"")</f>
        <v/>
      </c>
      <c r="H65" s="17">
        <f>IFERROR(IF(INDEX(Corrupcion!$G$2:$G$377,MATCH($A65&amp;"|"&amp;$B65,Corrupcion!$H$2:$H$377,0))="","",INDEX(Corrupcion!$G$2:$G$377,MATCH($A65&amp;"|"&amp;$B65,Corrupcion!$H$2:$H$377,0))),"")</f>
        <v/>
      </c>
      <c r="I65" s="8">
        <f>IF(COUNTBLANK(C65:E65)+COUNTBLANK(F65)=0,1,0)</f>
        <v/>
      </c>
      <c r="J65" s="8">
        <f>IF(COUNTBLANK(C65:E65)+COUNTBLANK(G65)=0,1,0)</f>
        <v/>
      </c>
      <c r="K65" s="8">
        <f>IF(COUNTBLANK(C65:E65)+COUNTBLANK(H65)=0,1,0)</f>
        <v/>
      </c>
    </row>
    <row r="66">
      <c r="A66" s="8" t="inlineStr">
        <is>
          <t>Chile</t>
        </is>
      </c>
      <c r="B66" s="8" t="n">
        <v>1995</v>
      </c>
      <c r="C66" s="18">
        <f>IF(Categorias!C67="","",Categorias!C67/(N(Categorias!C67)+N(Categorias!D67)+N(Categorias!E67)))</f>
        <v/>
      </c>
      <c r="D66" s="18">
        <f>IF(Categorias!H67="","",Categorias!H67/(N(Categorias!H67)+N(Categorias!I67)))</f>
        <v/>
      </c>
      <c r="E66" s="17">
        <f>IFERROR(IF(INDEX(Gini!$C$2:$C$377,MATCH($A66&amp;"|"&amp;$B66,Gini!$E$2:$E$377,0))="","",INDEX(Gini!$C$2:$C$377,MATCH($A66&amp;"|"&amp;$B66,Gini!$E$2:$E$377,0))),"")</f>
        <v/>
      </c>
      <c r="F66" s="19">
        <f>IFERROR(IF(INDEX(Corrupcion!$E$2:$E$377,MATCH($A66&amp;"|"&amp;$B66,Corrupcion!$H$2:$H$377,0))="","",INDEX(Corrupcion!$E$2:$E$377,MATCH($A66&amp;"|"&amp;$B66,Corrupcion!$H$2:$H$377,0))),"")</f>
        <v/>
      </c>
      <c r="G66" s="20">
        <f>IFERROR(IF(INDEX(Corrupcion!$F$2:$F$377,MATCH($A66&amp;"|"&amp;$B66,Corrupcion!$H$2:$H$377,0))="","",INDEX(Corrupcion!$F$2:$F$377,MATCH($A66&amp;"|"&amp;$B66,Corrupcion!$H$2:$H$377,0))),"")</f>
        <v/>
      </c>
      <c r="H66" s="17">
        <f>IFERROR(IF(INDEX(Corrupcion!$G$2:$G$377,MATCH($A66&amp;"|"&amp;$B66,Corrupcion!$H$2:$H$377,0))="","",INDEX(Corrupcion!$G$2:$G$377,MATCH($A66&amp;"|"&amp;$B66,Corrupcion!$H$2:$H$377,0))),"")</f>
        <v/>
      </c>
      <c r="I66" s="8">
        <f>IF(COUNTBLANK(C66:E66)+COUNTBLANK(F66)=0,1,0)</f>
        <v/>
      </c>
      <c r="J66" s="8">
        <f>IF(COUNTBLANK(C66:E66)+COUNTBLANK(G66)=0,1,0)</f>
        <v/>
      </c>
      <c r="K66" s="8">
        <f>IF(COUNTBLANK(C66:E66)+COUNTBLANK(H66)=0,1,0)</f>
        <v/>
      </c>
    </row>
    <row r="67">
      <c r="A67" s="8" t="inlineStr">
        <is>
          <t>Chile</t>
        </is>
      </c>
      <c r="B67" s="8" t="n">
        <v>1996</v>
      </c>
      <c r="C67" s="18">
        <f>IF(Categorias!C68="","",Categorias!C68/(N(Categorias!C68)+N(Categorias!D68)+N(Categorias!E68)))</f>
        <v/>
      </c>
      <c r="D67" s="18">
        <f>IF(Categorias!H68="","",Categorias!H68/(N(Categorias!H68)+N(Categorias!I68)))</f>
        <v/>
      </c>
      <c r="E67" s="17">
        <f>IFERROR(IF(INDEX(Gini!$C$2:$C$377,MATCH($A67&amp;"|"&amp;$B67,Gini!$E$2:$E$377,0))="","",INDEX(Gini!$C$2:$C$377,MATCH($A67&amp;"|"&amp;$B67,Gini!$E$2:$E$377,0))),"")</f>
        <v/>
      </c>
      <c r="F67" s="19">
        <f>IFERROR(IF(INDEX(Corrupcion!$E$2:$E$377,MATCH($A67&amp;"|"&amp;$B67,Corrupcion!$H$2:$H$377,0))="","",INDEX(Corrupcion!$E$2:$E$377,MATCH($A67&amp;"|"&amp;$B67,Corrupcion!$H$2:$H$377,0))),"")</f>
        <v/>
      </c>
      <c r="G67" s="20">
        <f>IFERROR(IF(INDEX(Corrupcion!$F$2:$F$377,MATCH($A67&amp;"|"&amp;$B67,Corrupcion!$H$2:$H$377,0))="","",INDEX(Corrupcion!$F$2:$F$377,MATCH($A67&amp;"|"&amp;$B67,Corrupcion!$H$2:$H$377,0))),"")</f>
        <v/>
      </c>
      <c r="H67" s="17">
        <f>IFERROR(IF(INDEX(Corrupcion!$G$2:$G$377,MATCH($A67&amp;"|"&amp;$B67,Corrupcion!$H$2:$H$377,0))="","",INDEX(Corrupcion!$G$2:$G$377,MATCH($A67&amp;"|"&amp;$B67,Corrupcion!$H$2:$H$377,0))),"")</f>
        <v/>
      </c>
      <c r="I67" s="8">
        <f>IF(COUNTBLANK(C67:E67)+COUNTBLANK(F67)=0,1,0)</f>
        <v/>
      </c>
      <c r="J67" s="8">
        <f>IF(COUNTBLANK(C67:E67)+COUNTBLANK(G67)=0,1,0)</f>
        <v/>
      </c>
      <c r="K67" s="8">
        <f>IF(COUNTBLANK(C67:E67)+COUNTBLANK(H67)=0,1,0)</f>
        <v/>
      </c>
    </row>
    <row r="68">
      <c r="A68" s="8" t="inlineStr">
        <is>
          <t>Chile</t>
        </is>
      </c>
      <c r="B68" s="8" t="n">
        <v>1997</v>
      </c>
      <c r="C68" s="18">
        <f>IF(Categorias!C69="","",Categorias!C69/(N(Categorias!C69)+N(Categorias!D69)+N(Categorias!E69)))</f>
        <v/>
      </c>
      <c r="D68" s="18">
        <f>IF(Categorias!H69="","",Categorias!H69/(N(Categorias!H69)+N(Categorias!I69)))</f>
        <v/>
      </c>
      <c r="E68" s="17">
        <f>IFERROR(IF(INDEX(Gini!$C$2:$C$377,MATCH($A68&amp;"|"&amp;$B68,Gini!$E$2:$E$377,0))="","",INDEX(Gini!$C$2:$C$377,MATCH($A68&amp;"|"&amp;$B68,Gini!$E$2:$E$377,0))),"")</f>
        <v/>
      </c>
      <c r="F68" s="19">
        <f>IFERROR(IF(INDEX(Corrupcion!$E$2:$E$377,MATCH($A68&amp;"|"&amp;$B68,Corrupcion!$H$2:$H$377,0))="","",INDEX(Corrupcion!$E$2:$E$377,MATCH($A68&amp;"|"&amp;$B68,Corrupcion!$H$2:$H$377,0))),"")</f>
        <v/>
      </c>
      <c r="G68" s="20">
        <f>IFERROR(IF(INDEX(Corrupcion!$F$2:$F$377,MATCH($A68&amp;"|"&amp;$B68,Corrupcion!$H$2:$H$377,0))="","",INDEX(Corrupcion!$F$2:$F$377,MATCH($A68&amp;"|"&amp;$B68,Corrupcion!$H$2:$H$377,0))),"")</f>
        <v/>
      </c>
      <c r="H68" s="17">
        <f>IFERROR(IF(INDEX(Corrupcion!$G$2:$G$377,MATCH($A68&amp;"|"&amp;$B68,Corrupcion!$H$2:$H$377,0))="","",INDEX(Corrupcion!$G$2:$G$377,MATCH($A68&amp;"|"&amp;$B68,Corrupcion!$H$2:$H$377,0))),"")</f>
        <v/>
      </c>
      <c r="I68" s="8">
        <f>IF(COUNTBLANK(C68:E68)+COUNTBLANK(F68)=0,1,0)</f>
        <v/>
      </c>
      <c r="J68" s="8">
        <f>IF(COUNTBLANK(C68:E68)+COUNTBLANK(G68)=0,1,0)</f>
        <v/>
      </c>
      <c r="K68" s="8">
        <f>IF(COUNTBLANK(C68:E68)+COUNTBLANK(H68)=0,1,0)</f>
        <v/>
      </c>
    </row>
    <row r="69">
      <c r="A69" s="8" t="inlineStr">
        <is>
          <t>Chile</t>
        </is>
      </c>
      <c r="B69" s="8" t="n">
        <v>1998</v>
      </c>
      <c r="C69" s="18">
        <f>IF(Categorias!C70="","",Categorias!C70/(N(Categorias!C70)+N(Categorias!D70)+N(Categorias!E70)))</f>
        <v/>
      </c>
      <c r="D69" s="18">
        <f>IF(Categorias!H70="","",Categorias!H70/(N(Categorias!H70)+N(Categorias!I70)))</f>
        <v/>
      </c>
      <c r="E69" s="17">
        <f>IFERROR(IF(INDEX(Gini!$C$2:$C$377,MATCH($A69&amp;"|"&amp;$B69,Gini!$E$2:$E$377,0))="","",INDEX(Gini!$C$2:$C$377,MATCH($A69&amp;"|"&amp;$B69,Gini!$E$2:$E$377,0))),"")</f>
        <v/>
      </c>
      <c r="F69" s="19">
        <f>IFERROR(IF(INDEX(Corrupcion!$E$2:$E$377,MATCH($A69&amp;"|"&amp;$B69,Corrupcion!$H$2:$H$377,0))="","",INDEX(Corrupcion!$E$2:$E$377,MATCH($A69&amp;"|"&amp;$B69,Corrupcion!$H$2:$H$377,0))),"")</f>
        <v/>
      </c>
      <c r="G69" s="20">
        <f>IFERROR(IF(INDEX(Corrupcion!$F$2:$F$377,MATCH($A69&amp;"|"&amp;$B69,Corrupcion!$H$2:$H$377,0))="","",INDEX(Corrupcion!$F$2:$F$377,MATCH($A69&amp;"|"&amp;$B69,Corrupcion!$H$2:$H$377,0))),"")</f>
        <v/>
      </c>
      <c r="H69" s="17">
        <f>IFERROR(IF(INDEX(Corrupcion!$G$2:$G$377,MATCH($A69&amp;"|"&amp;$B69,Corrupcion!$H$2:$H$377,0))="","",INDEX(Corrupcion!$G$2:$G$377,MATCH($A69&amp;"|"&amp;$B69,Corrupcion!$H$2:$H$377,0))),"")</f>
        <v/>
      </c>
      <c r="I69" s="8">
        <f>IF(COUNTBLANK(C69:E69)+COUNTBLANK(F69)=0,1,0)</f>
        <v/>
      </c>
      <c r="J69" s="8">
        <f>IF(COUNTBLANK(C69:E69)+COUNTBLANK(G69)=0,1,0)</f>
        <v/>
      </c>
      <c r="K69" s="8">
        <f>IF(COUNTBLANK(C69:E69)+COUNTBLANK(H69)=0,1,0)</f>
        <v/>
      </c>
    </row>
    <row r="70">
      <c r="A70" s="8" t="inlineStr">
        <is>
          <t>Chile</t>
        </is>
      </c>
      <c r="B70" s="8" t="n">
        <v>2000</v>
      </c>
      <c r="C70" s="18">
        <f>IF(Categorias!C71="","",Categorias!C71/(N(Categorias!C71)+N(Categorias!D71)+N(Categorias!E71)))</f>
        <v/>
      </c>
      <c r="D70" s="18">
        <f>IF(Categorias!H71="","",Categorias!H71/(N(Categorias!H71)+N(Categorias!I71)))</f>
        <v/>
      </c>
      <c r="E70" s="17">
        <f>IFERROR(IF(INDEX(Gini!$C$2:$C$377,MATCH($A70&amp;"|"&amp;$B70,Gini!$E$2:$E$377,0))="","",INDEX(Gini!$C$2:$C$377,MATCH($A70&amp;"|"&amp;$B70,Gini!$E$2:$E$377,0))),"")</f>
        <v/>
      </c>
      <c r="F70" s="19">
        <f>IFERROR(IF(INDEX(Corrupcion!$E$2:$E$377,MATCH($A70&amp;"|"&amp;$B70,Corrupcion!$H$2:$H$377,0))="","",INDEX(Corrupcion!$E$2:$E$377,MATCH($A70&amp;"|"&amp;$B70,Corrupcion!$H$2:$H$377,0))),"")</f>
        <v/>
      </c>
      <c r="G70" s="20">
        <f>IFERROR(IF(INDEX(Corrupcion!$F$2:$F$377,MATCH($A70&amp;"|"&amp;$B70,Corrupcion!$H$2:$H$377,0))="","",INDEX(Corrupcion!$F$2:$F$377,MATCH($A70&amp;"|"&amp;$B70,Corrupcion!$H$2:$H$377,0))),"")</f>
        <v/>
      </c>
      <c r="H70" s="17">
        <f>IFERROR(IF(INDEX(Corrupcion!$G$2:$G$377,MATCH($A70&amp;"|"&amp;$B70,Corrupcion!$H$2:$H$377,0))="","",INDEX(Corrupcion!$G$2:$G$377,MATCH($A70&amp;"|"&amp;$B70,Corrupcion!$H$2:$H$377,0))),"")</f>
        <v/>
      </c>
      <c r="I70" s="8">
        <f>IF(COUNTBLANK(C70:E70)+COUNTBLANK(F70)=0,1,0)</f>
        <v/>
      </c>
      <c r="J70" s="8">
        <f>IF(COUNTBLANK(C70:E70)+COUNTBLANK(G70)=0,1,0)</f>
        <v/>
      </c>
      <c r="K70" s="8">
        <f>IF(COUNTBLANK(C70:E70)+COUNTBLANK(H70)=0,1,0)</f>
        <v/>
      </c>
    </row>
    <row r="71">
      <c r="A71" s="8" t="inlineStr">
        <is>
          <t>Chile</t>
        </is>
      </c>
      <c r="B71" s="8" t="n">
        <v>2001</v>
      </c>
      <c r="C71" s="18">
        <f>IF(Categorias!C72="","",Categorias!C72/(N(Categorias!C72)+N(Categorias!D72)+N(Categorias!E72)))</f>
        <v/>
      </c>
      <c r="D71" s="18">
        <f>IF(Categorias!H72="","",Categorias!H72/(N(Categorias!H72)+N(Categorias!I72)))</f>
        <v/>
      </c>
      <c r="E71" s="17">
        <f>IFERROR(IF(INDEX(Gini!$C$2:$C$377,MATCH($A71&amp;"|"&amp;$B71,Gini!$E$2:$E$377,0))="","",INDEX(Gini!$C$2:$C$377,MATCH($A71&amp;"|"&amp;$B71,Gini!$E$2:$E$377,0))),"")</f>
        <v/>
      </c>
      <c r="F71" s="19">
        <f>IFERROR(IF(INDEX(Corrupcion!$E$2:$E$377,MATCH($A71&amp;"|"&amp;$B71,Corrupcion!$H$2:$H$377,0))="","",INDEX(Corrupcion!$E$2:$E$377,MATCH($A71&amp;"|"&amp;$B71,Corrupcion!$H$2:$H$377,0))),"")</f>
        <v/>
      </c>
      <c r="G71" s="20">
        <f>IFERROR(IF(INDEX(Corrupcion!$F$2:$F$377,MATCH($A71&amp;"|"&amp;$B71,Corrupcion!$H$2:$H$377,0))="","",INDEX(Corrupcion!$F$2:$F$377,MATCH($A71&amp;"|"&amp;$B71,Corrupcion!$H$2:$H$377,0))),"")</f>
        <v/>
      </c>
      <c r="H71" s="17">
        <f>IFERROR(IF(INDEX(Corrupcion!$G$2:$G$377,MATCH($A71&amp;"|"&amp;$B71,Corrupcion!$H$2:$H$377,0))="","",INDEX(Corrupcion!$G$2:$G$377,MATCH($A71&amp;"|"&amp;$B71,Corrupcion!$H$2:$H$377,0))),"")</f>
        <v/>
      </c>
      <c r="I71" s="8">
        <f>IF(COUNTBLANK(C71:E71)+COUNTBLANK(F71)=0,1,0)</f>
        <v/>
      </c>
      <c r="J71" s="8">
        <f>IF(COUNTBLANK(C71:E71)+COUNTBLANK(G71)=0,1,0)</f>
        <v/>
      </c>
      <c r="K71" s="8">
        <f>IF(COUNTBLANK(C71:E71)+COUNTBLANK(H71)=0,1,0)</f>
        <v/>
      </c>
    </row>
    <row r="72">
      <c r="A72" s="8" t="inlineStr">
        <is>
          <t>Chile</t>
        </is>
      </c>
      <c r="B72" s="8" t="n">
        <v>2002</v>
      </c>
      <c r="C72" s="18">
        <f>IF(Categorias!C73="","",Categorias!C73/(N(Categorias!C73)+N(Categorias!D73)+N(Categorias!E73)))</f>
        <v/>
      </c>
      <c r="D72" s="18">
        <f>IF(Categorias!H73="","",Categorias!H73/(N(Categorias!H73)+N(Categorias!I73)))</f>
        <v/>
      </c>
      <c r="E72" s="17">
        <f>IFERROR(IF(INDEX(Gini!$C$2:$C$377,MATCH($A72&amp;"|"&amp;$B72,Gini!$E$2:$E$377,0))="","",INDEX(Gini!$C$2:$C$377,MATCH($A72&amp;"|"&amp;$B72,Gini!$E$2:$E$377,0))),"")</f>
        <v/>
      </c>
      <c r="F72" s="19">
        <f>IFERROR(IF(INDEX(Corrupcion!$E$2:$E$377,MATCH($A72&amp;"|"&amp;$B72,Corrupcion!$H$2:$H$377,0))="","",INDEX(Corrupcion!$E$2:$E$377,MATCH($A72&amp;"|"&amp;$B72,Corrupcion!$H$2:$H$377,0))),"")</f>
        <v/>
      </c>
      <c r="G72" s="20">
        <f>IFERROR(IF(INDEX(Corrupcion!$F$2:$F$377,MATCH($A72&amp;"|"&amp;$B72,Corrupcion!$H$2:$H$377,0))="","",INDEX(Corrupcion!$F$2:$F$377,MATCH($A72&amp;"|"&amp;$B72,Corrupcion!$H$2:$H$377,0))),"")</f>
        <v/>
      </c>
      <c r="H72" s="17">
        <f>IFERROR(IF(INDEX(Corrupcion!$G$2:$G$377,MATCH($A72&amp;"|"&amp;$B72,Corrupcion!$H$2:$H$377,0))="","",INDEX(Corrupcion!$G$2:$G$377,MATCH($A72&amp;"|"&amp;$B72,Corrupcion!$H$2:$H$377,0))),"")</f>
        <v/>
      </c>
      <c r="I72" s="8">
        <f>IF(COUNTBLANK(C72:E72)+COUNTBLANK(F72)=0,1,0)</f>
        <v/>
      </c>
      <c r="J72" s="8">
        <f>IF(COUNTBLANK(C72:E72)+COUNTBLANK(G72)=0,1,0)</f>
        <v/>
      </c>
      <c r="K72" s="8">
        <f>IF(COUNTBLANK(C72:E72)+COUNTBLANK(H72)=0,1,0)</f>
        <v/>
      </c>
    </row>
    <row r="73">
      <c r="A73" s="8" t="inlineStr">
        <is>
          <t>Chile</t>
        </is>
      </c>
      <c r="B73" s="8" t="n">
        <v>2003</v>
      </c>
      <c r="C73" s="18">
        <f>IF(Categorias!C74="","",Categorias!C74/(N(Categorias!C74)+N(Categorias!D74)+N(Categorias!E74)))</f>
        <v/>
      </c>
      <c r="D73" s="18">
        <f>IF(Categorias!H74="","",Categorias!H74/(N(Categorias!H74)+N(Categorias!I74)))</f>
        <v/>
      </c>
      <c r="E73" s="17">
        <f>IFERROR(IF(INDEX(Gini!$C$2:$C$377,MATCH($A73&amp;"|"&amp;$B73,Gini!$E$2:$E$377,0))="","",INDEX(Gini!$C$2:$C$377,MATCH($A73&amp;"|"&amp;$B73,Gini!$E$2:$E$377,0))),"")</f>
        <v/>
      </c>
      <c r="F73" s="19">
        <f>IFERROR(IF(INDEX(Corrupcion!$E$2:$E$377,MATCH($A73&amp;"|"&amp;$B73,Corrupcion!$H$2:$H$377,0))="","",INDEX(Corrupcion!$E$2:$E$377,MATCH($A73&amp;"|"&amp;$B73,Corrupcion!$H$2:$H$377,0))),"")</f>
        <v/>
      </c>
      <c r="G73" s="20">
        <f>IFERROR(IF(INDEX(Corrupcion!$F$2:$F$377,MATCH($A73&amp;"|"&amp;$B73,Corrupcion!$H$2:$H$377,0))="","",INDEX(Corrupcion!$F$2:$F$377,MATCH($A73&amp;"|"&amp;$B73,Corrupcion!$H$2:$H$377,0))),"")</f>
        <v/>
      </c>
      <c r="H73" s="17">
        <f>IFERROR(IF(INDEX(Corrupcion!$G$2:$G$377,MATCH($A73&amp;"|"&amp;$B73,Corrupcion!$H$2:$H$377,0))="","",INDEX(Corrupcion!$G$2:$G$377,MATCH($A73&amp;"|"&amp;$B73,Corrupcion!$H$2:$H$377,0))),"")</f>
        <v/>
      </c>
      <c r="I73" s="8">
        <f>IF(COUNTBLANK(C73:E73)+COUNTBLANK(F73)=0,1,0)</f>
        <v/>
      </c>
      <c r="J73" s="8">
        <f>IF(COUNTBLANK(C73:E73)+COUNTBLANK(G73)=0,1,0)</f>
        <v/>
      </c>
      <c r="K73" s="8">
        <f>IF(COUNTBLANK(C73:E73)+COUNTBLANK(H73)=0,1,0)</f>
        <v/>
      </c>
    </row>
    <row r="74">
      <c r="A74" s="8" t="inlineStr">
        <is>
          <t>Chile</t>
        </is>
      </c>
      <c r="B74" s="8" t="n">
        <v>2004</v>
      </c>
      <c r="C74" s="18">
        <f>IF(Categorias!C75="","",Categorias!C75/(N(Categorias!C75)+N(Categorias!D75)+N(Categorias!E75)))</f>
        <v/>
      </c>
      <c r="D74" s="18">
        <f>IF(Categorias!H75="","",Categorias!H75/(N(Categorias!H75)+N(Categorias!I75)))</f>
        <v/>
      </c>
      <c r="E74" s="17">
        <f>IFERROR(IF(INDEX(Gini!$C$2:$C$377,MATCH($A74&amp;"|"&amp;$B74,Gini!$E$2:$E$377,0))="","",INDEX(Gini!$C$2:$C$377,MATCH($A74&amp;"|"&amp;$B74,Gini!$E$2:$E$377,0))),"")</f>
        <v/>
      </c>
      <c r="F74" s="19">
        <f>IFERROR(IF(INDEX(Corrupcion!$E$2:$E$377,MATCH($A74&amp;"|"&amp;$B74,Corrupcion!$H$2:$H$377,0))="","",INDEX(Corrupcion!$E$2:$E$377,MATCH($A74&amp;"|"&amp;$B74,Corrupcion!$H$2:$H$377,0))),"")</f>
        <v/>
      </c>
      <c r="G74" s="20">
        <f>IFERROR(IF(INDEX(Corrupcion!$F$2:$F$377,MATCH($A74&amp;"|"&amp;$B74,Corrupcion!$H$2:$H$377,0))="","",INDEX(Corrupcion!$F$2:$F$377,MATCH($A74&amp;"|"&amp;$B74,Corrupcion!$H$2:$H$377,0))),"")</f>
        <v/>
      </c>
      <c r="H74" s="17">
        <f>IFERROR(IF(INDEX(Corrupcion!$G$2:$G$377,MATCH($A74&amp;"|"&amp;$B74,Corrupcion!$H$2:$H$377,0))="","",INDEX(Corrupcion!$G$2:$G$377,MATCH($A74&amp;"|"&amp;$B74,Corrupcion!$H$2:$H$377,0))),"")</f>
        <v/>
      </c>
      <c r="I74" s="8">
        <f>IF(COUNTBLANK(C74:E74)+COUNTBLANK(F74)=0,1,0)</f>
        <v/>
      </c>
      <c r="J74" s="8">
        <f>IF(COUNTBLANK(C74:E74)+COUNTBLANK(G74)=0,1,0)</f>
        <v/>
      </c>
      <c r="K74" s="8">
        <f>IF(COUNTBLANK(C74:E74)+COUNTBLANK(H74)=0,1,0)</f>
        <v/>
      </c>
    </row>
    <row r="75">
      <c r="A75" s="8" t="inlineStr">
        <is>
          <t>Chile</t>
        </is>
      </c>
      <c r="B75" s="8" t="n">
        <v>2005</v>
      </c>
      <c r="C75" s="18">
        <f>IF(Categorias!C76="","",Categorias!C76/(N(Categorias!C76)+N(Categorias!D76)+N(Categorias!E76)))</f>
        <v/>
      </c>
      <c r="D75" s="18">
        <f>IF(Categorias!H76="","",Categorias!H76/(N(Categorias!H76)+N(Categorias!I76)))</f>
        <v/>
      </c>
      <c r="E75" s="17">
        <f>IFERROR(IF(INDEX(Gini!$C$2:$C$377,MATCH($A75&amp;"|"&amp;$B75,Gini!$E$2:$E$377,0))="","",INDEX(Gini!$C$2:$C$377,MATCH($A75&amp;"|"&amp;$B75,Gini!$E$2:$E$377,0))),"")</f>
        <v/>
      </c>
      <c r="F75" s="19">
        <f>IFERROR(IF(INDEX(Corrupcion!$E$2:$E$377,MATCH($A75&amp;"|"&amp;$B75,Corrupcion!$H$2:$H$377,0))="","",INDEX(Corrupcion!$E$2:$E$377,MATCH($A75&amp;"|"&amp;$B75,Corrupcion!$H$2:$H$377,0))),"")</f>
        <v/>
      </c>
      <c r="G75" s="20">
        <f>IFERROR(IF(INDEX(Corrupcion!$F$2:$F$377,MATCH($A75&amp;"|"&amp;$B75,Corrupcion!$H$2:$H$377,0))="","",INDEX(Corrupcion!$F$2:$F$377,MATCH($A75&amp;"|"&amp;$B75,Corrupcion!$H$2:$H$377,0))),"")</f>
        <v/>
      </c>
      <c r="H75" s="17">
        <f>IFERROR(IF(INDEX(Corrupcion!$G$2:$G$377,MATCH($A75&amp;"|"&amp;$B75,Corrupcion!$H$2:$H$377,0))="","",INDEX(Corrupcion!$G$2:$G$377,MATCH($A75&amp;"|"&amp;$B75,Corrupcion!$H$2:$H$377,0))),"")</f>
        <v/>
      </c>
      <c r="I75" s="8">
        <f>IF(COUNTBLANK(C75:E75)+COUNTBLANK(F75)=0,1,0)</f>
        <v/>
      </c>
      <c r="J75" s="8">
        <f>IF(COUNTBLANK(C75:E75)+COUNTBLANK(G75)=0,1,0)</f>
        <v/>
      </c>
      <c r="K75" s="8">
        <f>IF(COUNTBLANK(C75:E75)+COUNTBLANK(H75)=0,1,0)</f>
        <v/>
      </c>
    </row>
    <row r="76">
      <c r="A76" s="8" t="inlineStr">
        <is>
          <t>Chile</t>
        </is>
      </c>
      <c r="B76" s="8" t="n">
        <v>2006</v>
      </c>
      <c r="C76" s="18">
        <f>IF(Categorias!C77="","",Categorias!C77/(N(Categorias!C77)+N(Categorias!D77)+N(Categorias!E77)))</f>
        <v/>
      </c>
      <c r="D76" s="18">
        <f>IF(Categorias!H77="","",Categorias!H77/(N(Categorias!H77)+N(Categorias!I77)))</f>
        <v/>
      </c>
      <c r="E76" s="17">
        <f>IFERROR(IF(INDEX(Gini!$C$2:$C$377,MATCH($A76&amp;"|"&amp;$B76,Gini!$E$2:$E$377,0))="","",INDEX(Gini!$C$2:$C$377,MATCH($A76&amp;"|"&amp;$B76,Gini!$E$2:$E$377,0))),"")</f>
        <v/>
      </c>
      <c r="F76" s="19">
        <f>IFERROR(IF(INDEX(Corrupcion!$E$2:$E$377,MATCH($A76&amp;"|"&amp;$B76,Corrupcion!$H$2:$H$377,0))="","",INDEX(Corrupcion!$E$2:$E$377,MATCH($A76&amp;"|"&amp;$B76,Corrupcion!$H$2:$H$377,0))),"")</f>
        <v/>
      </c>
      <c r="G76" s="20">
        <f>IFERROR(IF(INDEX(Corrupcion!$F$2:$F$377,MATCH($A76&amp;"|"&amp;$B76,Corrupcion!$H$2:$H$377,0))="","",INDEX(Corrupcion!$F$2:$F$377,MATCH($A76&amp;"|"&amp;$B76,Corrupcion!$H$2:$H$377,0))),"")</f>
        <v/>
      </c>
      <c r="H76" s="17">
        <f>IFERROR(IF(INDEX(Corrupcion!$G$2:$G$377,MATCH($A76&amp;"|"&amp;$B76,Corrupcion!$H$2:$H$377,0))="","",INDEX(Corrupcion!$G$2:$G$377,MATCH($A76&amp;"|"&amp;$B76,Corrupcion!$H$2:$H$377,0))),"")</f>
        <v/>
      </c>
      <c r="I76" s="8">
        <f>IF(COUNTBLANK(C76:E76)+COUNTBLANK(F76)=0,1,0)</f>
        <v/>
      </c>
      <c r="J76" s="8">
        <f>IF(COUNTBLANK(C76:E76)+COUNTBLANK(G76)=0,1,0)</f>
        <v/>
      </c>
      <c r="K76" s="8">
        <f>IF(COUNTBLANK(C76:E76)+COUNTBLANK(H76)=0,1,0)</f>
        <v/>
      </c>
    </row>
    <row r="77">
      <c r="A77" s="8" t="inlineStr">
        <is>
          <t>Chile</t>
        </is>
      </c>
      <c r="B77" s="8" t="n">
        <v>2007</v>
      </c>
      <c r="C77" s="18">
        <f>IF(Categorias!C78="","",Categorias!C78/(N(Categorias!C78)+N(Categorias!D78)+N(Categorias!E78)))</f>
        <v/>
      </c>
      <c r="D77" s="18">
        <f>IF(Categorias!H78="","",Categorias!H78/(N(Categorias!H78)+N(Categorias!I78)))</f>
        <v/>
      </c>
      <c r="E77" s="17">
        <f>IFERROR(IF(INDEX(Gini!$C$2:$C$377,MATCH($A77&amp;"|"&amp;$B77,Gini!$E$2:$E$377,0))="","",INDEX(Gini!$C$2:$C$377,MATCH($A77&amp;"|"&amp;$B77,Gini!$E$2:$E$377,0))),"")</f>
        <v/>
      </c>
      <c r="F77" s="19">
        <f>IFERROR(IF(INDEX(Corrupcion!$E$2:$E$377,MATCH($A77&amp;"|"&amp;$B77,Corrupcion!$H$2:$H$377,0))="","",INDEX(Corrupcion!$E$2:$E$377,MATCH($A77&amp;"|"&amp;$B77,Corrupcion!$H$2:$H$377,0))),"")</f>
        <v/>
      </c>
      <c r="G77" s="20">
        <f>IFERROR(IF(INDEX(Corrupcion!$F$2:$F$377,MATCH($A77&amp;"|"&amp;$B77,Corrupcion!$H$2:$H$377,0))="","",INDEX(Corrupcion!$F$2:$F$377,MATCH($A77&amp;"|"&amp;$B77,Corrupcion!$H$2:$H$377,0))),"")</f>
        <v/>
      </c>
      <c r="H77" s="17">
        <f>IFERROR(IF(INDEX(Corrupcion!$G$2:$G$377,MATCH($A77&amp;"|"&amp;$B77,Corrupcion!$H$2:$H$377,0))="","",INDEX(Corrupcion!$G$2:$G$377,MATCH($A77&amp;"|"&amp;$B77,Corrupcion!$H$2:$H$377,0))),"")</f>
        <v/>
      </c>
      <c r="I77" s="8">
        <f>IF(COUNTBLANK(C77:E77)+COUNTBLANK(F77)=0,1,0)</f>
        <v/>
      </c>
      <c r="J77" s="8">
        <f>IF(COUNTBLANK(C77:E77)+COUNTBLANK(G77)=0,1,0)</f>
        <v/>
      </c>
      <c r="K77" s="8">
        <f>IF(COUNTBLANK(C77:E77)+COUNTBLANK(H77)=0,1,0)</f>
        <v/>
      </c>
    </row>
    <row r="78">
      <c r="A78" s="8" t="inlineStr">
        <is>
          <t>Chile</t>
        </is>
      </c>
      <c r="B78" s="8" t="n">
        <v>2008</v>
      </c>
      <c r="C78" s="18">
        <f>IF(Categorias!C79="","",Categorias!C79/(N(Categorias!C79)+N(Categorias!D79)+N(Categorias!E79)))</f>
        <v/>
      </c>
      <c r="D78" s="18">
        <f>IF(Categorias!H79="","",Categorias!H79/(N(Categorias!H79)+N(Categorias!I79)))</f>
        <v/>
      </c>
      <c r="E78" s="17">
        <f>IFERROR(IF(INDEX(Gini!$C$2:$C$377,MATCH($A78&amp;"|"&amp;$B78,Gini!$E$2:$E$377,0))="","",INDEX(Gini!$C$2:$C$377,MATCH($A78&amp;"|"&amp;$B78,Gini!$E$2:$E$377,0))),"")</f>
        <v/>
      </c>
      <c r="F78" s="19">
        <f>IFERROR(IF(INDEX(Corrupcion!$E$2:$E$377,MATCH($A78&amp;"|"&amp;$B78,Corrupcion!$H$2:$H$377,0))="","",INDEX(Corrupcion!$E$2:$E$377,MATCH($A78&amp;"|"&amp;$B78,Corrupcion!$H$2:$H$377,0))),"")</f>
        <v/>
      </c>
      <c r="G78" s="20">
        <f>IFERROR(IF(INDEX(Corrupcion!$F$2:$F$377,MATCH($A78&amp;"|"&amp;$B78,Corrupcion!$H$2:$H$377,0))="","",INDEX(Corrupcion!$F$2:$F$377,MATCH($A78&amp;"|"&amp;$B78,Corrupcion!$H$2:$H$377,0))),"")</f>
        <v/>
      </c>
      <c r="H78" s="17">
        <f>IFERROR(IF(INDEX(Corrupcion!$G$2:$G$377,MATCH($A78&amp;"|"&amp;$B78,Corrupcion!$H$2:$H$377,0))="","",INDEX(Corrupcion!$G$2:$G$377,MATCH($A78&amp;"|"&amp;$B78,Corrupcion!$H$2:$H$377,0))),"")</f>
        <v/>
      </c>
      <c r="I78" s="8">
        <f>IF(COUNTBLANK(C78:E78)+COUNTBLANK(F78)=0,1,0)</f>
        <v/>
      </c>
      <c r="J78" s="8">
        <f>IF(COUNTBLANK(C78:E78)+COUNTBLANK(G78)=0,1,0)</f>
        <v/>
      </c>
      <c r="K78" s="8">
        <f>IF(COUNTBLANK(C78:E78)+COUNTBLANK(H78)=0,1,0)</f>
        <v/>
      </c>
    </row>
    <row r="79">
      <c r="A79" s="8" t="inlineStr">
        <is>
          <t>Chile</t>
        </is>
      </c>
      <c r="B79" s="8" t="n">
        <v>2009</v>
      </c>
      <c r="C79" s="18">
        <f>IF(Categorias!C80="","",Categorias!C80/(N(Categorias!C80)+N(Categorias!D80)+N(Categorias!E80)))</f>
        <v/>
      </c>
      <c r="D79" s="18">
        <f>IF(Categorias!H80="","",Categorias!H80/(N(Categorias!H80)+N(Categorias!I80)))</f>
        <v/>
      </c>
      <c r="E79" s="17">
        <f>IFERROR(IF(INDEX(Gini!$C$2:$C$377,MATCH($A79&amp;"|"&amp;$B79,Gini!$E$2:$E$377,0))="","",INDEX(Gini!$C$2:$C$377,MATCH($A79&amp;"|"&amp;$B79,Gini!$E$2:$E$377,0))),"")</f>
        <v/>
      </c>
      <c r="F79" s="19">
        <f>IFERROR(IF(INDEX(Corrupcion!$E$2:$E$377,MATCH($A79&amp;"|"&amp;$B79,Corrupcion!$H$2:$H$377,0))="","",INDEX(Corrupcion!$E$2:$E$377,MATCH($A79&amp;"|"&amp;$B79,Corrupcion!$H$2:$H$377,0))),"")</f>
        <v/>
      </c>
      <c r="G79" s="20">
        <f>IFERROR(IF(INDEX(Corrupcion!$F$2:$F$377,MATCH($A79&amp;"|"&amp;$B79,Corrupcion!$H$2:$H$377,0))="","",INDEX(Corrupcion!$F$2:$F$377,MATCH($A79&amp;"|"&amp;$B79,Corrupcion!$H$2:$H$377,0))),"")</f>
        <v/>
      </c>
      <c r="H79" s="17">
        <f>IFERROR(IF(INDEX(Corrupcion!$G$2:$G$377,MATCH($A79&amp;"|"&amp;$B79,Corrupcion!$H$2:$H$377,0))="","",INDEX(Corrupcion!$G$2:$G$377,MATCH($A79&amp;"|"&amp;$B79,Corrupcion!$H$2:$H$377,0))),"")</f>
        <v/>
      </c>
      <c r="I79" s="8">
        <f>IF(COUNTBLANK(C79:E79)+COUNTBLANK(F79)=0,1,0)</f>
        <v/>
      </c>
      <c r="J79" s="8">
        <f>IF(COUNTBLANK(C79:E79)+COUNTBLANK(G79)=0,1,0)</f>
        <v/>
      </c>
      <c r="K79" s="8">
        <f>IF(COUNTBLANK(C79:E79)+COUNTBLANK(H79)=0,1,0)</f>
        <v/>
      </c>
    </row>
    <row r="80">
      <c r="A80" s="8" t="inlineStr">
        <is>
          <t>Chile</t>
        </is>
      </c>
      <c r="B80" s="8" t="n">
        <v>2010</v>
      </c>
      <c r="C80" s="18">
        <f>IF(Categorias!C81="","",Categorias!C81/(N(Categorias!C81)+N(Categorias!D81)+N(Categorias!E81)))</f>
        <v/>
      </c>
      <c r="D80" s="18">
        <f>IF(Categorias!H81="","",Categorias!H81/(N(Categorias!H81)+N(Categorias!I81)))</f>
        <v/>
      </c>
      <c r="E80" s="17">
        <f>IFERROR(IF(INDEX(Gini!$C$2:$C$377,MATCH($A80&amp;"|"&amp;$B80,Gini!$E$2:$E$377,0))="","",INDEX(Gini!$C$2:$C$377,MATCH($A80&amp;"|"&amp;$B80,Gini!$E$2:$E$377,0))),"")</f>
        <v/>
      </c>
      <c r="F80" s="19">
        <f>IFERROR(IF(INDEX(Corrupcion!$E$2:$E$377,MATCH($A80&amp;"|"&amp;$B80,Corrupcion!$H$2:$H$377,0))="","",INDEX(Corrupcion!$E$2:$E$377,MATCH($A80&amp;"|"&amp;$B80,Corrupcion!$H$2:$H$377,0))),"")</f>
        <v/>
      </c>
      <c r="G80" s="20">
        <f>IFERROR(IF(INDEX(Corrupcion!$F$2:$F$377,MATCH($A80&amp;"|"&amp;$B80,Corrupcion!$H$2:$H$377,0))="","",INDEX(Corrupcion!$F$2:$F$377,MATCH($A80&amp;"|"&amp;$B80,Corrupcion!$H$2:$H$377,0))),"")</f>
        <v/>
      </c>
      <c r="H80" s="17">
        <f>IFERROR(IF(INDEX(Corrupcion!$G$2:$G$377,MATCH($A80&amp;"|"&amp;$B80,Corrupcion!$H$2:$H$377,0))="","",INDEX(Corrupcion!$G$2:$G$377,MATCH($A80&amp;"|"&amp;$B80,Corrupcion!$H$2:$H$377,0))),"")</f>
        <v/>
      </c>
      <c r="I80" s="8">
        <f>IF(COUNTBLANK(C80:E80)+COUNTBLANK(F80)=0,1,0)</f>
        <v/>
      </c>
      <c r="J80" s="8">
        <f>IF(COUNTBLANK(C80:E80)+COUNTBLANK(G80)=0,1,0)</f>
        <v/>
      </c>
      <c r="K80" s="8">
        <f>IF(COUNTBLANK(C80:E80)+COUNTBLANK(H80)=0,1,0)</f>
        <v/>
      </c>
    </row>
    <row r="81">
      <c r="A81" s="8" t="inlineStr">
        <is>
          <t>Chile</t>
        </is>
      </c>
      <c r="B81" s="8" t="n">
        <v>2011</v>
      </c>
      <c r="C81" s="18">
        <f>IF(Categorias!C82="","",Categorias!C82/(N(Categorias!C82)+N(Categorias!D82)+N(Categorias!E82)))</f>
        <v/>
      </c>
      <c r="D81" s="18">
        <f>IF(Categorias!H82="","",Categorias!H82/(N(Categorias!H82)+N(Categorias!I82)))</f>
        <v/>
      </c>
      <c r="E81" s="17">
        <f>IFERROR(IF(INDEX(Gini!$C$2:$C$377,MATCH($A81&amp;"|"&amp;$B81,Gini!$E$2:$E$377,0))="","",INDEX(Gini!$C$2:$C$377,MATCH($A81&amp;"|"&amp;$B81,Gini!$E$2:$E$377,0))),"")</f>
        <v/>
      </c>
      <c r="F81" s="19">
        <f>IFERROR(IF(INDEX(Corrupcion!$E$2:$E$377,MATCH($A81&amp;"|"&amp;$B81,Corrupcion!$H$2:$H$377,0))="","",INDEX(Corrupcion!$E$2:$E$377,MATCH($A81&amp;"|"&amp;$B81,Corrupcion!$H$2:$H$377,0))),"")</f>
        <v/>
      </c>
      <c r="G81" s="20">
        <f>IFERROR(IF(INDEX(Corrupcion!$F$2:$F$377,MATCH($A81&amp;"|"&amp;$B81,Corrupcion!$H$2:$H$377,0))="","",INDEX(Corrupcion!$F$2:$F$377,MATCH($A81&amp;"|"&amp;$B81,Corrupcion!$H$2:$H$377,0))),"")</f>
        <v/>
      </c>
      <c r="H81" s="17">
        <f>IFERROR(IF(INDEX(Corrupcion!$G$2:$G$377,MATCH($A81&amp;"|"&amp;$B81,Corrupcion!$H$2:$H$377,0))="","",INDEX(Corrupcion!$G$2:$G$377,MATCH($A81&amp;"|"&amp;$B81,Corrupcion!$H$2:$H$377,0))),"")</f>
        <v/>
      </c>
      <c r="I81" s="8">
        <f>IF(COUNTBLANK(C81:E81)+COUNTBLANK(F81)=0,1,0)</f>
        <v/>
      </c>
      <c r="J81" s="8">
        <f>IF(COUNTBLANK(C81:E81)+COUNTBLANK(G81)=0,1,0)</f>
        <v/>
      </c>
      <c r="K81" s="8">
        <f>IF(COUNTBLANK(C81:E81)+COUNTBLANK(H81)=0,1,0)</f>
        <v/>
      </c>
    </row>
    <row r="82">
      <c r="A82" s="8" t="inlineStr">
        <is>
          <t>Chile</t>
        </is>
      </c>
      <c r="B82" s="8" t="n">
        <v>2016</v>
      </c>
      <c r="C82" s="18">
        <f>IF(Categorias!C83="","",Categorias!C83/(N(Categorias!C83)+N(Categorias!D83)+N(Categorias!E83)))</f>
        <v/>
      </c>
      <c r="D82" s="18">
        <f>IF(Categorias!H83="","",Categorias!H83/(N(Categorias!H83)+N(Categorias!I83)))</f>
        <v/>
      </c>
      <c r="E82" s="17">
        <f>IFERROR(IF(INDEX(Gini!$C$2:$C$377,MATCH($A82&amp;"|"&amp;$B82,Gini!$E$2:$E$377,0))="","",INDEX(Gini!$C$2:$C$377,MATCH($A82&amp;"|"&amp;$B82,Gini!$E$2:$E$377,0))),"")</f>
        <v/>
      </c>
      <c r="F82" s="19">
        <f>IFERROR(IF(INDEX(Corrupcion!$E$2:$E$377,MATCH($A82&amp;"|"&amp;$B82,Corrupcion!$H$2:$H$377,0))="","",INDEX(Corrupcion!$E$2:$E$377,MATCH($A82&amp;"|"&amp;$B82,Corrupcion!$H$2:$H$377,0))),"")</f>
        <v/>
      </c>
      <c r="G82" s="20">
        <f>IFERROR(IF(INDEX(Corrupcion!$F$2:$F$377,MATCH($A82&amp;"|"&amp;$B82,Corrupcion!$H$2:$H$377,0))="","",INDEX(Corrupcion!$F$2:$F$377,MATCH($A82&amp;"|"&amp;$B82,Corrupcion!$H$2:$H$377,0))),"")</f>
        <v/>
      </c>
      <c r="H82" s="17">
        <f>IFERROR(IF(INDEX(Corrupcion!$G$2:$G$377,MATCH($A82&amp;"|"&amp;$B82,Corrupcion!$H$2:$H$377,0))="","",INDEX(Corrupcion!$G$2:$G$377,MATCH($A82&amp;"|"&amp;$B82,Corrupcion!$H$2:$H$377,0))),"")</f>
        <v/>
      </c>
      <c r="I82" s="8">
        <f>IF(COUNTBLANK(C82:E82)+COUNTBLANK(F82)=0,1,0)</f>
        <v/>
      </c>
      <c r="J82" s="8">
        <f>IF(COUNTBLANK(C82:E82)+COUNTBLANK(G82)=0,1,0)</f>
        <v/>
      </c>
      <c r="K82" s="8">
        <f>IF(COUNTBLANK(C82:E82)+COUNTBLANK(H82)=0,1,0)</f>
        <v/>
      </c>
    </row>
    <row r="83">
      <c r="A83" s="8" t="inlineStr">
        <is>
          <t>Chile</t>
        </is>
      </c>
      <c r="B83" s="8" t="n">
        <v>2017</v>
      </c>
      <c r="C83" s="18">
        <f>IF(Categorias!C84="","",Categorias!C84/(N(Categorias!C84)+N(Categorias!D84)+N(Categorias!E84)))</f>
        <v/>
      </c>
      <c r="D83" s="18">
        <f>IF(Categorias!H84="","",Categorias!H84/(N(Categorias!H84)+N(Categorias!I84)))</f>
        <v/>
      </c>
      <c r="E83" s="17">
        <f>IFERROR(IF(INDEX(Gini!$C$2:$C$377,MATCH($A83&amp;"|"&amp;$B83,Gini!$E$2:$E$377,0))="","",INDEX(Gini!$C$2:$C$377,MATCH($A83&amp;"|"&amp;$B83,Gini!$E$2:$E$377,0))),"")</f>
        <v/>
      </c>
      <c r="F83" s="19">
        <f>IFERROR(IF(INDEX(Corrupcion!$E$2:$E$377,MATCH($A83&amp;"|"&amp;$B83,Corrupcion!$H$2:$H$377,0))="","",INDEX(Corrupcion!$E$2:$E$377,MATCH($A83&amp;"|"&amp;$B83,Corrupcion!$H$2:$H$377,0))),"")</f>
        <v/>
      </c>
      <c r="G83" s="20">
        <f>IFERROR(IF(INDEX(Corrupcion!$F$2:$F$377,MATCH($A83&amp;"|"&amp;$B83,Corrupcion!$H$2:$H$377,0))="","",INDEX(Corrupcion!$F$2:$F$377,MATCH($A83&amp;"|"&amp;$B83,Corrupcion!$H$2:$H$377,0))),"")</f>
        <v/>
      </c>
      <c r="H83" s="17">
        <f>IFERROR(IF(INDEX(Corrupcion!$G$2:$G$377,MATCH($A83&amp;"|"&amp;$B83,Corrupcion!$H$2:$H$377,0))="","",INDEX(Corrupcion!$G$2:$G$377,MATCH($A83&amp;"|"&amp;$B83,Corrupcion!$H$2:$H$377,0))),"")</f>
        <v/>
      </c>
      <c r="I83" s="8">
        <f>IF(COUNTBLANK(C83:E83)+COUNTBLANK(F83)=0,1,0)</f>
        <v/>
      </c>
      <c r="J83" s="8">
        <f>IF(COUNTBLANK(C83:E83)+COUNTBLANK(G83)=0,1,0)</f>
        <v/>
      </c>
      <c r="K83" s="8">
        <f>IF(COUNTBLANK(C83:E83)+COUNTBLANK(H83)=0,1,0)</f>
        <v/>
      </c>
    </row>
    <row r="84">
      <c r="A84" s="8" t="inlineStr">
        <is>
          <t>Chile</t>
        </is>
      </c>
      <c r="B84" s="8" t="n">
        <v>2018</v>
      </c>
      <c r="C84" s="18">
        <f>IF(Categorias!C85="","",Categorias!C85/(N(Categorias!C85)+N(Categorias!D85)+N(Categorias!E85)))</f>
        <v/>
      </c>
      <c r="D84" s="18">
        <f>IF(Categorias!H85="","",Categorias!H85/(N(Categorias!H85)+N(Categorias!I85)))</f>
        <v/>
      </c>
      <c r="E84" s="17">
        <f>IFERROR(IF(INDEX(Gini!$C$2:$C$377,MATCH($A84&amp;"|"&amp;$B84,Gini!$E$2:$E$377,0))="","",INDEX(Gini!$C$2:$C$377,MATCH($A84&amp;"|"&amp;$B84,Gini!$E$2:$E$377,0))),"")</f>
        <v/>
      </c>
      <c r="F84" s="19">
        <f>IFERROR(IF(INDEX(Corrupcion!$E$2:$E$377,MATCH($A84&amp;"|"&amp;$B84,Corrupcion!$H$2:$H$377,0))="","",INDEX(Corrupcion!$E$2:$E$377,MATCH($A84&amp;"|"&amp;$B84,Corrupcion!$H$2:$H$377,0))),"")</f>
        <v/>
      </c>
      <c r="G84" s="20">
        <f>IFERROR(IF(INDEX(Corrupcion!$F$2:$F$377,MATCH($A84&amp;"|"&amp;$B84,Corrupcion!$H$2:$H$377,0))="","",INDEX(Corrupcion!$F$2:$F$377,MATCH($A84&amp;"|"&amp;$B84,Corrupcion!$H$2:$H$377,0))),"")</f>
        <v/>
      </c>
      <c r="H84" s="17">
        <f>IFERROR(IF(INDEX(Corrupcion!$G$2:$G$377,MATCH($A84&amp;"|"&amp;$B84,Corrupcion!$H$2:$H$377,0))="","",INDEX(Corrupcion!$G$2:$G$377,MATCH($A84&amp;"|"&amp;$B84,Corrupcion!$H$2:$H$377,0))),"")</f>
        <v/>
      </c>
      <c r="I84" s="8">
        <f>IF(COUNTBLANK(C84:E84)+COUNTBLANK(F84)=0,1,0)</f>
        <v/>
      </c>
      <c r="J84" s="8">
        <f>IF(COUNTBLANK(C84:E84)+COUNTBLANK(G84)=0,1,0)</f>
        <v/>
      </c>
      <c r="K84" s="8">
        <f>IF(COUNTBLANK(C84:E84)+COUNTBLANK(H84)=0,1,0)</f>
        <v/>
      </c>
    </row>
    <row r="85">
      <c r="A85" s="8" t="inlineStr">
        <is>
          <t>Chile</t>
        </is>
      </c>
      <c r="B85" s="8" t="n">
        <v>2020</v>
      </c>
      <c r="C85" s="18">
        <f>IF(Categorias!C86="","",Categorias!C86/(N(Categorias!C86)+N(Categorias!D86)+N(Categorias!E86)))</f>
        <v/>
      </c>
      <c r="D85" s="18">
        <f>IF(Categorias!H86="","",Categorias!H86/(N(Categorias!H86)+N(Categorias!I86)))</f>
        <v/>
      </c>
      <c r="E85" s="17">
        <f>IFERROR(IF(INDEX(Gini!$C$2:$C$377,MATCH($A85&amp;"|"&amp;$B85,Gini!$E$2:$E$377,0))="","",INDEX(Gini!$C$2:$C$377,MATCH($A85&amp;"|"&amp;$B85,Gini!$E$2:$E$377,0))),"")</f>
        <v/>
      </c>
      <c r="F85" s="19">
        <f>IFERROR(IF(INDEX(Corrupcion!$E$2:$E$377,MATCH($A85&amp;"|"&amp;$B85,Corrupcion!$H$2:$H$377,0))="","",INDEX(Corrupcion!$E$2:$E$377,MATCH($A85&amp;"|"&amp;$B85,Corrupcion!$H$2:$H$377,0))),"")</f>
        <v/>
      </c>
      <c r="G85" s="20">
        <f>IFERROR(IF(INDEX(Corrupcion!$F$2:$F$377,MATCH($A85&amp;"|"&amp;$B85,Corrupcion!$H$2:$H$377,0))="","",INDEX(Corrupcion!$F$2:$F$377,MATCH($A85&amp;"|"&amp;$B85,Corrupcion!$H$2:$H$377,0))),"")</f>
        <v/>
      </c>
      <c r="H85" s="17">
        <f>IFERROR(IF(INDEX(Corrupcion!$G$2:$G$377,MATCH($A85&amp;"|"&amp;$B85,Corrupcion!$H$2:$H$377,0))="","",INDEX(Corrupcion!$G$2:$G$377,MATCH($A85&amp;"|"&amp;$B85,Corrupcion!$H$2:$H$377,0))),"")</f>
        <v/>
      </c>
      <c r="I85" s="8">
        <f>IF(COUNTBLANK(C85:E85)+COUNTBLANK(F85)=0,1,0)</f>
        <v/>
      </c>
      <c r="J85" s="8">
        <f>IF(COUNTBLANK(C85:E85)+COUNTBLANK(G85)=0,1,0)</f>
        <v/>
      </c>
      <c r="K85" s="8">
        <f>IF(COUNTBLANK(C85:E85)+COUNTBLANK(H85)=0,1,0)</f>
        <v/>
      </c>
    </row>
    <row r="86">
      <c r="A86" s="8" t="inlineStr">
        <is>
          <t>Chile</t>
        </is>
      </c>
      <c r="B86" s="8" t="n">
        <v>2024</v>
      </c>
      <c r="C86" s="18">
        <f>IF(Categorias!C87="","",Categorias!C87/(N(Categorias!C87)+N(Categorias!D87)+N(Categorias!E87)))</f>
        <v/>
      </c>
      <c r="D86" s="18">
        <f>IF(Categorias!H87="","",Categorias!H87/(N(Categorias!H87)+N(Categorias!I87)))</f>
        <v/>
      </c>
      <c r="E86" s="17">
        <f>IFERROR(IF(INDEX(Gini!$C$2:$C$377,MATCH($A86&amp;"|"&amp;$B86,Gini!$E$2:$E$377,0))="","",INDEX(Gini!$C$2:$C$377,MATCH($A86&amp;"|"&amp;$B86,Gini!$E$2:$E$377,0))),"")</f>
        <v/>
      </c>
      <c r="F86" s="19">
        <f>IFERROR(IF(INDEX(Corrupcion!$E$2:$E$377,MATCH($A86&amp;"|"&amp;$B86,Corrupcion!$H$2:$H$377,0))="","",INDEX(Corrupcion!$E$2:$E$377,MATCH($A86&amp;"|"&amp;$B86,Corrupcion!$H$2:$H$377,0))),"")</f>
        <v/>
      </c>
      <c r="G86" s="20">
        <f>IFERROR(IF(INDEX(Corrupcion!$F$2:$F$377,MATCH($A86&amp;"|"&amp;$B86,Corrupcion!$H$2:$H$377,0))="","",INDEX(Corrupcion!$F$2:$F$377,MATCH($A86&amp;"|"&amp;$B86,Corrupcion!$H$2:$H$377,0))),"")</f>
        <v/>
      </c>
      <c r="H86" s="17">
        <f>IFERROR(IF(INDEX(Corrupcion!$G$2:$G$377,MATCH($A86&amp;"|"&amp;$B86,Corrupcion!$H$2:$H$377,0))="","",INDEX(Corrupcion!$G$2:$G$377,MATCH($A86&amp;"|"&amp;$B86,Corrupcion!$H$2:$H$377,0))),"")</f>
        <v/>
      </c>
      <c r="I86" s="8">
        <f>IF(COUNTBLANK(C86:E86)+COUNTBLANK(F86)=0,1,0)</f>
        <v/>
      </c>
      <c r="J86" s="8">
        <f>IF(COUNTBLANK(C86:E86)+COUNTBLANK(G86)=0,1,0)</f>
        <v/>
      </c>
      <c r="K86" s="8">
        <f>IF(COUNTBLANK(C86:E86)+COUNTBLANK(H86)=0,1,0)</f>
        <v/>
      </c>
    </row>
    <row r="87">
      <c r="A87" s="8" t="inlineStr">
        <is>
          <t>Colombia</t>
        </is>
      </c>
      <c r="B87" s="8" t="n">
        <v>1996</v>
      </c>
      <c r="C87" s="18">
        <f>IF(Categorias!C88="","",Categorias!C88/(N(Categorias!C88)+N(Categorias!D88)+N(Categorias!E88)))</f>
        <v/>
      </c>
      <c r="D87" s="18">
        <f>IF(Categorias!H88="","",Categorias!H88/(N(Categorias!H88)+N(Categorias!I88)))</f>
        <v/>
      </c>
      <c r="E87" s="17">
        <f>IFERROR(IF(INDEX(Gini!$C$2:$C$377,MATCH($A87&amp;"|"&amp;$B87,Gini!$E$2:$E$377,0))="","",INDEX(Gini!$C$2:$C$377,MATCH($A87&amp;"|"&amp;$B87,Gini!$E$2:$E$377,0))),"")</f>
        <v/>
      </c>
      <c r="F87" s="19">
        <f>IFERROR(IF(INDEX(Corrupcion!$E$2:$E$377,MATCH($A87&amp;"|"&amp;$B87,Corrupcion!$H$2:$H$377,0))="","",INDEX(Corrupcion!$E$2:$E$377,MATCH($A87&amp;"|"&amp;$B87,Corrupcion!$H$2:$H$377,0))),"")</f>
        <v/>
      </c>
      <c r="G87" s="20">
        <f>IFERROR(IF(INDEX(Corrupcion!$F$2:$F$377,MATCH($A87&amp;"|"&amp;$B87,Corrupcion!$H$2:$H$377,0))="","",INDEX(Corrupcion!$F$2:$F$377,MATCH($A87&amp;"|"&amp;$B87,Corrupcion!$H$2:$H$377,0))),"")</f>
        <v/>
      </c>
      <c r="H87" s="17">
        <f>IFERROR(IF(INDEX(Corrupcion!$G$2:$G$377,MATCH($A87&amp;"|"&amp;$B87,Corrupcion!$H$2:$H$377,0))="","",INDEX(Corrupcion!$G$2:$G$377,MATCH($A87&amp;"|"&amp;$B87,Corrupcion!$H$2:$H$377,0))),"")</f>
        <v/>
      </c>
      <c r="I87" s="8">
        <f>IF(COUNTBLANK(C87:E87)+COUNTBLANK(F87)=0,1,0)</f>
        <v/>
      </c>
      <c r="J87" s="8">
        <f>IF(COUNTBLANK(C87:E87)+COUNTBLANK(G87)=0,1,0)</f>
        <v/>
      </c>
      <c r="K87" s="8">
        <f>IF(COUNTBLANK(C87:E87)+COUNTBLANK(H87)=0,1,0)</f>
        <v/>
      </c>
    </row>
    <row r="88">
      <c r="A88" s="8" t="inlineStr">
        <is>
          <t>Colombia</t>
        </is>
      </c>
      <c r="B88" s="8" t="n">
        <v>1997</v>
      </c>
      <c r="C88" s="18">
        <f>IF(Categorias!C89="","",Categorias!C89/(N(Categorias!C89)+N(Categorias!D89)+N(Categorias!E89)))</f>
        <v/>
      </c>
      <c r="D88" s="18">
        <f>IF(Categorias!H89="","",Categorias!H89/(N(Categorias!H89)+N(Categorias!I89)))</f>
        <v/>
      </c>
      <c r="E88" s="17">
        <f>IFERROR(IF(INDEX(Gini!$C$2:$C$377,MATCH($A88&amp;"|"&amp;$B88,Gini!$E$2:$E$377,0))="","",INDEX(Gini!$C$2:$C$377,MATCH($A88&amp;"|"&amp;$B88,Gini!$E$2:$E$377,0))),"")</f>
        <v/>
      </c>
      <c r="F88" s="19">
        <f>IFERROR(IF(INDEX(Corrupcion!$E$2:$E$377,MATCH($A88&amp;"|"&amp;$B88,Corrupcion!$H$2:$H$377,0))="","",INDEX(Corrupcion!$E$2:$E$377,MATCH($A88&amp;"|"&amp;$B88,Corrupcion!$H$2:$H$377,0))),"")</f>
        <v/>
      </c>
      <c r="G88" s="20">
        <f>IFERROR(IF(INDEX(Corrupcion!$F$2:$F$377,MATCH($A88&amp;"|"&amp;$B88,Corrupcion!$H$2:$H$377,0))="","",INDEX(Corrupcion!$F$2:$F$377,MATCH($A88&amp;"|"&amp;$B88,Corrupcion!$H$2:$H$377,0))),"")</f>
        <v/>
      </c>
      <c r="H88" s="17">
        <f>IFERROR(IF(INDEX(Corrupcion!$G$2:$G$377,MATCH($A88&amp;"|"&amp;$B88,Corrupcion!$H$2:$H$377,0))="","",INDEX(Corrupcion!$G$2:$G$377,MATCH($A88&amp;"|"&amp;$B88,Corrupcion!$H$2:$H$377,0))),"")</f>
        <v/>
      </c>
      <c r="I88" s="8">
        <f>IF(COUNTBLANK(C88:E88)+COUNTBLANK(F88)=0,1,0)</f>
        <v/>
      </c>
      <c r="J88" s="8">
        <f>IF(COUNTBLANK(C88:E88)+COUNTBLANK(G88)=0,1,0)</f>
        <v/>
      </c>
      <c r="K88" s="8">
        <f>IF(COUNTBLANK(C88:E88)+COUNTBLANK(H88)=0,1,0)</f>
        <v/>
      </c>
    </row>
    <row r="89">
      <c r="A89" s="8" t="inlineStr">
        <is>
          <t>Colombia</t>
        </is>
      </c>
      <c r="B89" s="8" t="n">
        <v>1998</v>
      </c>
      <c r="C89" s="18">
        <f>IF(Categorias!C90="","",Categorias!C90/(N(Categorias!C90)+N(Categorias!D90)+N(Categorias!E90)))</f>
        <v/>
      </c>
      <c r="D89" s="18">
        <f>IF(Categorias!H90="","",Categorias!H90/(N(Categorias!H90)+N(Categorias!I90)))</f>
        <v/>
      </c>
      <c r="E89" s="17">
        <f>IFERROR(IF(INDEX(Gini!$C$2:$C$377,MATCH($A89&amp;"|"&amp;$B89,Gini!$E$2:$E$377,0))="","",INDEX(Gini!$C$2:$C$377,MATCH($A89&amp;"|"&amp;$B89,Gini!$E$2:$E$377,0))),"")</f>
        <v/>
      </c>
      <c r="F89" s="19">
        <f>IFERROR(IF(INDEX(Corrupcion!$E$2:$E$377,MATCH($A89&amp;"|"&amp;$B89,Corrupcion!$H$2:$H$377,0))="","",INDEX(Corrupcion!$E$2:$E$377,MATCH($A89&amp;"|"&amp;$B89,Corrupcion!$H$2:$H$377,0))),"")</f>
        <v/>
      </c>
      <c r="G89" s="20">
        <f>IFERROR(IF(INDEX(Corrupcion!$F$2:$F$377,MATCH($A89&amp;"|"&amp;$B89,Corrupcion!$H$2:$H$377,0))="","",INDEX(Corrupcion!$F$2:$F$377,MATCH($A89&amp;"|"&amp;$B89,Corrupcion!$H$2:$H$377,0))),"")</f>
        <v/>
      </c>
      <c r="H89" s="17">
        <f>IFERROR(IF(INDEX(Corrupcion!$G$2:$G$377,MATCH($A89&amp;"|"&amp;$B89,Corrupcion!$H$2:$H$377,0))="","",INDEX(Corrupcion!$G$2:$G$377,MATCH($A89&amp;"|"&amp;$B89,Corrupcion!$H$2:$H$377,0))),"")</f>
        <v/>
      </c>
      <c r="I89" s="8">
        <f>IF(COUNTBLANK(C89:E89)+COUNTBLANK(F89)=0,1,0)</f>
        <v/>
      </c>
      <c r="J89" s="8">
        <f>IF(COUNTBLANK(C89:E89)+COUNTBLANK(G89)=0,1,0)</f>
        <v/>
      </c>
      <c r="K89" s="8">
        <f>IF(COUNTBLANK(C89:E89)+COUNTBLANK(H89)=0,1,0)</f>
        <v/>
      </c>
    </row>
    <row r="90">
      <c r="A90" s="8" t="inlineStr">
        <is>
          <t>Colombia</t>
        </is>
      </c>
      <c r="B90" s="8" t="n">
        <v>2000</v>
      </c>
      <c r="C90" s="18">
        <f>IF(Categorias!C91="","",Categorias!C91/(N(Categorias!C91)+N(Categorias!D91)+N(Categorias!E91)))</f>
        <v/>
      </c>
      <c r="D90" s="18">
        <f>IF(Categorias!H91="","",Categorias!H91/(N(Categorias!H91)+N(Categorias!I91)))</f>
        <v/>
      </c>
      <c r="E90" s="17">
        <f>IFERROR(IF(INDEX(Gini!$C$2:$C$377,MATCH($A90&amp;"|"&amp;$B90,Gini!$E$2:$E$377,0))="","",INDEX(Gini!$C$2:$C$377,MATCH($A90&amp;"|"&amp;$B90,Gini!$E$2:$E$377,0))),"")</f>
        <v/>
      </c>
      <c r="F90" s="19">
        <f>IFERROR(IF(INDEX(Corrupcion!$E$2:$E$377,MATCH($A90&amp;"|"&amp;$B90,Corrupcion!$H$2:$H$377,0))="","",INDEX(Corrupcion!$E$2:$E$377,MATCH($A90&amp;"|"&amp;$B90,Corrupcion!$H$2:$H$377,0))),"")</f>
        <v/>
      </c>
      <c r="G90" s="20">
        <f>IFERROR(IF(INDEX(Corrupcion!$F$2:$F$377,MATCH($A90&amp;"|"&amp;$B90,Corrupcion!$H$2:$H$377,0))="","",INDEX(Corrupcion!$F$2:$F$377,MATCH($A90&amp;"|"&amp;$B90,Corrupcion!$H$2:$H$377,0))),"")</f>
        <v/>
      </c>
      <c r="H90" s="17">
        <f>IFERROR(IF(INDEX(Corrupcion!$G$2:$G$377,MATCH($A90&amp;"|"&amp;$B90,Corrupcion!$H$2:$H$377,0))="","",INDEX(Corrupcion!$G$2:$G$377,MATCH($A90&amp;"|"&amp;$B90,Corrupcion!$H$2:$H$377,0))),"")</f>
        <v/>
      </c>
      <c r="I90" s="8">
        <f>IF(COUNTBLANK(C90:E90)+COUNTBLANK(F90)=0,1,0)</f>
        <v/>
      </c>
      <c r="J90" s="8">
        <f>IF(COUNTBLANK(C90:E90)+COUNTBLANK(G90)=0,1,0)</f>
        <v/>
      </c>
      <c r="K90" s="8">
        <f>IF(COUNTBLANK(C90:E90)+COUNTBLANK(H90)=0,1,0)</f>
        <v/>
      </c>
    </row>
    <row r="91">
      <c r="A91" s="8" t="inlineStr">
        <is>
          <t>Colombia</t>
        </is>
      </c>
      <c r="B91" s="8" t="n">
        <v>2001</v>
      </c>
      <c r="C91" s="18">
        <f>IF(Categorias!C92="","",Categorias!C92/(N(Categorias!C92)+N(Categorias!D92)+N(Categorias!E92)))</f>
        <v/>
      </c>
      <c r="D91" s="18">
        <f>IF(Categorias!H92="","",Categorias!H92/(N(Categorias!H92)+N(Categorias!I92)))</f>
        <v/>
      </c>
      <c r="E91" s="17">
        <f>IFERROR(IF(INDEX(Gini!$C$2:$C$377,MATCH($A91&amp;"|"&amp;$B91,Gini!$E$2:$E$377,0))="","",INDEX(Gini!$C$2:$C$377,MATCH($A91&amp;"|"&amp;$B91,Gini!$E$2:$E$377,0))),"")</f>
        <v/>
      </c>
      <c r="F91" s="19">
        <f>IFERROR(IF(INDEX(Corrupcion!$E$2:$E$377,MATCH($A91&amp;"|"&amp;$B91,Corrupcion!$H$2:$H$377,0))="","",INDEX(Corrupcion!$E$2:$E$377,MATCH($A91&amp;"|"&amp;$B91,Corrupcion!$H$2:$H$377,0))),"")</f>
        <v/>
      </c>
      <c r="G91" s="20">
        <f>IFERROR(IF(INDEX(Corrupcion!$F$2:$F$377,MATCH($A91&amp;"|"&amp;$B91,Corrupcion!$H$2:$H$377,0))="","",INDEX(Corrupcion!$F$2:$F$377,MATCH($A91&amp;"|"&amp;$B91,Corrupcion!$H$2:$H$377,0))),"")</f>
        <v/>
      </c>
      <c r="H91" s="17">
        <f>IFERROR(IF(INDEX(Corrupcion!$G$2:$G$377,MATCH($A91&amp;"|"&amp;$B91,Corrupcion!$H$2:$H$377,0))="","",INDEX(Corrupcion!$G$2:$G$377,MATCH($A91&amp;"|"&amp;$B91,Corrupcion!$H$2:$H$377,0))),"")</f>
        <v/>
      </c>
      <c r="I91" s="8">
        <f>IF(COUNTBLANK(C91:E91)+COUNTBLANK(F91)=0,1,0)</f>
        <v/>
      </c>
      <c r="J91" s="8">
        <f>IF(COUNTBLANK(C91:E91)+COUNTBLANK(G91)=0,1,0)</f>
        <v/>
      </c>
      <c r="K91" s="8">
        <f>IF(COUNTBLANK(C91:E91)+COUNTBLANK(H91)=0,1,0)</f>
        <v/>
      </c>
    </row>
    <row r="92">
      <c r="A92" s="8" t="inlineStr">
        <is>
          <t>Colombia</t>
        </is>
      </c>
      <c r="B92" s="8" t="n">
        <v>2002</v>
      </c>
      <c r="C92" s="18">
        <f>IF(Categorias!C93="","",Categorias!C93/(N(Categorias!C93)+N(Categorias!D93)+N(Categorias!E93)))</f>
        <v/>
      </c>
      <c r="D92" s="18">
        <f>IF(Categorias!H93="","",Categorias!H93/(N(Categorias!H93)+N(Categorias!I93)))</f>
        <v/>
      </c>
      <c r="E92" s="17">
        <f>IFERROR(IF(INDEX(Gini!$C$2:$C$377,MATCH($A92&amp;"|"&amp;$B92,Gini!$E$2:$E$377,0))="","",INDEX(Gini!$C$2:$C$377,MATCH($A92&amp;"|"&amp;$B92,Gini!$E$2:$E$377,0))),"")</f>
        <v/>
      </c>
      <c r="F92" s="19">
        <f>IFERROR(IF(INDEX(Corrupcion!$E$2:$E$377,MATCH($A92&amp;"|"&amp;$B92,Corrupcion!$H$2:$H$377,0))="","",INDEX(Corrupcion!$E$2:$E$377,MATCH($A92&amp;"|"&amp;$B92,Corrupcion!$H$2:$H$377,0))),"")</f>
        <v/>
      </c>
      <c r="G92" s="20">
        <f>IFERROR(IF(INDEX(Corrupcion!$F$2:$F$377,MATCH($A92&amp;"|"&amp;$B92,Corrupcion!$H$2:$H$377,0))="","",INDEX(Corrupcion!$F$2:$F$377,MATCH($A92&amp;"|"&amp;$B92,Corrupcion!$H$2:$H$377,0))),"")</f>
        <v/>
      </c>
      <c r="H92" s="17">
        <f>IFERROR(IF(INDEX(Corrupcion!$G$2:$G$377,MATCH($A92&amp;"|"&amp;$B92,Corrupcion!$H$2:$H$377,0))="","",INDEX(Corrupcion!$G$2:$G$377,MATCH($A92&amp;"|"&amp;$B92,Corrupcion!$H$2:$H$377,0))),"")</f>
        <v/>
      </c>
      <c r="I92" s="8">
        <f>IF(COUNTBLANK(C92:E92)+COUNTBLANK(F92)=0,1,0)</f>
        <v/>
      </c>
      <c r="J92" s="8">
        <f>IF(COUNTBLANK(C92:E92)+COUNTBLANK(G92)=0,1,0)</f>
        <v/>
      </c>
      <c r="K92" s="8">
        <f>IF(COUNTBLANK(C92:E92)+COUNTBLANK(H92)=0,1,0)</f>
        <v/>
      </c>
    </row>
    <row r="93">
      <c r="A93" s="8" t="inlineStr">
        <is>
          <t>Colombia</t>
        </is>
      </c>
      <c r="B93" s="8" t="n">
        <v>2003</v>
      </c>
      <c r="C93" s="18">
        <f>IF(Categorias!C94="","",Categorias!C94/(N(Categorias!C94)+N(Categorias!D94)+N(Categorias!E94)))</f>
        <v/>
      </c>
      <c r="D93" s="18">
        <f>IF(Categorias!H94="","",Categorias!H94/(N(Categorias!H94)+N(Categorias!I94)))</f>
        <v/>
      </c>
      <c r="E93" s="17">
        <f>IFERROR(IF(INDEX(Gini!$C$2:$C$377,MATCH($A93&amp;"|"&amp;$B93,Gini!$E$2:$E$377,0))="","",INDEX(Gini!$C$2:$C$377,MATCH($A93&amp;"|"&amp;$B93,Gini!$E$2:$E$377,0))),"")</f>
        <v/>
      </c>
      <c r="F93" s="19">
        <f>IFERROR(IF(INDEX(Corrupcion!$E$2:$E$377,MATCH($A93&amp;"|"&amp;$B93,Corrupcion!$H$2:$H$377,0))="","",INDEX(Corrupcion!$E$2:$E$377,MATCH($A93&amp;"|"&amp;$B93,Corrupcion!$H$2:$H$377,0))),"")</f>
        <v/>
      </c>
      <c r="G93" s="20">
        <f>IFERROR(IF(INDEX(Corrupcion!$F$2:$F$377,MATCH($A93&amp;"|"&amp;$B93,Corrupcion!$H$2:$H$377,0))="","",INDEX(Corrupcion!$F$2:$F$377,MATCH($A93&amp;"|"&amp;$B93,Corrupcion!$H$2:$H$377,0))),"")</f>
        <v/>
      </c>
      <c r="H93" s="17">
        <f>IFERROR(IF(INDEX(Corrupcion!$G$2:$G$377,MATCH($A93&amp;"|"&amp;$B93,Corrupcion!$H$2:$H$377,0))="","",INDEX(Corrupcion!$G$2:$G$377,MATCH($A93&amp;"|"&amp;$B93,Corrupcion!$H$2:$H$377,0))),"")</f>
        <v/>
      </c>
      <c r="I93" s="8">
        <f>IF(COUNTBLANK(C93:E93)+COUNTBLANK(F93)=0,1,0)</f>
        <v/>
      </c>
      <c r="J93" s="8">
        <f>IF(COUNTBLANK(C93:E93)+COUNTBLANK(G93)=0,1,0)</f>
        <v/>
      </c>
      <c r="K93" s="8">
        <f>IF(COUNTBLANK(C93:E93)+COUNTBLANK(H93)=0,1,0)</f>
        <v/>
      </c>
    </row>
    <row r="94">
      <c r="A94" s="8" t="inlineStr">
        <is>
          <t>Colombia</t>
        </is>
      </c>
      <c r="B94" s="8" t="n">
        <v>2004</v>
      </c>
      <c r="C94" s="18">
        <f>IF(Categorias!C95="","",Categorias!C95/(N(Categorias!C95)+N(Categorias!D95)+N(Categorias!E95)))</f>
        <v/>
      </c>
      <c r="D94" s="18">
        <f>IF(Categorias!H95="","",Categorias!H95/(N(Categorias!H95)+N(Categorias!I95)))</f>
        <v/>
      </c>
      <c r="E94" s="17">
        <f>IFERROR(IF(INDEX(Gini!$C$2:$C$377,MATCH($A94&amp;"|"&amp;$B94,Gini!$E$2:$E$377,0))="","",INDEX(Gini!$C$2:$C$377,MATCH($A94&amp;"|"&amp;$B94,Gini!$E$2:$E$377,0))),"")</f>
        <v/>
      </c>
      <c r="F94" s="19">
        <f>IFERROR(IF(INDEX(Corrupcion!$E$2:$E$377,MATCH($A94&amp;"|"&amp;$B94,Corrupcion!$H$2:$H$377,0))="","",INDEX(Corrupcion!$E$2:$E$377,MATCH($A94&amp;"|"&amp;$B94,Corrupcion!$H$2:$H$377,0))),"")</f>
        <v/>
      </c>
      <c r="G94" s="20">
        <f>IFERROR(IF(INDEX(Corrupcion!$F$2:$F$377,MATCH($A94&amp;"|"&amp;$B94,Corrupcion!$H$2:$H$377,0))="","",INDEX(Corrupcion!$F$2:$F$377,MATCH($A94&amp;"|"&amp;$B94,Corrupcion!$H$2:$H$377,0))),"")</f>
        <v/>
      </c>
      <c r="H94" s="17">
        <f>IFERROR(IF(INDEX(Corrupcion!$G$2:$G$377,MATCH($A94&amp;"|"&amp;$B94,Corrupcion!$H$2:$H$377,0))="","",INDEX(Corrupcion!$G$2:$G$377,MATCH($A94&amp;"|"&amp;$B94,Corrupcion!$H$2:$H$377,0))),"")</f>
        <v/>
      </c>
      <c r="I94" s="8">
        <f>IF(COUNTBLANK(C94:E94)+COUNTBLANK(F94)=0,1,0)</f>
        <v/>
      </c>
      <c r="J94" s="8">
        <f>IF(COUNTBLANK(C94:E94)+COUNTBLANK(G94)=0,1,0)</f>
        <v/>
      </c>
      <c r="K94" s="8">
        <f>IF(COUNTBLANK(C94:E94)+COUNTBLANK(H94)=0,1,0)</f>
        <v/>
      </c>
    </row>
    <row r="95">
      <c r="A95" s="8" t="inlineStr">
        <is>
          <t>Colombia</t>
        </is>
      </c>
      <c r="B95" s="8" t="n">
        <v>2005</v>
      </c>
      <c r="C95" s="18">
        <f>IF(Categorias!C96="","",Categorias!C96/(N(Categorias!C96)+N(Categorias!D96)+N(Categorias!E96)))</f>
        <v/>
      </c>
      <c r="D95" s="18">
        <f>IF(Categorias!H96="","",Categorias!H96/(N(Categorias!H96)+N(Categorias!I96)))</f>
        <v/>
      </c>
      <c r="E95" s="17">
        <f>IFERROR(IF(INDEX(Gini!$C$2:$C$377,MATCH($A95&amp;"|"&amp;$B95,Gini!$E$2:$E$377,0))="","",INDEX(Gini!$C$2:$C$377,MATCH($A95&amp;"|"&amp;$B95,Gini!$E$2:$E$377,0))),"")</f>
        <v/>
      </c>
      <c r="F95" s="19">
        <f>IFERROR(IF(INDEX(Corrupcion!$E$2:$E$377,MATCH($A95&amp;"|"&amp;$B95,Corrupcion!$H$2:$H$377,0))="","",INDEX(Corrupcion!$E$2:$E$377,MATCH($A95&amp;"|"&amp;$B95,Corrupcion!$H$2:$H$377,0))),"")</f>
        <v/>
      </c>
      <c r="G95" s="20">
        <f>IFERROR(IF(INDEX(Corrupcion!$F$2:$F$377,MATCH($A95&amp;"|"&amp;$B95,Corrupcion!$H$2:$H$377,0))="","",INDEX(Corrupcion!$F$2:$F$377,MATCH($A95&amp;"|"&amp;$B95,Corrupcion!$H$2:$H$377,0))),"")</f>
        <v/>
      </c>
      <c r="H95" s="17">
        <f>IFERROR(IF(INDEX(Corrupcion!$G$2:$G$377,MATCH($A95&amp;"|"&amp;$B95,Corrupcion!$H$2:$H$377,0))="","",INDEX(Corrupcion!$G$2:$G$377,MATCH($A95&amp;"|"&amp;$B95,Corrupcion!$H$2:$H$377,0))),"")</f>
        <v/>
      </c>
      <c r="I95" s="8">
        <f>IF(COUNTBLANK(C95:E95)+COUNTBLANK(F95)=0,1,0)</f>
        <v/>
      </c>
      <c r="J95" s="8">
        <f>IF(COUNTBLANK(C95:E95)+COUNTBLANK(G95)=0,1,0)</f>
        <v/>
      </c>
      <c r="K95" s="8">
        <f>IF(COUNTBLANK(C95:E95)+COUNTBLANK(H95)=0,1,0)</f>
        <v/>
      </c>
    </row>
    <row r="96">
      <c r="A96" s="8" t="inlineStr">
        <is>
          <t>Colombia</t>
        </is>
      </c>
      <c r="B96" s="8" t="n">
        <v>2006</v>
      </c>
      <c r="C96" s="18">
        <f>IF(Categorias!C97="","",Categorias!C97/(N(Categorias!C97)+N(Categorias!D97)+N(Categorias!E97)))</f>
        <v/>
      </c>
      <c r="D96" s="18">
        <f>IF(Categorias!H97="","",Categorias!H97/(N(Categorias!H97)+N(Categorias!I97)))</f>
        <v/>
      </c>
      <c r="E96" s="17">
        <f>IFERROR(IF(INDEX(Gini!$C$2:$C$377,MATCH($A96&amp;"|"&amp;$B96,Gini!$E$2:$E$377,0))="","",INDEX(Gini!$C$2:$C$377,MATCH($A96&amp;"|"&amp;$B96,Gini!$E$2:$E$377,0))),"")</f>
        <v/>
      </c>
      <c r="F96" s="19">
        <f>IFERROR(IF(INDEX(Corrupcion!$E$2:$E$377,MATCH($A96&amp;"|"&amp;$B96,Corrupcion!$H$2:$H$377,0))="","",INDEX(Corrupcion!$E$2:$E$377,MATCH($A96&amp;"|"&amp;$B96,Corrupcion!$H$2:$H$377,0))),"")</f>
        <v/>
      </c>
      <c r="G96" s="20">
        <f>IFERROR(IF(INDEX(Corrupcion!$F$2:$F$377,MATCH($A96&amp;"|"&amp;$B96,Corrupcion!$H$2:$H$377,0))="","",INDEX(Corrupcion!$F$2:$F$377,MATCH($A96&amp;"|"&amp;$B96,Corrupcion!$H$2:$H$377,0))),"")</f>
        <v/>
      </c>
      <c r="H96" s="17">
        <f>IFERROR(IF(INDEX(Corrupcion!$G$2:$G$377,MATCH($A96&amp;"|"&amp;$B96,Corrupcion!$H$2:$H$377,0))="","",INDEX(Corrupcion!$G$2:$G$377,MATCH($A96&amp;"|"&amp;$B96,Corrupcion!$H$2:$H$377,0))),"")</f>
        <v/>
      </c>
      <c r="I96" s="8">
        <f>IF(COUNTBLANK(C96:E96)+COUNTBLANK(F96)=0,1,0)</f>
        <v/>
      </c>
      <c r="J96" s="8">
        <f>IF(COUNTBLANK(C96:E96)+COUNTBLANK(G96)=0,1,0)</f>
        <v/>
      </c>
      <c r="K96" s="8">
        <f>IF(COUNTBLANK(C96:E96)+COUNTBLANK(H96)=0,1,0)</f>
        <v/>
      </c>
    </row>
    <row r="97">
      <c r="A97" s="8" t="inlineStr">
        <is>
          <t>Colombia</t>
        </is>
      </c>
      <c r="B97" s="8" t="n">
        <v>2007</v>
      </c>
      <c r="C97" s="18">
        <f>IF(Categorias!C98="","",Categorias!C98/(N(Categorias!C98)+N(Categorias!D98)+N(Categorias!E98)))</f>
        <v/>
      </c>
      <c r="D97" s="18">
        <f>IF(Categorias!H98="","",Categorias!H98/(N(Categorias!H98)+N(Categorias!I98)))</f>
        <v/>
      </c>
      <c r="E97" s="17">
        <f>IFERROR(IF(INDEX(Gini!$C$2:$C$377,MATCH($A97&amp;"|"&amp;$B97,Gini!$E$2:$E$377,0))="","",INDEX(Gini!$C$2:$C$377,MATCH($A97&amp;"|"&amp;$B97,Gini!$E$2:$E$377,0))),"")</f>
        <v/>
      </c>
      <c r="F97" s="19">
        <f>IFERROR(IF(INDEX(Corrupcion!$E$2:$E$377,MATCH($A97&amp;"|"&amp;$B97,Corrupcion!$H$2:$H$377,0))="","",INDEX(Corrupcion!$E$2:$E$377,MATCH($A97&amp;"|"&amp;$B97,Corrupcion!$H$2:$H$377,0))),"")</f>
        <v/>
      </c>
      <c r="G97" s="20">
        <f>IFERROR(IF(INDEX(Corrupcion!$F$2:$F$377,MATCH($A97&amp;"|"&amp;$B97,Corrupcion!$H$2:$H$377,0))="","",INDEX(Corrupcion!$F$2:$F$377,MATCH($A97&amp;"|"&amp;$B97,Corrupcion!$H$2:$H$377,0))),"")</f>
        <v/>
      </c>
      <c r="H97" s="17">
        <f>IFERROR(IF(INDEX(Corrupcion!$G$2:$G$377,MATCH($A97&amp;"|"&amp;$B97,Corrupcion!$H$2:$H$377,0))="","",INDEX(Corrupcion!$G$2:$G$377,MATCH($A97&amp;"|"&amp;$B97,Corrupcion!$H$2:$H$377,0))),"")</f>
        <v/>
      </c>
      <c r="I97" s="8">
        <f>IF(COUNTBLANK(C97:E97)+COUNTBLANK(F97)=0,1,0)</f>
        <v/>
      </c>
      <c r="J97" s="8">
        <f>IF(COUNTBLANK(C97:E97)+COUNTBLANK(G97)=0,1,0)</f>
        <v/>
      </c>
      <c r="K97" s="8">
        <f>IF(COUNTBLANK(C97:E97)+COUNTBLANK(H97)=0,1,0)</f>
        <v/>
      </c>
    </row>
    <row r="98">
      <c r="A98" s="8" t="inlineStr">
        <is>
          <t>Colombia</t>
        </is>
      </c>
      <c r="B98" s="8" t="n">
        <v>2008</v>
      </c>
      <c r="C98" s="18">
        <f>IF(Categorias!C99="","",Categorias!C99/(N(Categorias!C99)+N(Categorias!D99)+N(Categorias!E99)))</f>
        <v/>
      </c>
      <c r="D98" s="18">
        <f>IF(Categorias!H99="","",Categorias!H99/(N(Categorias!H99)+N(Categorias!I99)))</f>
        <v/>
      </c>
      <c r="E98" s="17">
        <f>IFERROR(IF(INDEX(Gini!$C$2:$C$377,MATCH($A98&amp;"|"&amp;$B98,Gini!$E$2:$E$377,0))="","",INDEX(Gini!$C$2:$C$377,MATCH($A98&amp;"|"&amp;$B98,Gini!$E$2:$E$377,0))),"")</f>
        <v/>
      </c>
      <c r="F98" s="19">
        <f>IFERROR(IF(INDEX(Corrupcion!$E$2:$E$377,MATCH($A98&amp;"|"&amp;$B98,Corrupcion!$H$2:$H$377,0))="","",INDEX(Corrupcion!$E$2:$E$377,MATCH($A98&amp;"|"&amp;$B98,Corrupcion!$H$2:$H$377,0))),"")</f>
        <v/>
      </c>
      <c r="G98" s="20">
        <f>IFERROR(IF(INDEX(Corrupcion!$F$2:$F$377,MATCH($A98&amp;"|"&amp;$B98,Corrupcion!$H$2:$H$377,0))="","",INDEX(Corrupcion!$F$2:$F$377,MATCH($A98&amp;"|"&amp;$B98,Corrupcion!$H$2:$H$377,0))),"")</f>
        <v/>
      </c>
      <c r="H98" s="17">
        <f>IFERROR(IF(INDEX(Corrupcion!$G$2:$G$377,MATCH($A98&amp;"|"&amp;$B98,Corrupcion!$H$2:$H$377,0))="","",INDEX(Corrupcion!$G$2:$G$377,MATCH($A98&amp;"|"&amp;$B98,Corrupcion!$H$2:$H$377,0))),"")</f>
        <v/>
      </c>
      <c r="I98" s="8">
        <f>IF(COUNTBLANK(C98:E98)+COUNTBLANK(F98)=0,1,0)</f>
        <v/>
      </c>
      <c r="J98" s="8">
        <f>IF(COUNTBLANK(C98:E98)+COUNTBLANK(G98)=0,1,0)</f>
        <v/>
      </c>
      <c r="K98" s="8">
        <f>IF(COUNTBLANK(C98:E98)+COUNTBLANK(H98)=0,1,0)</f>
        <v/>
      </c>
    </row>
    <row r="99">
      <c r="A99" s="8" t="inlineStr">
        <is>
          <t>Colombia</t>
        </is>
      </c>
      <c r="B99" s="8" t="n">
        <v>2009</v>
      </c>
      <c r="C99" s="18">
        <f>IF(Categorias!C100="","",Categorias!C100/(N(Categorias!C100)+N(Categorias!D100)+N(Categorias!E100)))</f>
        <v/>
      </c>
      <c r="D99" s="18">
        <f>IF(Categorias!H100="","",Categorias!H100/(N(Categorias!H100)+N(Categorias!I100)))</f>
        <v/>
      </c>
      <c r="E99" s="17">
        <f>IFERROR(IF(INDEX(Gini!$C$2:$C$377,MATCH($A99&amp;"|"&amp;$B99,Gini!$E$2:$E$377,0))="","",INDEX(Gini!$C$2:$C$377,MATCH($A99&amp;"|"&amp;$B99,Gini!$E$2:$E$377,0))),"")</f>
        <v/>
      </c>
      <c r="F99" s="19">
        <f>IFERROR(IF(INDEX(Corrupcion!$E$2:$E$377,MATCH($A99&amp;"|"&amp;$B99,Corrupcion!$H$2:$H$377,0))="","",INDEX(Corrupcion!$E$2:$E$377,MATCH($A99&amp;"|"&amp;$B99,Corrupcion!$H$2:$H$377,0))),"")</f>
        <v/>
      </c>
      <c r="G99" s="20">
        <f>IFERROR(IF(INDEX(Corrupcion!$F$2:$F$377,MATCH($A99&amp;"|"&amp;$B99,Corrupcion!$H$2:$H$377,0))="","",INDEX(Corrupcion!$F$2:$F$377,MATCH($A99&amp;"|"&amp;$B99,Corrupcion!$H$2:$H$377,0))),"")</f>
        <v/>
      </c>
      <c r="H99" s="17">
        <f>IFERROR(IF(INDEX(Corrupcion!$G$2:$G$377,MATCH($A99&amp;"|"&amp;$B99,Corrupcion!$H$2:$H$377,0))="","",INDEX(Corrupcion!$G$2:$G$377,MATCH($A99&amp;"|"&amp;$B99,Corrupcion!$H$2:$H$377,0))),"")</f>
        <v/>
      </c>
      <c r="I99" s="8">
        <f>IF(COUNTBLANK(C99:E99)+COUNTBLANK(F99)=0,1,0)</f>
        <v/>
      </c>
      <c r="J99" s="8">
        <f>IF(COUNTBLANK(C99:E99)+COUNTBLANK(G99)=0,1,0)</f>
        <v/>
      </c>
      <c r="K99" s="8">
        <f>IF(COUNTBLANK(C99:E99)+COUNTBLANK(H99)=0,1,0)</f>
        <v/>
      </c>
    </row>
    <row r="100">
      <c r="A100" s="8" t="inlineStr">
        <is>
          <t>Colombia</t>
        </is>
      </c>
      <c r="B100" s="8" t="n">
        <v>2010</v>
      </c>
      <c r="C100" s="18">
        <f>IF(Categorias!C101="","",Categorias!C101/(N(Categorias!C101)+N(Categorias!D101)+N(Categorias!E101)))</f>
        <v/>
      </c>
      <c r="D100" s="18">
        <f>IF(Categorias!H101="","",Categorias!H101/(N(Categorias!H101)+N(Categorias!I101)))</f>
        <v/>
      </c>
      <c r="E100" s="17">
        <f>IFERROR(IF(INDEX(Gini!$C$2:$C$377,MATCH($A100&amp;"|"&amp;$B100,Gini!$E$2:$E$377,0))="","",INDEX(Gini!$C$2:$C$377,MATCH($A100&amp;"|"&amp;$B100,Gini!$E$2:$E$377,0))),"")</f>
        <v/>
      </c>
      <c r="F100" s="19">
        <f>IFERROR(IF(INDEX(Corrupcion!$E$2:$E$377,MATCH($A100&amp;"|"&amp;$B100,Corrupcion!$H$2:$H$377,0))="","",INDEX(Corrupcion!$E$2:$E$377,MATCH($A100&amp;"|"&amp;$B100,Corrupcion!$H$2:$H$377,0))),"")</f>
        <v/>
      </c>
      <c r="G100" s="20">
        <f>IFERROR(IF(INDEX(Corrupcion!$F$2:$F$377,MATCH($A100&amp;"|"&amp;$B100,Corrupcion!$H$2:$H$377,0))="","",INDEX(Corrupcion!$F$2:$F$377,MATCH($A100&amp;"|"&amp;$B100,Corrupcion!$H$2:$H$377,0))),"")</f>
        <v/>
      </c>
      <c r="H100" s="17">
        <f>IFERROR(IF(INDEX(Corrupcion!$G$2:$G$377,MATCH($A100&amp;"|"&amp;$B100,Corrupcion!$H$2:$H$377,0))="","",INDEX(Corrupcion!$G$2:$G$377,MATCH($A100&amp;"|"&amp;$B100,Corrupcion!$H$2:$H$377,0))),"")</f>
        <v/>
      </c>
      <c r="I100" s="8">
        <f>IF(COUNTBLANK(C100:E100)+COUNTBLANK(F100)=0,1,0)</f>
        <v/>
      </c>
      <c r="J100" s="8">
        <f>IF(COUNTBLANK(C100:E100)+COUNTBLANK(G100)=0,1,0)</f>
        <v/>
      </c>
      <c r="K100" s="8">
        <f>IF(COUNTBLANK(C100:E100)+COUNTBLANK(H100)=0,1,0)</f>
        <v/>
      </c>
    </row>
    <row r="101">
      <c r="A101" s="8" t="inlineStr">
        <is>
          <t>Colombia</t>
        </is>
      </c>
      <c r="B101" s="8" t="n">
        <v>2011</v>
      </c>
      <c r="C101" s="18">
        <f>IF(Categorias!C102="","",Categorias!C102/(N(Categorias!C102)+N(Categorias!D102)+N(Categorias!E102)))</f>
        <v/>
      </c>
      <c r="D101" s="18">
        <f>IF(Categorias!H102="","",Categorias!H102/(N(Categorias!H102)+N(Categorias!I102)))</f>
        <v/>
      </c>
      <c r="E101" s="17">
        <f>IFERROR(IF(INDEX(Gini!$C$2:$C$377,MATCH($A101&amp;"|"&amp;$B101,Gini!$E$2:$E$377,0))="","",INDEX(Gini!$C$2:$C$377,MATCH($A101&amp;"|"&amp;$B101,Gini!$E$2:$E$377,0))),"")</f>
        <v/>
      </c>
      <c r="F101" s="19">
        <f>IFERROR(IF(INDEX(Corrupcion!$E$2:$E$377,MATCH($A101&amp;"|"&amp;$B101,Corrupcion!$H$2:$H$377,0))="","",INDEX(Corrupcion!$E$2:$E$377,MATCH($A101&amp;"|"&amp;$B101,Corrupcion!$H$2:$H$377,0))),"")</f>
        <v/>
      </c>
      <c r="G101" s="20">
        <f>IFERROR(IF(INDEX(Corrupcion!$F$2:$F$377,MATCH($A101&amp;"|"&amp;$B101,Corrupcion!$H$2:$H$377,0))="","",INDEX(Corrupcion!$F$2:$F$377,MATCH($A101&amp;"|"&amp;$B101,Corrupcion!$H$2:$H$377,0))),"")</f>
        <v/>
      </c>
      <c r="H101" s="17">
        <f>IFERROR(IF(INDEX(Corrupcion!$G$2:$G$377,MATCH($A101&amp;"|"&amp;$B101,Corrupcion!$H$2:$H$377,0))="","",INDEX(Corrupcion!$G$2:$G$377,MATCH($A101&amp;"|"&amp;$B101,Corrupcion!$H$2:$H$377,0))),"")</f>
        <v/>
      </c>
      <c r="I101" s="8">
        <f>IF(COUNTBLANK(C101:E101)+COUNTBLANK(F101)=0,1,0)</f>
        <v/>
      </c>
      <c r="J101" s="8">
        <f>IF(COUNTBLANK(C101:E101)+COUNTBLANK(G101)=0,1,0)</f>
        <v/>
      </c>
      <c r="K101" s="8">
        <f>IF(COUNTBLANK(C101:E101)+COUNTBLANK(H101)=0,1,0)</f>
        <v/>
      </c>
    </row>
    <row r="102">
      <c r="A102" s="8" t="inlineStr">
        <is>
          <t>Colombia</t>
        </is>
      </c>
      <c r="B102" s="8" t="n">
        <v>2016</v>
      </c>
      <c r="C102" s="18">
        <f>IF(Categorias!C103="","",Categorias!C103/(N(Categorias!C103)+N(Categorias!D103)+N(Categorias!E103)))</f>
        <v/>
      </c>
      <c r="D102" s="18">
        <f>IF(Categorias!H103="","",Categorias!H103/(N(Categorias!H103)+N(Categorias!I103)))</f>
        <v/>
      </c>
      <c r="E102" s="17">
        <f>IFERROR(IF(INDEX(Gini!$C$2:$C$377,MATCH($A102&amp;"|"&amp;$B102,Gini!$E$2:$E$377,0))="","",INDEX(Gini!$C$2:$C$377,MATCH($A102&amp;"|"&amp;$B102,Gini!$E$2:$E$377,0))),"")</f>
        <v/>
      </c>
      <c r="F102" s="19">
        <f>IFERROR(IF(INDEX(Corrupcion!$E$2:$E$377,MATCH($A102&amp;"|"&amp;$B102,Corrupcion!$H$2:$H$377,0))="","",INDEX(Corrupcion!$E$2:$E$377,MATCH($A102&amp;"|"&amp;$B102,Corrupcion!$H$2:$H$377,0))),"")</f>
        <v/>
      </c>
      <c r="G102" s="20">
        <f>IFERROR(IF(INDEX(Corrupcion!$F$2:$F$377,MATCH($A102&amp;"|"&amp;$B102,Corrupcion!$H$2:$H$377,0))="","",INDEX(Corrupcion!$F$2:$F$377,MATCH($A102&amp;"|"&amp;$B102,Corrupcion!$H$2:$H$377,0))),"")</f>
        <v/>
      </c>
      <c r="H102" s="17">
        <f>IFERROR(IF(INDEX(Corrupcion!$G$2:$G$377,MATCH($A102&amp;"|"&amp;$B102,Corrupcion!$H$2:$H$377,0))="","",INDEX(Corrupcion!$G$2:$G$377,MATCH($A102&amp;"|"&amp;$B102,Corrupcion!$H$2:$H$377,0))),"")</f>
        <v/>
      </c>
      <c r="I102" s="8">
        <f>IF(COUNTBLANK(C102:E102)+COUNTBLANK(F102)=0,1,0)</f>
        <v/>
      </c>
      <c r="J102" s="8">
        <f>IF(COUNTBLANK(C102:E102)+COUNTBLANK(G102)=0,1,0)</f>
        <v/>
      </c>
      <c r="K102" s="8">
        <f>IF(COUNTBLANK(C102:E102)+COUNTBLANK(H102)=0,1,0)</f>
        <v/>
      </c>
    </row>
    <row r="103">
      <c r="A103" s="8" t="inlineStr">
        <is>
          <t>Colombia</t>
        </is>
      </c>
      <c r="B103" s="8" t="n">
        <v>2017</v>
      </c>
      <c r="C103" s="18">
        <f>IF(Categorias!C104="","",Categorias!C104/(N(Categorias!C104)+N(Categorias!D104)+N(Categorias!E104)))</f>
        <v/>
      </c>
      <c r="D103" s="18">
        <f>IF(Categorias!H104="","",Categorias!H104/(N(Categorias!H104)+N(Categorias!I104)))</f>
        <v/>
      </c>
      <c r="E103" s="17">
        <f>IFERROR(IF(INDEX(Gini!$C$2:$C$377,MATCH($A103&amp;"|"&amp;$B103,Gini!$E$2:$E$377,0))="","",INDEX(Gini!$C$2:$C$377,MATCH($A103&amp;"|"&amp;$B103,Gini!$E$2:$E$377,0))),"")</f>
        <v/>
      </c>
      <c r="F103" s="19">
        <f>IFERROR(IF(INDEX(Corrupcion!$E$2:$E$377,MATCH($A103&amp;"|"&amp;$B103,Corrupcion!$H$2:$H$377,0))="","",INDEX(Corrupcion!$E$2:$E$377,MATCH($A103&amp;"|"&amp;$B103,Corrupcion!$H$2:$H$377,0))),"")</f>
        <v/>
      </c>
      <c r="G103" s="20">
        <f>IFERROR(IF(INDEX(Corrupcion!$F$2:$F$377,MATCH($A103&amp;"|"&amp;$B103,Corrupcion!$H$2:$H$377,0))="","",INDEX(Corrupcion!$F$2:$F$377,MATCH($A103&amp;"|"&amp;$B103,Corrupcion!$H$2:$H$377,0))),"")</f>
        <v/>
      </c>
      <c r="H103" s="17">
        <f>IFERROR(IF(INDEX(Corrupcion!$G$2:$G$377,MATCH($A103&amp;"|"&amp;$B103,Corrupcion!$H$2:$H$377,0))="","",INDEX(Corrupcion!$G$2:$G$377,MATCH($A103&amp;"|"&amp;$B103,Corrupcion!$H$2:$H$377,0))),"")</f>
        <v/>
      </c>
      <c r="I103" s="8">
        <f>IF(COUNTBLANK(C103:E103)+COUNTBLANK(F103)=0,1,0)</f>
        <v/>
      </c>
      <c r="J103" s="8">
        <f>IF(COUNTBLANK(C103:E103)+COUNTBLANK(G103)=0,1,0)</f>
        <v/>
      </c>
      <c r="K103" s="8">
        <f>IF(COUNTBLANK(C103:E103)+COUNTBLANK(H103)=0,1,0)</f>
        <v/>
      </c>
    </row>
    <row r="104">
      <c r="A104" s="8" t="inlineStr">
        <is>
          <t>Colombia</t>
        </is>
      </c>
      <c r="B104" s="8" t="n">
        <v>2018</v>
      </c>
      <c r="C104" s="18">
        <f>IF(Categorias!C105="","",Categorias!C105/(N(Categorias!C105)+N(Categorias!D105)+N(Categorias!E105)))</f>
        <v/>
      </c>
      <c r="D104" s="18">
        <f>IF(Categorias!H105="","",Categorias!H105/(N(Categorias!H105)+N(Categorias!I105)))</f>
        <v/>
      </c>
      <c r="E104" s="17">
        <f>IFERROR(IF(INDEX(Gini!$C$2:$C$377,MATCH($A104&amp;"|"&amp;$B104,Gini!$E$2:$E$377,0))="","",INDEX(Gini!$C$2:$C$377,MATCH($A104&amp;"|"&amp;$B104,Gini!$E$2:$E$377,0))),"")</f>
        <v/>
      </c>
      <c r="F104" s="19">
        <f>IFERROR(IF(INDEX(Corrupcion!$E$2:$E$377,MATCH($A104&amp;"|"&amp;$B104,Corrupcion!$H$2:$H$377,0))="","",INDEX(Corrupcion!$E$2:$E$377,MATCH($A104&amp;"|"&amp;$B104,Corrupcion!$H$2:$H$377,0))),"")</f>
        <v/>
      </c>
      <c r="G104" s="20">
        <f>IFERROR(IF(INDEX(Corrupcion!$F$2:$F$377,MATCH($A104&amp;"|"&amp;$B104,Corrupcion!$H$2:$H$377,0))="","",INDEX(Corrupcion!$F$2:$F$377,MATCH($A104&amp;"|"&amp;$B104,Corrupcion!$H$2:$H$377,0))),"")</f>
        <v/>
      </c>
      <c r="H104" s="17">
        <f>IFERROR(IF(INDEX(Corrupcion!$G$2:$G$377,MATCH($A104&amp;"|"&amp;$B104,Corrupcion!$H$2:$H$377,0))="","",INDEX(Corrupcion!$G$2:$G$377,MATCH($A104&amp;"|"&amp;$B104,Corrupcion!$H$2:$H$377,0))),"")</f>
        <v/>
      </c>
      <c r="I104" s="8">
        <f>IF(COUNTBLANK(C104:E104)+COUNTBLANK(F104)=0,1,0)</f>
        <v/>
      </c>
      <c r="J104" s="8">
        <f>IF(COUNTBLANK(C104:E104)+COUNTBLANK(G104)=0,1,0)</f>
        <v/>
      </c>
      <c r="K104" s="8">
        <f>IF(COUNTBLANK(C104:E104)+COUNTBLANK(H104)=0,1,0)</f>
        <v/>
      </c>
    </row>
    <row r="105">
      <c r="A105" s="8" t="inlineStr">
        <is>
          <t>Colombia</t>
        </is>
      </c>
      <c r="B105" s="8" t="n">
        <v>2020</v>
      </c>
      <c r="C105" s="18">
        <f>IF(Categorias!C106="","",Categorias!C106/(N(Categorias!C106)+N(Categorias!D106)+N(Categorias!E106)))</f>
        <v/>
      </c>
      <c r="D105" s="18">
        <f>IF(Categorias!H106="","",Categorias!H106/(N(Categorias!H106)+N(Categorias!I106)))</f>
        <v/>
      </c>
      <c r="E105" s="17">
        <f>IFERROR(IF(INDEX(Gini!$C$2:$C$377,MATCH($A105&amp;"|"&amp;$B105,Gini!$E$2:$E$377,0))="","",INDEX(Gini!$C$2:$C$377,MATCH($A105&amp;"|"&amp;$B105,Gini!$E$2:$E$377,0))),"")</f>
        <v/>
      </c>
      <c r="F105" s="19">
        <f>IFERROR(IF(INDEX(Corrupcion!$E$2:$E$377,MATCH($A105&amp;"|"&amp;$B105,Corrupcion!$H$2:$H$377,0))="","",INDEX(Corrupcion!$E$2:$E$377,MATCH($A105&amp;"|"&amp;$B105,Corrupcion!$H$2:$H$377,0))),"")</f>
        <v/>
      </c>
      <c r="G105" s="20">
        <f>IFERROR(IF(INDEX(Corrupcion!$F$2:$F$377,MATCH($A105&amp;"|"&amp;$B105,Corrupcion!$H$2:$H$377,0))="","",INDEX(Corrupcion!$F$2:$F$377,MATCH($A105&amp;"|"&amp;$B105,Corrupcion!$H$2:$H$377,0))),"")</f>
        <v/>
      </c>
      <c r="H105" s="17">
        <f>IFERROR(IF(INDEX(Corrupcion!$G$2:$G$377,MATCH($A105&amp;"|"&amp;$B105,Corrupcion!$H$2:$H$377,0))="","",INDEX(Corrupcion!$G$2:$G$377,MATCH($A105&amp;"|"&amp;$B105,Corrupcion!$H$2:$H$377,0))),"")</f>
        <v/>
      </c>
      <c r="I105" s="8">
        <f>IF(COUNTBLANK(C105:E105)+COUNTBLANK(F105)=0,1,0)</f>
        <v/>
      </c>
      <c r="J105" s="8">
        <f>IF(COUNTBLANK(C105:E105)+COUNTBLANK(G105)=0,1,0)</f>
        <v/>
      </c>
      <c r="K105" s="8">
        <f>IF(COUNTBLANK(C105:E105)+COUNTBLANK(H105)=0,1,0)</f>
        <v/>
      </c>
    </row>
    <row r="106">
      <c r="A106" s="8" t="inlineStr">
        <is>
          <t>Colombia</t>
        </is>
      </c>
      <c r="B106" s="8" t="n">
        <v>2024</v>
      </c>
      <c r="C106" s="18">
        <f>IF(Categorias!C107="","",Categorias!C107/(N(Categorias!C107)+N(Categorias!D107)+N(Categorias!E107)))</f>
        <v/>
      </c>
      <c r="D106" s="18">
        <f>IF(Categorias!H107="","",Categorias!H107/(N(Categorias!H107)+N(Categorias!I107)))</f>
        <v/>
      </c>
      <c r="E106" s="17">
        <f>IFERROR(IF(INDEX(Gini!$C$2:$C$377,MATCH($A106&amp;"|"&amp;$B106,Gini!$E$2:$E$377,0))="","",INDEX(Gini!$C$2:$C$377,MATCH($A106&amp;"|"&amp;$B106,Gini!$E$2:$E$377,0))),"")</f>
        <v/>
      </c>
      <c r="F106" s="19">
        <f>IFERROR(IF(INDEX(Corrupcion!$E$2:$E$377,MATCH($A106&amp;"|"&amp;$B106,Corrupcion!$H$2:$H$377,0))="","",INDEX(Corrupcion!$E$2:$E$377,MATCH($A106&amp;"|"&amp;$B106,Corrupcion!$H$2:$H$377,0))),"")</f>
        <v/>
      </c>
      <c r="G106" s="20">
        <f>IFERROR(IF(INDEX(Corrupcion!$F$2:$F$377,MATCH($A106&amp;"|"&amp;$B106,Corrupcion!$H$2:$H$377,0))="","",INDEX(Corrupcion!$F$2:$F$377,MATCH($A106&amp;"|"&amp;$B106,Corrupcion!$H$2:$H$377,0))),"")</f>
        <v/>
      </c>
      <c r="H106" s="17">
        <f>IFERROR(IF(INDEX(Corrupcion!$G$2:$G$377,MATCH($A106&amp;"|"&amp;$B106,Corrupcion!$H$2:$H$377,0))="","",INDEX(Corrupcion!$G$2:$G$377,MATCH($A106&amp;"|"&amp;$B106,Corrupcion!$H$2:$H$377,0))),"")</f>
        <v/>
      </c>
      <c r="I106" s="8">
        <f>IF(COUNTBLANK(C106:E106)+COUNTBLANK(F106)=0,1,0)</f>
        <v/>
      </c>
      <c r="J106" s="8">
        <f>IF(COUNTBLANK(C106:E106)+COUNTBLANK(G106)=0,1,0)</f>
        <v/>
      </c>
      <c r="K106" s="8">
        <f>IF(COUNTBLANK(C106:E106)+COUNTBLANK(H106)=0,1,0)</f>
        <v/>
      </c>
    </row>
    <row r="107">
      <c r="A107" s="8" t="inlineStr">
        <is>
          <t>Costa Rica</t>
        </is>
      </c>
      <c r="B107" s="8" t="n">
        <v>1996</v>
      </c>
      <c r="C107" s="18">
        <f>IF(Categorias!C108="","",Categorias!C108/(N(Categorias!C108)+N(Categorias!D108)+N(Categorias!E108)))</f>
        <v/>
      </c>
      <c r="D107" s="18">
        <f>IF(Categorias!H108="","",Categorias!H108/(N(Categorias!H108)+N(Categorias!I108)))</f>
        <v/>
      </c>
      <c r="E107" s="17">
        <f>IFERROR(IF(INDEX(Gini!$C$2:$C$377,MATCH($A107&amp;"|"&amp;$B107,Gini!$E$2:$E$377,0))="","",INDEX(Gini!$C$2:$C$377,MATCH($A107&amp;"|"&amp;$B107,Gini!$E$2:$E$377,0))),"")</f>
        <v/>
      </c>
      <c r="F107" s="19">
        <f>IFERROR(IF(INDEX(Corrupcion!$E$2:$E$377,MATCH($A107&amp;"|"&amp;$B107,Corrupcion!$H$2:$H$377,0))="","",INDEX(Corrupcion!$E$2:$E$377,MATCH($A107&amp;"|"&amp;$B107,Corrupcion!$H$2:$H$377,0))),"")</f>
        <v/>
      </c>
      <c r="G107" s="20">
        <f>IFERROR(IF(INDEX(Corrupcion!$F$2:$F$377,MATCH($A107&amp;"|"&amp;$B107,Corrupcion!$H$2:$H$377,0))="","",INDEX(Corrupcion!$F$2:$F$377,MATCH($A107&amp;"|"&amp;$B107,Corrupcion!$H$2:$H$377,0))),"")</f>
        <v/>
      </c>
      <c r="H107" s="17">
        <f>IFERROR(IF(INDEX(Corrupcion!$G$2:$G$377,MATCH($A107&amp;"|"&amp;$B107,Corrupcion!$H$2:$H$377,0))="","",INDEX(Corrupcion!$G$2:$G$377,MATCH($A107&amp;"|"&amp;$B107,Corrupcion!$H$2:$H$377,0))),"")</f>
        <v/>
      </c>
      <c r="I107" s="8">
        <f>IF(COUNTBLANK(C107:E107)+COUNTBLANK(F107)=0,1,0)</f>
        <v/>
      </c>
      <c r="J107" s="8">
        <f>IF(COUNTBLANK(C107:E107)+COUNTBLANK(G107)=0,1,0)</f>
        <v/>
      </c>
      <c r="K107" s="8">
        <f>IF(COUNTBLANK(C107:E107)+COUNTBLANK(H107)=0,1,0)</f>
        <v/>
      </c>
    </row>
    <row r="108">
      <c r="A108" s="8" t="inlineStr">
        <is>
          <t>Costa Rica</t>
        </is>
      </c>
      <c r="B108" s="8" t="n">
        <v>1997</v>
      </c>
      <c r="C108" s="18">
        <f>IF(Categorias!C109="","",Categorias!C109/(N(Categorias!C109)+N(Categorias!D109)+N(Categorias!E109)))</f>
        <v/>
      </c>
      <c r="D108" s="18">
        <f>IF(Categorias!H109="","",Categorias!H109/(N(Categorias!H109)+N(Categorias!I109)))</f>
        <v/>
      </c>
      <c r="E108" s="17">
        <f>IFERROR(IF(INDEX(Gini!$C$2:$C$377,MATCH($A108&amp;"|"&amp;$B108,Gini!$E$2:$E$377,0))="","",INDEX(Gini!$C$2:$C$377,MATCH($A108&amp;"|"&amp;$B108,Gini!$E$2:$E$377,0))),"")</f>
        <v/>
      </c>
      <c r="F108" s="19">
        <f>IFERROR(IF(INDEX(Corrupcion!$E$2:$E$377,MATCH($A108&amp;"|"&amp;$B108,Corrupcion!$H$2:$H$377,0))="","",INDEX(Corrupcion!$E$2:$E$377,MATCH($A108&amp;"|"&amp;$B108,Corrupcion!$H$2:$H$377,0))),"")</f>
        <v/>
      </c>
      <c r="G108" s="20">
        <f>IFERROR(IF(INDEX(Corrupcion!$F$2:$F$377,MATCH($A108&amp;"|"&amp;$B108,Corrupcion!$H$2:$H$377,0))="","",INDEX(Corrupcion!$F$2:$F$377,MATCH($A108&amp;"|"&amp;$B108,Corrupcion!$H$2:$H$377,0))),"")</f>
        <v/>
      </c>
      <c r="H108" s="17">
        <f>IFERROR(IF(INDEX(Corrupcion!$G$2:$G$377,MATCH($A108&amp;"|"&amp;$B108,Corrupcion!$H$2:$H$377,0))="","",INDEX(Corrupcion!$G$2:$G$377,MATCH($A108&amp;"|"&amp;$B108,Corrupcion!$H$2:$H$377,0))),"")</f>
        <v/>
      </c>
      <c r="I108" s="8">
        <f>IF(COUNTBLANK(C108:E108)+COUNTBLANK(F108)=0,1,0)</f>
        <v/>
      </c>
      <c r="J108" s="8">
        <f>IF(COUNTBLANK(C108:E108)+COUNTBLANK(G108)=0,1,0)</f>
        <v/>
      </c>
      <c r="K108" s="8">
        <f>IF(COUNTBLANK(C108:E108)+COUNTBLANK(H108)=0,1,0)</f>
        <v/>
      </c>
    </row>
    <row r="109">
      <c r="A109" s="8" t="inlineStr">
        <is>
          <t>Costa Rica</t>
        </is>
      </c>
      <c r="B109" s="8" t="n">
        <v>1998</v>
      </c>
      <c r="C109" s="18">
        <f>IF(Categorias!C110="","",Categorias!C110/(N(Categorias!C110)+N(Categorias!D110)+N(Categorias!E110)))</f>
        <v/>
      </c>
      <c r="D109" s="18">
        <f>IF(Categorias!H110="","",Categorias!H110/(N(Categorias!H110)+N(Categorias!I110)))</f>
        <v/>
      </c>
      <c r="E109" s="17">
        <f>IFERROR(IF(INDEX(Gini!$C$2:$C$377,MATCH($A109&amp;"|"&amp;$B109,Gini!$E$2:$E$377,0))="","",INDEX(Gini!$C$2:$C$377,MATCH($A109&amp;"|"&amp;$B109,Gini!$E$2:$E$377,0))),"")</f>
        <v/>
      </c>
      <c r="F109" s="19">
        <f>IFERROR(IF(INDEX(Corrupcion!$E$2:$E$377,MATCH($A109&amp;"|"&amp;$B109,Corrupcion!$H$2:$H$377,0))="","",INDEX(Corrupcion!$E$2:$E$377,MATCH($A109&amp;"|"&amp;$B109,Corrupcion!$H$2:$H$377,0))),"")</f>
        <v/>
      </c>
      <c r="G109" s="20">
        <f>IFERROR(IF(INDEX(Corrupcion!$F$2:$F$377,MATCH($A109&amp;"|"&amp;$B109,Corrupcion!$H$2:$H$377,0))="","",INDEX(Corrupcion!$F$2:$F$377,MATCH($A109&amp;"|"&amp;$B109,Corrupcion!$H$2:$H$377,0))),"")</f>
        <v/>
      </c>
      <c r="H109" s="17">
        <f>IFERROR(IF(INDEX(Corrupcion!$G$2:$G$377,MATCH($A109&amp;"|"&amp;$B109,Corrupcion!$H$2:$H$377,0))="","",INDEX(Corrupcion!$G$2:$G$377,MATCH($A109&amp;"|"&amp;$B109,Corrupcion!$H$2:$H$377,0))),"")</f>
        <v/>
      </c>
      <c r="I109" s="8">
        <f>IF(COUNTBLANK(C109:E109)+COUNTBLANK(F109)=0,1,0)</f>
        <v/>
      </c>
      <c r="J109" s="8">
        <f>IF(COUNTBLANK(C109:E109)+COUNTBLANK(G109)=0,1,0)</f>
        <v/>
      </c>
      <c r="K109" s="8">
        <f>IF(COUNTBLANK(C109:E109)+COUNTBLANK(H109)=0,1,0)</f>
        <v/>
      </c>
    </row>
    <row r="110">
      <c r="A110" s="8" t="inlineStr">
        <is>
          <t>Costa Rica</t>
        </is>
      </c>
      <c r="B110" s="8" t="n">
        <v>2000</v>
      </c>
      <c r="C110" s="18">
        <f>IF(Categorias!C111="","",Categorias!C111/(N(Categorias!C111)+N(Categorias!D111)+N(Categorias!E111)))</f>
        <v/>
      </c>
      <c r="D110" s="18">
        <f>IF(Categorias!H111="","",Categorias!H111/(N(Categorias!H111)+N(Categorias!I111)))</f>
        <v/>
      </c>
      <c r="E110" s="17">
        <f>IFERROR(IF(INDEX(Gini!$C$2:$C$377,MATCH($A110&amp;"|"&amp;$B110,Gini!$E$2:$E$377,0))="","",INDEX(Gini!$C$2:$C$377,MATCH($A110&amp;"|"&amp;$B110,Gini!$E$2:$E$377,0))),"")</f>
        <v/>
      </c>
      <c r="F110" s="19">
        <f>IFERROR(IF(INDEX(Corrupcion!$E$2:$E$377,MATCH($A110&amp;"|"&amp;$B110,Corrupcion!$H$2:$H$377,0))="","",INDEX(Corrupcion!$E$2:$E$377,MATCH($A110&amp;"|"&amp;$B110,Corrupcion!$H$2:$H$377,0))),"")</f>
        <v/>
      </c>
      <c r="G110" s="20">
        <f>IFERROR(IF(INDEX(Corrupcion!$F$2:$F$377,MATCH($A110&amp;"|"&amp;$B110,Corrupcion!$H$2:$H$377,0))="","",INDEX(Corrupcion!$F$2:$F$377,MATCH($A110&amp;"|"&amp;$B110,Corrupcion!$H$2:$H$377,0))),"")</f>
        <v/>
      </c>
      <c r="H110" s="17">
        <f>IFERROR(IF(INDEX(Corrupcion!$G$2:$G$377,MATCH($A110&amp;"|"&amp;$B110,Corrupcion!$H$2:$H$377,0))="","",INDEX(Corrupcion!$G$2:$G$377,MATCH($A110&amp;"|"&amp;$B110,Corrupcion!$H$2:$H$377,0))),"")</f>
        <v/>
      </c>
      <c r="I110" s="8">
        <f>IF(COUNTBLANK(C110:E110)+COUNTBLANK(F110)=0,1,0)</f>
        <v/>
      </c>
      <c r="J110" s="8">
        <f>IF(COUNTBLANK(C110:E110)+COUNTBLANK(G110)=0,1,0)</f>
        <v/>
      </c>
      <c r="K110" s="8">
        <f>IF(COUNTBLANK(C110:E110)+COUNTBLANK(H110)=0,1,0)</f>
        <v/>
      </c>
    </row>
    <row r="111">
      <c r="A111" s="8" t="inlineStr">
        <is>
          <t>Costa Rica</t>
        </is>
      </c>
      <c r="B111" s="8" t="n">
        <v>2001</v>
      </c>
      <c r="C111" s="18">
        <f>IF(Categorias!C112="","",Categorias!C112/(N(Categorias!C112)+N(Categorias!D112)+N(Categorias!E112)))</f>
        <v/>
      </c>
      <c r="D111" s="18">
        <f>IF(Categorias!H112="","",Categorias!H112/(N(Categorias!H112)+N(Categorias!I112)))</f>
        <v/>
      </c>
      <c r="E111" s="17">
        <f>IFERROR(IF(INDEX(Gini!$C$2:$C$377,MATCH($A111&amp;"|"&amp;$B111,Gini!$E$2:$E$377,0))="","",INDEX(Gini!$C$2:$C$377,MATCH($A111&amp;"|"&amp;$B111,Gini!$E$2:$E$377,0))),"")</f>
        <v/>
      </c>
      <c r="F111" s="19">
        <f>IFERROR(IF(INDEX(Corrupcion!$E$2:$E$377,MATCH($A111&amp;"|"&amp;$B111,Corrupcion!$H$2:$H$377,0))="","",INDEX(Corrupcion!$E$2:$E$377,MATCH($A111&amp;"|"&amp;$B111,Corrupcion!$H$2:$H$377,0))),"")</f>
        <v/>
      </c>
      <c r="G111" s="20">
        <f>IFERROR(IF(INDEX(Corrupcion!$F$2:$F$377,MATCH($A111&amp;"|"&amp;$B111,Corrupcion!$H$2:$H$377,0))="","",INDEX(Corrupcion!$F$2:$F$377,MATCH($A111&amp;"|"&amp;$B111,Corrupcion!$H$2:$H$377,0))),"")</f>
        <v/>
      </c>
      <c r="H111" s="17">
        <f>IFERROR(IF(INDEX(Corrupcion!$G$2:$G$377,MATCH($A111&amp;"|"&amp;$B111,Corrupcion!$H$2:$H$377,0))="","",INDEX(Corrupcion!$G$2:$G$377,MATCH($A111&amp;"|"&amp;$B111,Corrupcion!$H$2:$H$377,0))),"")</f>
        <v/>
      </c>
      <c r="I111" s="8">
        <f>IF(COUNTBLANK(C111:E111)+COUNTBLANK(F111)=0,1,0)</f>
        <v/>
      </c>
      <c r="J111" s="8">
        <f>IF(COUNTBLANK(C111:E111)+COUNTBLANK(G111)=0,1,0)</f>
        <v/>
      </c>
      <c r="K111" s="8">
        <f>IF(COUNTBLANK(C111:E111)+COUNTBLANK(H111)=0,1,0)</f>
        <v/>
      </c>
    </row>
    <row r="112">
      <c r="A112" s="8" t="inlineStr">
        <is>
          <t>Costa Rica</t>
        </is>
      </c>
      <c r="B112" s="8" t="n">
        <v>2002</v>
      </c>
      <c r="C112" s="18">
        <f>IF(Categorias!C113="","",Categorias!C113/(N(Categorias!C113)+N(Categorias!D113)+N(Categorias!E113)))</f>
        <v/>
      </c>
      <c r="D112" s="18">
        <f>IF(Categorias!H113="","",Categorias!H113/(N(Categorias!H113)+N(Categorias!I113)))</f>
        <v/>
      </c>
      <c r="E112" s="17">
        <f>IFERROR(IF(INDEX(Gini!$C$2:$C$377,MATCH($A112&amp;"|"&amp;$B112,Gini!$E$2:$E$377,0))="","",INDEX(Gini!$C$2:$C$377,MATCH($A112&amp;"|"&amp;$B112,Gini!$E$2:$E$377,0))),"")</f>
        <v/>
      </c>
      <c r="F112" s="19">
        <f>IFERROR(IF(INDEX(Corrupcion!$E$2:$E$377,MATCH($A112&amp;"|"&amp;$B112,Corrupcion!$H$2:$H$377,0))="","",INDEX(Corrupcion!$E$2:$E$377,MATCH($A112&amp;"|"&amp;$B112,Corrupcion!$H$2:$H$377,0))),"")</f>
        <v/>
      </c>
      <c r="G112" s="20">
        <f>IFERROR(IF(INDEX(Corrupcion!$F$2:$F$377,MATCH($A112&amp;"|"&amp;$B112,Corrupcion!$H$2:$H$377,0))="","",INDEX(Corrupcion!$F$2:$F$377,MATCH($A112&amp;"|"&amp;$B112,Corrupcion!$H$2:$H$377,0))),"")</f>
        <v/>
      </c>
      <c r="H112" s="17">
        <f>IFERROR(IF(INDEX(Corrupcion!$G$2:$G$377,MATCH($A112&amp;"|"&amp;$B112,Corrupcion!$H$2:$H$377,0))="","",INDEX(Corrupcion!$G$2:$G$377,MATCH($A112&amp;"|"&amp;$B112,Corrupcion!$H$2:$H$377,0))),"")</f>
        <v/>
      </c>
      <c r="I112" s="8">
        <f>IF(COUNTBLANK(C112:E112)+COUNTBLANK(F112)=0,1,0)</f>
        <v/>
      </c>
      <c r="J112" s="8">
        <f>IF(COUNTBLANK(C112:E112)+COUNTBLANK(G112)=0,1,0)</f>
        <v/>
      </c>
      <c r="K112" s="8">
        <f>IF(COUNTBLANK(C112:E112)+COUNTBLANK(H112)=0,1,0)</f>
        <v/>
      </c>
    </row>
    <row r="113">
      <c r="A113" s="8" t="inlineStr">
        <is>
          <t>Costa Rica</t>
        </is>
      </c>
      <c r="B113" s="8" t="n">
        <v>2003</v>
      </c>
      <c r="C113" s="18">
        <f>IF(Categorias!C114="","",Categorias!C114/(N(Categorias!C114)+N(Categorias!D114)+N(Categorias!E114)))</f>
        <v/>
      </c>
      <c r="D113" s="18">
        <f>IF(Categorias!H114="","",Categorias!H114/(N(Categorias!H114)+N(Categorias!I114)))</f>
        <v/>
      </c>
      <c r="E113" s="17">
        <f>IFERROR(IF(INDEX(Gini!$C$2:$C$377,MATCH($A113&amp;"|"&amp;$B113,Gini!$E$2:$E$377,0))="","",INDEX(Gini!$C$2:$C$377,MATCH($A113&amp;"|"&amp;$B113,Gini!$E$2:$E$377,0))),"")</f>
        <v/>
      </c>
      <c r="F113" s="19">
        <f>IFERROR(IF(INDEX(Corrupcion!$E$2:$E$377,MATCH($A113&amp;"|"&amp;$B113,Corrupcion!$H$2:$H$377,0))="","",INDEX(Corrupcion!$E$2:$E$377,MATCH($A113&amp;"|"&amp;$B113,Corrupcion!$H$2:$H$377,0))),"")</f>
        <v/>
      </c>
      <c r="G113" s="20">
        <f>IFERROR(IF(INDEX(Corrupcion!$F$2:$F$377,MATCH($A113&amp;"|"&amp;$B113,Corrupcion!$H$2:$H$377,0))="","",INDEX(Corrupcion!$F$2:$F$377,MATCH($A113&amp;"|"&amp;$B113,Corrupcion!$H$2:$H$377,0))),"")</f>
        <v/>
      </c>
      <c r="H113" s="17">
        <f>IFERROR(IF(INDEX(Corrupcion!$G$2:$G$377,MATCH($A113&amp;"|"&amp;$B113,Corrupcion!$H$2:$H$377,0))="","",INDEX(Corrupcion!$G$2:$G$377,MATCH($A113&amp;"|"&amp;$B113,Corrupcion!$H$2:$H$377,0))),"")</f>
        <v/>
      </c>
      <c r="I113" s="8">
        <f>IF(COUNTBLANK(C113:E113)+COUNTBLANK(F113)=0,1,0)</f>
        <v/>
      </c>
      <c r="J113" s="8">
        <f>IF(COUNTBLANK(C113:E113)+COUNTBLANK(G113)=0,1,0)</f>
        <v/>
      </c>
      <c r="K113" s="8">
        <f>IF(COUNTBLANK(C113:E113)+COUNTBLANK(H113)=0,1,0)</f>
        <v/>
      </c>
    </row>
    <row r="114">
      <c r="A114" s="8" t="inlineStr">
        <is>
          <t>Costa Rica</t>
        </is>
      </c>
      <c r="B114" s="8" t="n">
        <v>2004</v>
      </c>
      <c r="C114" s="18">
        <f>IF(Categorias!C115="","",Categorias!C115/(N(Categorias!C115)+N(Categorias!D115)+N(Categorias!E115)))</f>
        <v/>
      </c>
      <c r="D114" s="18">
        <f>IF(Categorias!H115="","",Categorias!H115/(N(Categorias!H115)+N(Categorias!I115)))</f>
        <v/>
      </c>
      <c r="E114" s="17">
        <f>IFERROR(IF(INDEX(Gini!$C$2:$C$377,MATCH($A114&amp;"|"&amp;$B114,Gini!$E$2:$E$377,0))="","",INDEX(Gini!$C$2:$C$377,MATCH($A114&amp;"|"&amp;$B114,Gini!$E$2:$E$377,0))),"")</f>
        <v/>
      </c>
      <c r="F114" s="19">
        <f>IFERROR(IF(INDEX(Corrupcion!$E$2:$E$377,MATCH($A114&amp;"|"&amp;$B114,Corrupcion!$H$2:$H$377,0))="","",INDEX(Corrupcion!$E$2:$E$377,MATCH($A114&amp;"|"&amp;$B114,Corrupcion!$H$2:$H$377,0))),"")</f>
        <v/>
      </c>
      <c r="G114" s="20">
        <f>IFERROR(IF(INDEX(Corrupcion!$F$2:$F$377,MATCH($A114&amp;"|"&amp;$B114,Corrupcion!$H$2:$H$377,0))="","",INDEX(Corrupcion!$F$2:$F$377,MATCH($A114&amp;"|"&amp;$B114,Corrupcion!$H$2:$H$377,0))),"")</f>
        <v/>
      </c>
      <c r="H114" s="17">
        <f>IFERROR(IF(INDEX(Corrupcion!$G$2:$G$377,MATCH($A114&amp;"|"&amp;$B114,Corrupcion!$H$2:$H$377,0))="","",INDEX(Corrupcion!$G$2:$G$377,MATCH($A114&amp;"|"&amp;$B114,Corrupcion!$H$2:$H$377,0))),"")</f>
        <v/>
      </c>
      <c r="I114" s="8">
        <f>IF(COUNTBLANK(C114:E114)+COUNTBLANK(F114)=0,1,0)</f>
        <v/>
      </c>
      <c r="J114" s="8">
        <f>IF(COUNTBLANK(C114:E114)+COUNTBLANK(G114)=0,1,0)</f>
        <v/>
      </c>
      <c r="K114" s="8">
        <f>IF(COUNTBLANK(C114:E114)+COUNTBLANK(H114)=0,1,0)</f>
        <v/>
      </c>
    </row>
    <row r="115">
      <c r="A115" s="8" t="inlineStr">
        <is>
          <t>Costa Rica</t>
        </is>
      </c>
      <c r="B115" s="8" t="n">
        <v>2005</v>
      </c>
      <c r="C115" s="18">
        <f>IF(Categorias!C116="","",Categorias!C116/(N(Categorias!C116)+N(Categorias!D116)+N(Categorias!E116)))</f>
        <v/>
      </c>
      <c r="D115" s="18">
        <f>IF(Categorias!H116="","",Categorias!H116/(N(Categorias!H116)+N(Categorias!I116)))</f>
        <v/>
      </c>
      <c r="E115" s="17">
        <f>IFERROR(IF(INDEX(Gini!$C$2:$C$377,MATCH($A115&amp;"|"&amp;$B115,Gini!$E$2:$E$377,0))="","",INDEX(Gini!$C$2:$C$377,MATCH($A115&amp;"|"&amp;$B115,Gini!$E$2:$E$377,0))),"")</f>
        <v/>
      </c>
      <c r="F115" s="19">
        <f>IFERROR(IF(INDEX(Corrupcion!$E$2:$E$377,MATCH($A115&amp;"|"&amp;$B115,Corrupcion!$H$2:$H$377,0))="","",INDEX(Corrupcion!$E$2:$E$377,MATCH($A115&amp;"|"&amp;$B115,Corrupcion!$H$2:$H$377,0))),"")</f>
        <v/>
      </c>
      <c r="G115" s="20">
        <f>IFERROR(IF(INDEX(Corrupcion!$F$2:$F$377,MATCH($A115&amp;"|"&amp;$B115,Corrupcion!$H$2:$H$377,0))="","",INDEX(Corrupcion!$F$2:$F$377,MATCH($A115&amp;"|"&amp;$B115,Corrupcion!$H$2:$H$377,0))),"")</f>
        <v/>
      </c>
      <c r="H115" s="17">
        <f>IFERROR(IF(INDEX(Corrupcion!$G$2:$G$377,MATCH($A115&amp;"|"&amp;$B115,Corrupcion!$H$2:$H$377,0))="","",INDEX(Corrupcion!$G$2:$G$377,MATCH($A115&amp;"|"&amp;$B115,Corrupcion!$H$2:$H$377,0))),"")</f>
        <v/>
      </c>
      <c r="I115" s="8">
        <f>IF(COUNTBLANK(C115:E115)+COUNTBLANK(F115)=0,1,0)</f>
        <v/>
      </c>
      <c r="J115" s="8">
        <f>IF(COUNTBLANK(C115:E115)+COUNTBLANK(G115)=0,1,0)</f>
        <v/>
      </c>
      <c r="K115" s="8">
        <f>IF(COUNTBLANK(C115:E115)+COUNTBLANK(H115)=0,1,0)</f>
        <v/>
      </c>
    </row>
    <row r="116">
      <c r="A116" s="8" t="inlineStr">
        <is>
          <t>Costa Rica</t>
        </is>
      </c>
      <c r="B116" s="8" t="n">
        <v>2006</v>
      </c>
      <c r="C116" s="18">
        <f>IF(Categorias!C117="","",Categorias!C117/(N(Categorias!C117)+N(Categorias!D117)+N(Categorias!E117)))</f>
        <v/>
      </c>
      <c r="D116" s="18">
        <f>IF(Categorias!H117="","",Categorias!H117/(N(Categorias!H117)+N(Categorias!I117)))</f>
        <v/>
      </c>
      <c r="E116" s="17">
        <f>IFERROR(IF(INDEX(Gini!$C$2:$C$377,MATCH($A116&amp;"|"&amp;$B116,Gini!$E$2:$E$377,0))="","",INDEX(Gini!$C$2:$C$377,MATCH($A116&amp;"|"&amp;$B116,Gini!$E$2:$E$377,0))),"")</f>
        <v/>
      </c>
      <c r="F116" s="19">
        <f>IFERROR(IF(INDEX(Corrupcion!$E$2:$E$377,MATCH($A116&amp;"|"&amp;$B116,Corrupcion!$H$2:$H$377,0))="","",INDEX(Corrupcion!$E$2:$E$377,MATCH($A116&amp;"|"&amp;$B116,Corrupcion!$H$2:$H$377,0))),"")</f>
        <v/>
      </c>
      <c r="G116" s="20">
        <f>IFERROR(IF(INDEX(Corrupcion!$F$2:$F$377,MATCH($A116&amp;"|"&amp;$B116,Corrupcion!$H$2:$H$377,0))="","",INDEX(Corrupcion!$F$2:$F$377,MATCH($A116&amp;"|"&amp;$B116,Corrupcion!$H$2:$H$377,0))),"")</f>
        <v/>
      </c>
      <c r="H116" s="17">
        <f>IFERROR(IF(INDEX(Corrupcion!$G$2:$G$377,MATCH($A116&amp;"|"&amp;$B116,Corrupcion!$H$2:$H$377,0))="","",INDEX(Corrupcion!$G$2:$G$377,MATCH($A116&amp;"|"&amp;$B116,Corrupcion!$H$2:$H$377,0))),"")</f>
        <v/>
      </c>
      <c r="I116" s="8">
        <f>IF(COUNTBLANK(C116:E116)+COUNTBLANK(F116)=0,1,0)</f>
        <v/>
      </c>
      <c r="J116" s="8">
        <f>IF(COUNTBLANK(C116:E116)+COUNTBLANK(G116)=0,1,0)</f>
        <v/>
      </c>
      <c r="K116" s="8">
        <f>IF(COUNTBLANK(C116:E116)+COUNTBLANK(H116)=0,1,0)</f>
        <v/>
      </c>
    </row>
    <row r="117">
      <c r="A117" s="8" t="inlineStr">
        <is>
          <t>Costa Rica</t>
        </is>
      </c>
      <c r="B117" s="8" t="n">
        <v>2007</v>
      </c>
      <c r="C117" s="18">
        <f>IF(Categorias!C118="","",Categorias!C118/(N(Categorias!C118)+N(Categorias!D118)+N(Categorias!E118)))</f>
        <v/>
      </c>
      <c r="D117" s="18">
        <f>IF(Categorias!H118="","",Categorias!H118/(N(Categorias!H118)+N(Categorias!I118)))</f>
        <v/>
      </c>
      <c r="E117" s="17">
        <f>IFERROR(IF(INDEX(Gini!$C$2:$C$377,MATCH($A117&amp;"|"&amp;$B117,Gini!$E$2:$E$377,0))="","",INDEX(Gini!$C$2:$C$377,MATCH($A117&amp;"|"&amp;$B117,Gini!$E$2:$E$377,0))),"")</f>
        <v/>
      </c>
      <c r="F117" s="19">
        <f>IFERROR(IF(INDEX(Corrupcion!$E$2:$E$377,MATCH($A117&amp;"|"&amp;$B117,Corrupcion!$H$2:$H$377,0))="","",INDEX(Corrupcion!$E$2:$E$377,MATCH($A117&amp;"|"&amp;$B117,Corrupcion!$H$2:$H$377,0))),"")</f>
        <v/>
      </c>
      <c r="G117" s="20">
        <f>IFERROR(IF(INDEX(Corrupcion!$F$2:$F$377,MATCH($A117&amp;"|"&amp;$B117,Corrupcion!$H$2:$H$377,0))="","",INDEX(Corrupcion!$F$2:$F$377,MATCH($A117&amp;"|"&amp;$B117,Corrupcion!$H$2:$H$377,0))),"")</f>
        <v/>
      </c>
      <c r="H117" s="17">
        <f>IFERROR(IF(INDEX(Corrupcion!$G$2:$G$377,MATCH($A117&amp;"|"&amp;$B117,Corrupcion!$H$2:$H$377,0))="","",INDEX(Corrupcion!$G$2:$G$377,MATCH($A117&amp;"|"&amp;$B117,Corrupcion!$H$2:$H$377,0))),"")</f>
        <v/>
      </c>
      <c r="I117" s="8">
        <f>IF(COUNTBLANK(C117:E117)+COUNTBLANK(F117)=0,1,0)</f>
        <v/>
      </c>
      <c r="J117" s="8">
        <f>IF(COUNTBLANK(C117:E117)+COUNTBLANK(G117)=0,1,0)</f>
        <v/>
      </c>
      <c r="K117" s="8">
        <f>IF(COUNTBLANK(C117:E117)+COUNTBLANK(H117)=0,1,0)</f>
        <v/>
      </c>
    </row>
    <row r="118">
      <c r="A118" s="8" t="inlineStr">
        <is>
          <t>Costa Rica</t>
        </is>
      </c>
      <c r="B118" s="8" t="n">
        <v>2008</v>
      </c>
      <c r="C118" s="18">
        <f>IF(Categorias!C119="","",Categorias!C119/(N(Categorias!C119)+N(Categorias!D119)+N(Categorias!E119)))</f>
        <v/>
      </c>
      <c r="D118" s="18">
        <f>IF(Categorias!H119="","",Categorias!H119/(N(Categorias!H119)+N(Categorias!I119)))</f>
        <v/>
      </c>
      <c r="E118" s="17">
        <f>IFERROR(IF(INDEX(Gini!$C$2:$C$377,MATCH($A118&amp;"|"&amp;$B118,Gini!$E$2:$E$377,0))="","",INDEX(Gini!$C$2:$C$377,MATCH($A118&amp;"|"&amp;$B118,Gini!$E$2:$E$377,0))),"")</f>
        <v/>
      </c>
      <c r="F118" s="19">
        <f>IFERROR(IF(INDEX(Corrupcion!$E$2:$E$377,MATCH($A118&amp;"|"&amp;$B118,Corrupcion!$H$2:$H$377,0))="","",INDEX(Corrupcion!$E$2:$E$377,MATCH($A118&amp;"|"&amp;$B118,Corrupcion!$H$2:$H$377,0))),"")</f>
        <v/>
      </c>
      <c r="G118" s="20">
        <f>IFERROR(IF(INDEX(Corrupcion!$F$2:$F$377,MATCH($A118&amp;"|"&amp;$B118,Corrupcion!$H$2:$H$377,0))="","",INDEX(Corrupcion!$F$2:$F$377,MATCH($A118&amp;"|"&amp;$B118,Corrupcion!$H$2:$H$377,0))),"")</f>
        <v/>
      </c>
      <c r="H118" s="17">
        <f>IFERROR(IF(INDEX(Corrupcion!$G$2:$G$377,MATCH($A118&amp;"|"&amp;$B118,Corrupcion!$H$2:$H$377,0))="","",INDEX(Corrupcion!$G$2:$G$377,MATCH($A118&amp;"|"&amp;$B118,Corrupcion!$H$2:$H$377,0))),"")</f>
        <v/>
      </c>
      <c r="I118" s="8">
        <f>IF(COUNTBLANK(C118:E118)+COUNTBLANK(F118)=0,1,0)</f>
        <v/>
      </c>
      <c r="J118" s="8">
        <f>IF(COUNTBLANK(C118:E118)+COUNTBLANK(G118)=0,1,0)</f>
        <v/>
      </c>
      <c r="K118" s="8">
        <f>IF(COUNTBLANK(C118:E118)+COUNTBLANK(H118)=0,1,0)</f>
        <v/>
      </c>
    </row>
    <row r="119">
      <c r="A119" s="8" t="inlineStr">
        <is>
          <t>Costa Rica</t>
        </is>
      </c>
      <c r="B119" s="8" t="n">
        <v>2009</v>
      </c>
      <c r="C119" s="18">
        <f>IF(Categorias!C120="","",Categorias!C120/(N(Categorias!C120)+N(Categorias!D120)+N(Categorias!E120)))</f>
        <v/>
      </c>
      <c r="D119" s="18">
        <f>IF(Categorias!H120="","",Categorias!H120/(N(Categorias!H120)+N(Categorias!I120)))</f>
        <v/>
      </c>
      <c r="E119" s="17">
        <f>IFERROR(IF(INDEX(Gini!$C$2:$C$377,MATCH($A119&amp;"|"&amp;$B119,Gini!$E$2:$E$377,0))="","",INDEX(Gini!$C$2:$C$377,MATCH($A119&amp;"|"&amp;$B119,Gini!$E$2:$E$377,0))),"")</f>
        <v/>
      </c>
      <c r="F119" s="19">
        <f>IFERROR(IF(INDEX(Corrupcion!$E$2:$E$377,MATCH($A119&amp;"|"&amp;$B119,Corrupcion!$H$2:$H$377,0))="","",INDEX(Corrupcion!$E$2:$E$377,MATCH($A119&amp;"|"&amp;$B119,Corrupcion!$H$2:$H$377,0))),"")</f>
        <v/>
      </c>
      <c r="G119" s="20">
        <f>IFERROR(IF(INDEX(Corrupcion!$F$2:$F$377,MATCH($A119&amp;"|"&amp;$B119,Corrupcion!$H$2:$H$377,0))="","",INDEX(Corrupcion!$F$2:$F$377,MATCH($A119&amp;"|"&amp;$B119,Corrupcion!$H$2:$H$377,0))),"")</f>
        <v/>
      </c>
      <c r="H119" s="17">
        <f>IFERROR(IF(INDEX(Corrupcion!$G$2:$G$377,MATCH($A119&amp;"|"&amp;$B119,Corrupcion!$H$2:$H$377,0))="","",INDEX(Corrupcion!$G$2:$G$377,MATCH($A119&amp;"|"&amp;$B119,Corrupcion!$H$2:$H$377,0))),"")</f>
        <v/>
      </c>
      <c r="I119" s="8">
        <f>IF(COUNTBLANK(C119:E119)+COUNTBLANK(F119)=0,1,0)</f>
        <v/>
      </c>
      <c r="J119" s="8">
        <f>IF(COUNTBLANK(C119:E119)+COUNTBLANK(G119)=0,1,0)</f>
        <v/>
      </c>
      <c r="K119" s="8">
        <f>IF(COUNTBLANK(C119:E119)+COUNTBLANK(H119)=0,1,0)</f>
        <v/>
      </c>
    </row>
    <row r="120">
      <c r="A120" s="8" t="inlineStr">
        <is>
          <t>Costa Rica</t>
        </is>
      </c>
      <c r="B120" s="8" t="n">
        <v>2010</v>
      </c>
      <c r="C120" s="18">
        <f>IF(Categorias!C121="","",Categorias!C121/(N(Categorias!C121)+N(Categorias!D121)+N(Categorias!E121)))</f>
        <v/>
      </c>
      <c r="D120" s="18">
        <f>IF(Categorias!H121="","",Categorias!H121/(N(Categorias!H121)+N(Categorias!I121)))</f>
        <v/>
      </c>
      <c r="E120" s="17">
        <f>IFERROR(IF(INDEX(Gini!$C$2:$C$377,MATCH($A120&amp;"|"&amp;$B120,Gini!$E$2:$E$377,0))="","",INDEX(Gini!$C$2:$C$377,MATCH($A120&amp;"|"&amp;$B120,Gini!$E$2:$E$377,0))),"")</f>
        <v/>
      </c>
      <c r="F120" s="19">
        <f>IFERROR(IF(INDEX(Corrupcion!$E$2:$E$377,MATCH($A120&amp;"|"&amp;$B120,Corrupcion!$H$2:$H$377,0))="","",INDEX(Corrupcion!$E$2:$E$377,MATCH($A120&amp;"|"&amp;$B120,Corrupcion!$H$2:$H$377,0))),"")</f>
        <v/>
      </c>
      <c r="G120" s="20">
        <f>IFERROR(IF(INDEX(Corrupcion!$F$2:$F$377,MATCH($A120&amp;"|"&amp;$B120,Corrupcion!$H$2:$H$377,0))="","",INDEX(Corrupcion!$F$2:$F$377,MATCH($A120&amp;"|"&amp;$B120,Corrupcion!$H$2:$H$377,0))),"")</f>
        <v/>
      </c>
      <c r="H120" s="17">
        <f>IFERROR(IF(INDEX(Corrupcion!$G$2:$G$377,MATCH($A120&amp;"|"&amp;$B120,Corrupcion!$H$2:$H$377,0))="","",INDEX(Corrupcion!$G$2:$G$377,MATCH($A120&amp;"|"&amp;$B120,Corrupcion!$H$2:$H$377,0))),"")</f>
        <v/>
      </c>
      <c r="I120" s="8">
        <f>IF(COUNTBLANK(C120:E120)+COUNTBLANK(F120)=0,1,0)</f>
        <v/>
      </c>
      <c r="J120" s="8">
        <f>IF(COUNTBLANK(C120:E120)+COUNTBLANK(G120)=0,1,0)</f>
        <v/>
      </c>
      <c r="K120" s="8">
        <f>IF(COUNTBLANK(C120:E120)+COUNTBLANK(H120)=0,1,0)</f>
        <v/>
      </c>
    </row>
    <row r="121">
      <c r="A121" s="8" t="inlineStr">
        <is>
          <t>Costa Rica</t>
        </is>
      </c>
      <c r="B121" s="8" t="n">
        <v>2011</v>
      </c>
      <c r="C121" s="18">
        <f>IF(Categorias!C122="","",Categorias!C122/(N(Categorias!C122)+N(Categorias!D122)+N(Categorias!E122)))</f>
        <v/>
      </c>
      <c r="D121" s="18">
        <f>IF(Categorias!H122="","",Categorias!H122/(N(Categorias!H122)+N(Categorias!I122)))</f>
        <v/>
      </c>
      <c r="E121" s="17">
        <f>IFERROR(IF(INDEX(Gini!$C$2:$C$377,MATCH($A121&amp;"|"&amp;$B121,Gini!$E$2:$E$377,0))="","",INDEX(Gini!$C$2:$C$377,MATCH($A121&amp;"|"&amp;$B121,Gini!$E$2:$E$377,0))),"")</f>
        <v/>
      </c>
      <c r="F121" s="19">
        <f>IFERROR(IF(INDEX(Corrupcion!$E$2:$E$377,MATCH($A121&amp;"|"&amp;$B121,Corrupcion!$H$2:$H$377,0))="","",INDEX(Corrupcion!$E$2:$E$377,MATCH($A121&amp;"|"&amp;$B121,Corrupcion!$H$2:$H$377,0))),"")</f>
        <v/>
      </c>
      <c r="G121" s="20">
        <f>IFERROR(IF(INDEX(Corrupcion!$F$2:$F$377,MATCH($A121&amp;"|"&amp;$B121,Corrupcion!$H$2:$H$377,0))="","",INDEX(Corrupcion!$F$2:$F$377,MATCH($A121&amp;"|"&amp;$B121,Corrupcion!$H$2:$H$377,0))),"")</f>
        <v/>
      </c>
      <c r="H121" s="17">
        <f>IFERROR(IF(INDEX(Corrupcion!$G$2:$G$377,MATCH($A121&amp;"|"&amp;$B121,Corrupcion!$H$2:$H$377,0))="","",INDEX(Corrupcion!$G$2:$G$377,MATCH($A121&amp;"|"&amp;$B121,Corrupcion!$H$2:$H$377,0))),"")</f>
        <v/>
      </c>
      <c r="I121" s="8">
        <f>IF(COUNTBLANK(C121:E121)+COUNTBLANK(F121)=0,1,0)</f>
        <v/>
      </c>
      <c r="J121" s="8">
        <f>IF(COUNTBLANK(C121:E121)+COUNTBLANK(G121)=0,1,0)</f>
        <v/>
      </c>
      <c r="K121" s="8">
        <f>IF(COUNTBLANK(C121:E121)+COUNTBLANK(H121)=0,1,0)</f>
        <v/>
      </c>
    </row>
    <row r="122">
      <c r="A122" s="8" t="inlineStr">
        <is>
          <t>Costa Rica</t>
        </is>
      </c>
      <c r="B122" s="8" t="n">
        <v>2016</v>
      </c>
      <c r="C122" s="18">
        <f>IF(Categorias!C123="","",Categorias!C123/(N(Categorias!C123)+N(Categorias!D123)+N(Categorias!E123)))</f>
        <v/>
      </c>
      <c r="D122" s="18">
        <f>IF(Categorias!H123="","",Categorias!H123/(N(Categorias!H123)+N(Categorias!I123)))</f>
        <v/>
      </c>
      <c r="E122" s="17">
        <f>IFERROR(IF(INDEX(Gini!$C$2:$C$377,MATCH($A122&amp;"|"&amp;$B122,Gini!$E$2:$E$377,0))="","",INDEX(Gini!$C$2:$C$377,MATCH($A122&amp;"|"&amp;$B122,Gini!$E$2:$E$377,0))),"")</f>
        <v/>
      </c>
      <c r="F122" s="19">
        <f>IFERROR(IF(INDEX(Corrupcion!$E$2:$E$377,MATCH($A122&amp;"|"&amp;$B122,Corrupcion!$H$2:$H$377,0))="","",INDEX(Corrupcion!$E$2:$E$377,MATCH($A122&amp;"|"&amp;$B122,Corrupcion!$H$2:$H$377,0))),"")</f>
        <v/>
      </c>
      <c r="G122" s="20">
        <f>IFERROR(IF(INDEX(Corrupcion!$F$2:$F$377,MATCH($A122&amp;"|"&amp;$B122,Corrupcion!$H$2:$H$377,0))="","",INDEX(Corrupcion!$F$2:$F$377,MATCH($A122&amp;"|"&amp;$B122,Corrupcion!$H$2:$H$377,0))),"")</f>
        <v/>
      </c>
      <c r="H122" s="17">
        <f>IFERROR(IF(INDEX(Corrupcion!$G$2:$G$377,MATCH($A122&amp;"|"&amp;$B122,Corrupcion!$H$2:$H$377,0))="","",INDEX(Corrupcion!$G$2:$G$377,MATCH($A122&amp;"|"&amp;$B122,Corrupcion!$H$2:$H$377,0))),"")</f>
        <v/>
      </c>
      <c r="I122" s="8">
        <f>IF(COUNTBLANK(C122:E122)+COUNTBLANK(F122)=0,1,0)</f>
        <v/>
      </c>
      <c r="J122" s="8">
        <f>IF(COUNTBLANK(C122:E122)+COUNTBLANK(G122)=0,1,0)</f>
        <v/>
      </c>
      <c r="K122" s="8">
        <f>IF(COUNTBLANK(C122:E122)+COUNTBLANK(H122)=0,1,0)</f>
        <v/>
      </c>
    </row>
    <row r="123">
      <c r="A123" s="8" t="inlineStr">
        <is>
          <t>Costa Rica</t>
        </is>
      </c>
      <c r="B123" s="8" t="n">
        <v>2017</v>
      </c>
      <c r="C123" s="18">
        <f>IF(Categorias!C124="","",Categorias!C124/(N(Categorias!C124)+N(Categorias!D124)+N(Categorias!E124)))</f>
        <v/>
      </c>
      <c r="D123" s="18">
        <f>IF(Categorias!H124="","",Categorias!H124/(N(Categorias!H124)+N(Categorias!I124)))</f>
        <v/>
      </c>
      <c r="E123" s="17">
        <f>IFERROR(IF(INDEX(Gini!$C$2:$C$377,MATCH($A123&amp;"|"&amp;$B123,Gini!$E$2:$E$377,0))="","",INDEX(Gini!$C$2:$C$377,MATCH($A123&amp;"|"&amp;$B123,Gini!$E$2:$E$377,0))),"")</f>
        <v/>
      </c>
      <c r="F123" s="19">
        <f>IFERROR(IF(INDEX(Corrupcion!$E$2:$E$377,MATCH($A123&amp;"|"&amp;$B123,Corrupcion!$H$2:$H$377,0))="","",INDEX(Corrupcion!$E$2:$E$377,MATCH($A123&amp;"|"&amp;$B123,Corrupcion!$H$2:$H$377,0))),"")</f>
        <v/>
      </c>
      <c r="G123" s="20">
        <f>IFERROR(IF(INDEX(Corrupcion!$F$2:$F$377,MATCH($A123&amp;"|"&amp;$B123,Corrupcion!$H$2:$H$377,0))="","",INDEX(Corrupcion!$F$2:$F$377,MATCH($A123&amp;"|"&amp;$B123,Corrupcion!$H$2:$H$377,0))),"")</f>
        <v/>
      </c>
      <c r="H123" s="17">
        <f>IFERROR(IF(INDEX(Corrupcion!$G$2:$G$377,MATCH($A123&amp;"|"&amp;$B123,Corrupcion!$H$2:$H$377,0))="","",INDEX(Corrupcion!$G$2:$G$377,MATCH($A123&amp;"|"&amp;$B123,Corrupcion!$H$2:$H$377,0))),"")</f>
        <v/>
      </c>
      <c r="I123" s="8">
        <f>IF(COUNTBLANK(C123:E123)+COUNTBLANK(F123)=0,1,0)</f>
        <v/>
      </c>
      <c r="J123" s="8">
        <f>IF(COUNTBLANK(C123:E123)+COUNTBLANK(G123)=0,1,0)</f>
        <v/>
      </c>
      <c r="K123" s="8">
        <f>IF(COUNTBLANK(C123:E123)+COUNTBLANK(H123)=0,1,0)</f>
        <v/>
      </c>
    </row>
    <row r="124">
      <c r="A124" s="8" t="inlineStr">
        <is>
          <t>Costa Rica</t>
        </is>
      </c>
      <c r="B124" s="8" t="n">
        <v>2018</v>
      </c>
      <c r="C124" s="18">
        <f>IF(Categorias!C125="","",Categorias!C125/(N(Categorias!C125)+N(Categorias!D125)+N(Categorias!E125)))</f>
        <v/>
      </c>
      <c r="D124" s="18">
        <f>IF(Categorias!H125="","",Categorias!H125/(N(Categorias!H125)+N(Categorias!I125)))</f>
        <v/>
      </c>
      <c r="E124" s="17">
        <f>IFERROR(IF(INDEX(Gini!$C$2:$C$377,MATCH($A124&amp;"|"&amp;$B124,Gini!$E$2:$E$377,0))="","",INDEX(Gini!$C$2:$C$377,MATCH($A124&amp;"|"&amp;$B124,Gini!$E$2:$E$377,0))),"")</f>
        <v/>
      </c>
      <c r="F124" s="19">
        <f>IFERROR(IF(INDEX(Corrupcion!$E$2:$E$377,MATCH($A124&amp;"|"&amp;$B124,Corrupcion!$H$2:$H$377,0))="","",INDEX(Corrupcion!$E$2:$E$377,MATCH($A124&amp;"|"&amp;$B124,Corrupcion!$H$2:$H$377,0))),"")</f>
        <v/>
      </c>
      <c r="G124" s="20">
        <f>IFERROR(IF(INDEX(Corrupcion!$F$2:$F$377,MATCH($A124&amp;"|"&amp;$B124,Corrupcion!$H$2:$H$377,0))="","",INDEX(Corrupcion!$F$2:$F$377,MATCH($A124&amp;"|"&amp;$B124,Corrupcion!$H$2:$H$377,0))),"")</f>
        <v/>
      </c>
      <c r="H124" s="17">
        <f>IFERROR(IF(INDEX(Corrupcion!$G$2:$G$377,MATCH($A124&amp;"|"&amp;$B124,Corrupcion!$H$2:$H$377,0))="","",INDEX(Corrupcion!$G$2:$G$377,MATCH($A124&amp;"|"&amp;$B124,Corrupcion!$H$2:$H$377,0))),"")</f>
        <v/>
      </c>
      <c r="I124" s="8">
        <f>IF(COUNTBLANK(C124:E124)+COUNTBLANK(F124)=0,1,0)</f>
        <v/>
      </c>
      <c r="J124" s="8">
        <f>IF(COUNTBLANK(C124:E124)+COUNTBLANK(G124)=0,1,0)</f>
        <v/>
      </c>
      <c r="K124" s="8">
        <f>IF(COUNTBLANK(C124:E124)+COUNTBLANK(H124)=0,1,0)</f>
        <v/>
      </c>
    </row>
    <row r="125">
      <c r="A125" s="8" t="inlineStr">
        <is>
          <t>Costa Rica</t>
        </is>
      </c>
      <c r="B125" s="8" t="n">
        <v>2020</v>
      </c>
      <c r="C125" s="18">
        <f>IF(Categorias!C126="","",Categorias!C126/(N(Categorias!C126)+N(Categorias!D126)+N(Categorias!E126)))</f>
        <v/>
      </c>
      <c r="D125" s="18">
        <f>IF(Categorias!H126="","",Categorias!H126/(N(Categorias!H126)+N(Categorias!I126)))</f>
        <v/>
      </c>
      <c r="E125" s="17">
        <f>IFERROR(IF(INDEX(Gini!$C$2:$C$377,MATCH($A125&amp;"|"&amp;$B125,Gini!$E$2:$E$377,0))="","",INDEX(Gini!$C$2:$C$377,MATCH($A125&amp;"|"&amp;$B125,Gini!$E$2:$E$377,0))),"")</f>
        <v/>
      </c>
      <c r="F125" s="19">
        <f>IFERROR(IF(INDEX(Corrupcion!$E$2:$E$377,MATCH($A125&amp;"|"&amp;$B125,Corrupcion!$H$2:$H$377,0))="","",INDEX(Corrupcion!$E$2:$E$377,MATCH($A125&amp;"|"&amp;$B125,Corrupcion!$H$2:$H$377,0))),"")</f>
        <v/>
      </c>
      <c r="G125" s="20">
        <f>IFERROR(IF(INDEX(Corrupcion!$F$2:$F$377,MATCH($A125&amp;"|"&amp;$B125,Corrupcion!$H$2:$H$377,0))="","",INDEX(Corrupcion!$F$2:$F$377,MATCH($A125&amp;"|"&amp;$B125,Corrupcion!$H$2:$H$377,0))),"")</f>
        <v/>
      </c>
      <c r="H125" s="17">
        <f>IFERROR(IF(INDEX(Corrupcion!$G$2:$G$377,MATCH($A125&amp;"|"&amp;$B125,Corrupcion!$H$2:$H$377,0))="","",INDEX(Corrupcion!$G$2:$G$377,MATCH($A125&amp;"|"&amp;$B125,Corrupcion!$H$2:$H$377,0))),"")</f>
        <v/>
      </c>
      <c r="I125" s="8">
        <f>IF(COUNTBLANK(C125:E125)+COUNTBLANK(F125)=0,1,0)</f>
        <v/>
      </c>
      <c r="J125" s="8">
        <f>IF(COUNTBLANK(C125:E125)+COUNTBLANK(G125)=0,1,0)</f>
        <v/>
      </c>
      <c r="K125" s="8">
        <f>IF(COUNTBLANK(C125:E125)+COUNTBLANK(H125)=0,1,0)</f>
        <v/>
      </c>
    </row>
    <row r="126">
      <c r="A126" s="8" t="inlineStr">
        <is>
          <t>Costa Rica</t>
        </is>
      </c>
      <c r="B126" s="8" t="n">
        <v>2024</v>
      </c>
      <c r="C126" s="18">
        <f>IF(Categorias!C127="","",Categorias!C127/(N(Categorias!C127)+N(Categorias!D127)+N(Categorias!E127)))</f>
        <v/>
      </c>
      <c r="D126" s="18">
        <f>IF(Categorias!H127="","",Categorias!H127/(N(Categorias!H127)+N(Categorias!I127)))</f>
        <v/>
      </c>
      <c r="E126" s="17">
        <f>IFERROR(IF(INDEX(Gini!$C$2:$C$377,MATCH($A126&amp;"|"&amp;$B126,Gini!$E$2:$E$377,0))="","",INDEX(Gini!$C$2:$C$377,MATCH($A126&amp;"|"&amp;$B126,Gini!$E$2:$E$377,0))),"")</f>
        <v/>
      </c>
      <c r="F126" s="19">
        <f>IFERROR(IF(INDEX(Corrupcion!$E$2:$E$377,MATCH($A126&amp;"|"&amp;$B126,Corrupcion!$H$2:$H$377,0))="","",INDEX(Corrupcion!$E$2:$E$377,MATCH($A126&amp;"|"&amp;$B126,Corrupcion!$H$2:$H$377,0))),"")</f>
        <v/>
      </c>
      <c r="G126" s="20">
        <f>IFERROR(IF(INDEX(Corrupcion!$F$2:$F$377,MATCH($A126&amp;"|"&amp;$B126,Corrupcion!$H$2:$H$377,0))="","",INDEX(Corrupcion!$F$2:$F$377,MATCH($A126&amp;"|"&amp;$B126,Corrupcion!$H$2:$H$377,0))),"")</f>
        <v/>
      </c>
      <c r="H126" s="17">
        <f>IFERROR(IF(INDEX(Corrupcion!$G$2:$G$377,MATCH($A126&amp;"|"&amp;$B126,Corrupcion!$H$2:$H$377,0))="","",INDEX(Corrupcion!$G$2:$G$377,MATCH($A126&amp;"|"&amp;$B126,Corrupcion!$H$2:$H$377,0))),"")</f>
        <v/>
      </c>
      <c r="I126" s="8">
        <f>IF(COUNTBLANK(C126:E126)+COUNTBLANK(F126)=0,1,0)</f>
        <v/>
      </c>
      <c r="J126" s="8">
        <f>IF(COUNTBLANK(C126:E126)+COUNTBLANK(G126)=0,1,0)</f>
        <v/>
      </c>
      <c r="K126" s="8">
        <f>IF(COUNTBLANK(C126:E126)+COUNTBLANK(H126)=0,1,0)</f>
        <v/>
      </c>
    </row>
    <row r="127">
      <c r="A127" s="8" t="inlineStr">
        <is>
          <t>Rep. Dominicana</t>
        </is>
      </c>
      <c r="B127" s="8" t="n">
        <v>2004</v>
      </c>
      <c r="C127" s="18">
        <f>IF(Categorias!C128="","",Categorias!C128/(N(Categorias!C128)+N(Categorias!D128)+N(Categorias!E128)))</f>
        <v/>
      </c>
      <c r="D127" s="18">
        <f>IF(Categorias!H128="","",Categorias!H128/(N(Categorias!H128)+N(Categorias!I128)))</f>
        <v/>
      </c>
      <c r="E127" s="17">
        <f>IFERROR(IF(INDEX(Gini!$C$2:$C$377,MATCH($A127&amp;"|"&amp;$B127,Gini!$E$2:$E$377,0))="","",INDEX(Gini!$C$2:$C$377,MATCH($A127&amp;"|"&amp;$B127,Gini!$E$2:$E$377,0))),"")</f>
        <v/>
      </c>
      <c r="F127" s="19">
        <f>IFERROR(IF(INDEX(Corrupcion!$E$2:$E$377,MATCH($A127&amp;"|"&amp;$B127,Corrupcion!$H$2:$H$377,0))="","",INDEX(Corrupcion!$E$2:$E$377,MATCH($A127&amp;"|"&amp;$B127,Corrupcion!$H$2:$H$377,0))),"")</f>
        <v/>
      </c>
      <c r="G127" s="20">
        <f>IFERROR(IF(INDEX(Corrupcion!$F$2:$F$377,MATCH($A127&amp;"|"&amp;$B127,Corrupcion!$H$2:$H$377,0))="","",INDEX(Corrupcion!$F$2:$F$377,MATCH($A127&amp;"|"&amp;$B127,Corrupcion!$H$2:$H$377,0))),"")</f>
        <v/>
      </c>
      <c r="H127" s="17">
        <f>IFERROR(IF(INDEX(Corrupcion!$G$2:$G$377,MATCH($A127&amp;"|"&amp;$B127,Corrupcion!$H$2:$H$377,0))="","",INDEX(Corrupcion!$G$2:$G$377,MATCH($A127&amp;"|"&amp;$B127,Corrupcion!$H$2:$H$377,0))),"")</f>
        <v/>
      </c>
      <c r="I127" s="8">
        <f>IF(COUNTBLANK(C127:E127)+COUNTBLANK(F127)=0,1,0)</f>
        <v/>
      </c>
      <c r="J127" s="8">
        <f>IF(COUNTBLANK(C127:E127)+COUNTBLANK(G127)=0,1,0)</f>
        <v/>
      </c>
      <c r="K127" s="8">
        <f>IF(COUNTBLANK(C127:E127)+COUNTBLANK(H127)=0,1,0)</f>
        <v/>
      </c>
    </row>
    <row r="128">
      <c r="A128" s="8" t="inlineStr">
        <is>
          <t>Rep. Dominicana</t>
        </is>
      </c>
      <c r="B128" s="8" t="n">
        <v>2005</v>
      </c>
      <c r="C128" s="18">
        <f>IF(Categorias!C129="","",Categorias!C129/(N(Categorias!C129)+N(Categorias!D129)+N(Categorias!E129)))</f>
        <v/>
      </c>
      <c r="D128" s="18">
        <f>IF(Categorias!H129="","",Categorias!H129/(N(Categorias!H129)+N(Categorias!I129)))</f>
        <v/>
      </c>
      <c r="E128" s="17">
        <f>IFERROR(IF(INDEX(Gini!$C$2:$C$377,MATCH($A128&amp;"|"&amp;$B128,Gini!$E$2:$E$377,0))="","",INDEX(Gini!$C$2:$C$377,MATCH($A128&amp;"|"&amp;$B128,Gini!$E$2:$E$377,0))),"")</f>
        <v/>
      </c>
      <c r="F128" s="19">
        <f>IFERROR(IF(INDEX(Corrupcion!$E$2:$E$377,MATCH($A128&amp;"|"&amp;$B128,Corrupcion!$H$2:$H$377,0))="","",INDEX(Corrupcion!$E$2:$E$377,MATCH($A128&amp;"|"&amp;$B128,Corrupcion!$H$2:$H$377,0))),"")</f>
        <v/>
      </c>
      <c r="G128" s="20">
        <f>IFERROR(IF(INDEX(Corrupcion!$F$2:$F$377,MATCH($A128&amp;"|"&amp;$B128,Corrupcion!$H$2:$H$377,0))="","",INDEX(Corrupcion!$F$2:$F$377,MATCH($A128&amp;"|"&amp;$B128,Corrupcion!$H$2:$H$377,0))),"")</f>
        <v/>
      </c>
      <c r="H128" s="17">
        <f>IFERROR(IF(INDEX(Corrupcion!$G$2:$G$377,MATCH($A128&amp;"|"&amp;$B128,Corrupcion!$H$2:$H$377,0))="","",INDEX(Corrupcion!$G$2:$G$377,MATCH($A128&amp;"|"&amp;$B128,Corrupcion!$H$2:$H$377,0))),"")</f>
        <v/>
      </c>
      <c r="I128" s="8">
        <f>IF(COUNTBLANK(C128:E128)+COUNTBLANK(F128)=0,1,0)</f>
        <v/>
      </c>
      <c r="J128" s="8">
        <f>IF(COUNTBLANK(C128:E128)+COUNTBLANK(G128)=0,1,0)</f>
        <v/>
      </c>
      <c r="K128" s="8">
        <f>IF(COUNTBLANK(C128:E128)+COUNTBLANK(H128)=0,1,0)</f>
        <v/>
      </c>
    </row>
    <row r="129">
      <c r="A129" s="8" t="inlineStr">
        <is>
          <t>Rep. Dominicana</t>
        </is>
      </c>
      <c r="B129" s="8" t="n">
        <v>2006</v>
      </c>
      <c r="C129" s="18">
        <f>IF(Categorias!C130="","",Categorias!C130/(N(Categorias!C130)+N(Categorias!D130)+N(Categorias!E130)))</f>
        <v/>
      </c>
      <c r="D129" s="18">
        <f>IF(Categorias!H130="","",Categorias!H130/(N(Categorias!H130)+N(Categorias!I130)))</f>
        <v/>
      </c>
      <c r="E129" s="17">
        <f>IFERROR(IF(INDEX(Gini!$C$2:$C$377,MATCH($A129&amp;"|"&amp;$B129,Gini!$E$2:$E$377,0))="","",INDEX(Gini!$C$2:$C$377,MATCH($A129&amp;"|"&amp;$B129,Gini!$E$2:$E$377,0))),"")</f>
        <v/>
      </c>
      <c r="F129" s="19">
        <f>IFERROR(IF(INDEX(Corrupcion!$E$2:$E$377,MATCH($A129&amp;"|"&amp;$B129,Corrupcion!$H$2:$H$377,0))="","",INDEX(Corrupcion!$E$2:$E$377,MATCH($A129&amp;"|"&amp;$B129,Corrupcion!$H$2:$H$377,0))),"")</f>
        <v/>
      </c>
      <c r="G129" s="20">
        <f>IFERROR(IF(INDEX(Corrupcion!$F$2:$F$377,MATCH($A129&amp;"|"&amp;$B129,Corrupcion!$H$2:$H$377,0))="","",INDEX(Corrupcion!$F$2:$F$377,MATCH($A129&amp;"|"&amp;$B129,Corrupcion!$H$2:$H$377,0))),"")</f>
        <v/>
      </c>
      <c r="H129" s="17">
        <f>IFERROR(IF(INDEX(Corrupcion!$G$2:$G$377,MATCH($A129&amp;"|"&amp;$B129,Corrupcion!$H$2:$H$377,0))="","",INDEX(Corrupcion!$G$2:$G$377,MATCH($A129&amp;"|"&amp;$B129,Corrupcion!$H$2:$H$377,0))),"")</f>
        <v/>
      </c>
      <c r="I129" s="8">
        <f>IF(COUNTBLANK(C129:E129)+COUNTBLANK(F129)=0,1,0)</f>
        <v/>
      </c>
      <c r="J129" s="8">
        <f>IF(COUNTBLANK(C129:E129)+COUNTBLANK(G129)=0,1,0)</f>
        <v/>
      </c>
      <c r="K129" s="8">
        <f>IF(COUNTBLANK(C129:E129)+COUNTBLANK(H129)=0,1,0)</f>
        <v/>
      </c>
    </row>
    <row r="130">
      <c r="A130" s="8" t="inlineStr">
        <is>
          <t>Rep. Dominicana</t>
        </is>
      </c>
      <c r="B130" s="8" t="n">
        <v>2007</v>
      </c>
      <c r="C130" s="18">
        <f>IF(Categorias!C131="","",Categorias!C131/(N(Categorias!C131)+N(Categorias!D131)+N(Categorias!E131)))</f>
        <v/>
      </c>
      <c r="D130" s="18">
        <f>IF(Categorias!H131="","",Categorias!H131/(N(Categorias!H131)+N(Categorias!I131)))</f>
        <v/>
      </c>
      <c r="E130" s="17">
        <f>IFERROR(IF(INDEX(Gini!$C$2:$C$377,MATCH($A130&amp;"|"&amp;$B130,Gini!$E$2:$E$377,0))="","",INDEX(Gini!$C$2:$C$377,MATCH($A130&amp;"|"&amp;$B130,Gini!$E$2:$E$377,0))),"")</f>
        <v/>
      </c>
      <c r="F130" s="19">
        <f>IFERROR(IF(INDEX(Corrupcion!$E$2:$E$377,MATCH($A130&amp;"|"&amp;$B130,Corrupcion!$H$2:$H$377,0))="","",INDEX(Corrupcion!$E$2:$E$377,MATCH($A130&amp;"|"&amp;$B130,Corrupcion!$H$2:$H$377,0))),"")</f>
        <v/>
      </c>
      <c r="G130" s="20">
        <f>IFERROR(IF(INDEX(Corrupcion!$F$2:$F$377,MATCH($A130&amp;"|"&amp;$B130,Corrupcion!$H$2:$H$377,0))="","",INDEX(Corrupcion!$F$2:$F$377,MATCH($A130&amp;"|"&amp;$B130,Corrupcion!$H$2:$H$377,0))),"")</f>
        <v/>
      </c>
      <c r="H130" s="17">
        <f>IFERROR(IF(INDEX(Corrupcion!$G$2:$G$377,MATCH($A130&amp;"|"&amp;$B130,Corrupcion!$H$2:$H$377,0))="","",INDEX(Corrupcion!$G$2:$G$377,MATCH($A130&amp;"|"&amp;$B130,Corrupcion!$H$2:$H$377,0))),"")</f>
        <v/>
      </c>
      <c r="I130" s="8">
        <f>IF(COUNTBLANK(C130:E130)+COUNTBLANK(F130)=0,1,0)</f>
        <v/>
      </c>
      <c r="J130" s="8">
        <f>IF(COUNTBLANK(C130:E130)+COUNTBLANK(G130)=0,1,0)</f>
        <v/>
      </c>
      <c r="K130" s="8">
        <f>IF(COUNTBLANK(C130:E130)+COUNTBLANK(H130)=0,1,0)</f>
        <v/>
      </c>
    </row>
    <row r="131">
      <c r="A131" s="8" t="inlineStr">
        <is>
          <t>Rep. Dominicana</t>
        </is>
      </c>
      <c r="B131" s="8" t="n">
        <v>2008</v>
      </c>
      <c r="C131" s="18">
        <f>IF(Categorias!C132="","",Categorias!C132/(N(Categorias!C132)+N(Categorias!D132)+N(Categorias!E132)))</f>
        <v/>
      </c>
      <c r="D131" s="18">
        <f>IF(Categorias!H132="","",Categorias!H132/(N(Categorias!H132)+N(Categorias!I132)))</f>
        <v/>
      </c>
      <c r="E131" s="17">
        <f>IFERROR(IF(INDEX(Gini!$C$2:$C$377,MATCH($A131&amp;"|"&amp;$B131,Gini!$E$2:$E$377,0))="","",INDEX(Gini!$C$2:$C$377,MATCH($A131&amp;"|"&amp;$B131,Gini!$E$2:$E$377,0))),"")</f>
        <v/>
      </c>
      <c r="F131" s="19">
        <f>IFERROR(IF(INDEX(Corrupcion!$E$2:$E$377,MATCH($A131&amp;"|"&amp;$B131,Corrupcion!$H$2:$H$377,0))="","",INDEX(Corrupcion!$E$2:$E$377,MATCH($A131&amp;"|"&amp;$B131,Corrupcion!$H$2:$H$377,0))),"")</f>
        <v/>
      </c>
      <c r="G131" s="20">
        <f>IFERROR(IF(INDEX(Corrupcion!$F$2:$F$377,MATCH($A131&amp;"|"&amp;$B131,Corrupcion!$H$2:$H$377,0))="","",INDEX(Corrupcion!$F$2:$F$377,MATCH($A131&amp;"|"&amp;$B131,Corrupcion!$H$2:$H$377,0))),"")</f>
        <v/>
      </c>
      <c r="H131" s="17">
        <f>IFERROR(IF(INDEX(Corrupcion!$G$2:$G$377,MATCH($A131&amp;"|"&amp;$B131,Corrupcion!$H$2:$H$377,0))="","",INDEX(Corrupcion!$G$2:$G$377,MATCH($A131&amp;"|"&amp;$B131,Corrupcion!$H$2:$H$377,0))),"")</f>
        <v/>
      </c>
      <c r="I131" s="8">
        <f>IF(COUNTBLANK(C131:E131)+COUNTBLANK(F131)=0,1,0)</f>
        <v/>
      </c>
      <c r="J131" s="8">
        <f>IF(COUNTBLANK(C131:E131)+COUNTBLANK(G131)=0,1,0)</f>
        <v/>
      </c>
      <c r="K131" s="8">
        <f>IF(COUNTBLANK(C131:E131)+COUNTBLANK(H131)=0,1,0)</f>
        <v/>
      </c>
    </row>
    <row r="132">
      <c r="A132" s="8" t="inlineStr">
        <is>
          <t>Rep. Dominicana</t>
        </is>
      </c>
      <c r="B132" s="8" t="n">
        <v>2009</v>
      </c>
      <c r="C132" s="18">
        <f>IF(Categorias!C133="","",Categorias!C133/(N(Categorias!C133)+N(Categorias!D133)+N(Categorias!E133)))</f>
        <v/>
      </c>
      <c r="D132" s="18">
        <f>IF(Categorias!H133="","",Categorias!H133/(N(Categorias!H133)+N(Categorias!I133)))</f>
        <v/>
      </c>
      <c r="E132" s="17">
        <f>IFERROR(IF(INDEX(Gini!$C$2:$C$377,MATCH($A132&amp;"|"&amp;$B132,Gini!$E$2:$E$377,0))="","",INDEX(Gini!$C$2:$C$377,MATCH($A132&amp;"|"&amp;$B132,Gini!$E$2:$E$377,0))),"")</f>
        <v/>
      </c>
      <c r="F132" s="19">
        <f>IFERROR(IF(INDEX(Corrupcion!$E$2:$E$377,MATCH($A132&amp;"|"&amp;$B132,Corrupcion!$H$2:$H$377,0))="","",INDEX(Corrupcion!$E$2:$E$377,MATCH($A132&amp;"|"&amp;$B132,Corrupcion!$H$2:$H$377,0))),"")</f>
        <v/>
      </c>
      <c r="G132" s="20">
        <f>IFERROR(IF(INDEX(Corrupcion!$F$2:$F$377,MATCH($A132&amp;"|"&amp;$B132,Corrupcion!$H$2:$H$377,0))="","",INDEX(Corrupcion!$F$2:$F$377,MATCH($A132&amp;"|"&amp;$B132,Corrupcion!$H$2:$H$377,0))),"")</f>
        <v/>
      </c>
      <c r="H132" s="17">
        <f>IFERROR(IF(INDEX(Corrupcion!$G$2:$G$377,MATCH($A132&amp;"|"&amp;$B132,Corrupcion!$H$2:$H$377,0))="","",INDEX(Corrupcion!$G$2:$G$377,MATCH($A132&amp;"|"&amp;$B132,Corrupcion!$H$2:$H$377,0))),"")</f>
        <v/>
      </c>
      <c r="I132" s="8">
        <f>IF(COUNTBLANK(C132:E132)+COUNTBLANK(F132)=0,1,0)</f>
        <v/>
      </c>
      <c r="J132" s="8">
        <f>IF(COUNTBLANK(C132:E132)+COUNTBLANK(G132)=0,1,0)</f>
        <v/>
      </c>
      <c r="K132" s="8">
        <f>IF(COUNTBLANK(C132:E132)+COUNTBLANK(H132)=0,1,0)</f>
        <v/>
      </c>
    </row>
    <row r="133">
      <c r="A133" s="8" t="inlineStr">
        <is>
          <t>Rep. Dominicana</t>
        </is>
      </c>
      <c r="B133" s="8" t="n">
        <v>2010</v>
      </c>
      <c r="C133" s="18">
        <f>IF(Categorias!C134="","",Categorias!C134/(N(Categorias!C134)+N(Categorias!D134)+N(Categorias!E134)))</f>
        <v/>
      </c>
      <c r="D133" s="18">
        <f>IF(Categorias!H134="","",Categorias!H134/(N(Categorias!H134)+N(Categorias!I134)))</f>
        <v/>
      </c>
      <c r="E133" s="17">
        <f>IFERROR(IF(INDEX(Gini!$C$2:$C$377,MATCH($A133&amp;"|"&amp;$B133,Gini!$E$2:$E$377,0))="","",INDEX(Gini!$C$2:$C$377,MATCH($A133&amp;"|"&amp;$B133,Gini!$E$2:$E$377,0))),"")</f>
        <v/>
      </c>
      <c r="F133" s="19">
        <f>IFERROR(IF(INDEX(Corrupcion!$E$2:$E$377,MATCH($A133&amp;"|"&amp;$B133,Corrupcion!$H$2:$H$377,0))="","",INDEX(Corrupcion!$E$2:$E$377,MATCH($A133&amp;"|"&amp;$B133,Corrupcion!$H$2:$H$377,0))),"")</f>
        <v/>
      </c>
      <c r="G133" s="20">
        <f>IFERROR(IF(INDEX(Corrupcion!$F$2:$F$377,MATCH($A133&amp;"|"&amp;$B133,Corrupcion!$H$2:$H$377,0))="","",INDEX(Corrupcion!$F$2:$F$377,MATCH($A133&amp;"|"&amp;$B133,Corrupcion!$H$2:$H$377,0))),"")</f>
        <v/>
      </c>
      <c r="H133" s="17">
        <f>IFERROR(IF(INDEX(Corrupcion!$G$2:$G$377,MATCH($A133&amp;"|"&amp;$B133,Corrupcion!$H$2:$H$377,0))="","",INDEX(Corrupcion!$G$2:$G$377,MATCH($A133&amp;"|"&amp;$B133,Corrupcion!$H$2:$H$377,0))),"")</f>
        <v/>
      </c>
      <c r="I133" s="8">
        <f>IF(COUNTBLANK(C133:E133)+COUNTBLANK(F133)=0,1,0)</f>
        <v/>
      </c>
      <c r="J133" s="8">
        <f>IF(COUNTBLANK(C133:E133)+COUNTBLANK(G133)=0,1,0)</f>
        <v/>
      </c>
      <c r="K133" s="8">
        <f>IF(COUNTBLANK(C133:E133)+COUNTBLANK(H133)=0,1,0)</f>
        <v/>
      </c>
    </row>
    <row r="134">
      <c r="A134" s="8" t="inlineStr">
        <is>
          <t>Rep. Dominicana</t>
        </is>
      </c>
      <c r="B134" s="8" t="n">
        <v>2011</v>
      </c>
      <c r="C134" s="18">
        <f>IF(Categorias!C135="","",Categorias!C135/(N(Categorias!C135)+N(Categorias!D135)+N(Categorias!E135)))</f>
        <v/>
      </c>
      <c r="D134" s="18">
        <f>IF(Categorias!H135="","",Categorias!H135/(N(Categorias!H135)+N(Categorias!I135)))</f>
        <v/>
      </c>
      <c r="E134" s="17">
        <f>IFERROR(IF(INDEX(Gini!$C$2:$C$377,MATCH($A134&amp;"|"&amp;$B134,Gini!$E$2:$E$377,0))="","",INDEX(Gini!$C$2:$C$377,MATCH($A134&amp;"|"&amp;$B134,Gini!$E$2:$E$377,0))),"")</f>
        <v/>
      </c>
      <c r="F134" s="19">
        <f>IFERROR(IF(INDEX(Corrupcion!$E$2:$E$377,MATCH($A134&amp;"|"&amp;$B134,Corrupcion!$H$2:$H$377,0))="","",INDEX(Corrupcion!$E$2:$E$377,MATCH($A134&amp;"|"&amp;$B134,Corrupcion!$H$2:$H$377,0))),"")</f>
        <v/>
      </c>
      <c r="G134" s="20">
        <f>IFERROR(IF(INDEX(Corrupcion!$F$2:$F$377,MATCH($A134&amp;"|"&amp;$B134,Corrupcion!$H$2:$H$377,0))="","",INDEX(Corrupcion!$F$2:$F$377,MATCH($A134&amp;"|"&amp;$B134,Corrupcion!$H$2:$H$377,0))),"")</f>
        <v/>
      </c>
      <c r="H134" s="17">
        <f>IFERROR(IF(INDEX(Corrupcion!$G$2:$G$377,MATCH($A134&amp;"|"&amp;$B134,Corrupcion!$H$2:$H$377,0))="","",INDEX(Corrupcion!$G$2:$G$377,MATCH($A134&amp;"|"&amp;$B134,Corrupcion!$H$2:$H$377,0))),"")</f>
        <v/>
      </c>
      <c r="I134" s="8">
        <f>IF(COUNTBLANK(C134:E134)+COUNTBLANK(F134)=0,1,0)</f>
        <v/>
      </c>
      <c r="J134" s="8">
        <f>IF(COUNTBLANK(C134:E134)+COUNTBLANK(G134)=0,1,0)</f>
        <v/>
      </c>
      <c r="K134" s="8">
        <f>IF(COUNTBLANK(C134:E134)+COUNTBLANK(H134)=0,1,0)</f>
        <v/>
      </c>
    </row>
    <row r="135">
      <c r="A135" s="8" t="inlineStr">
        <is>
          <t>Rep. Dominicana</t>
        </is>
      </c>
      <c r="B135" s="8" t="n">
        <v>2016</v>
      </c>
      <c r="C135" s="18">
        <f>IF(Categorias!C136="","",Categorias!C136/(N(Categorias!C136)+N(Categorias!D136)+N(Categorias!E136)))</f>
        <v/>
      </c>
      <c r="D135" s="18">
        <f>IF(Categorias!H136="","",Categorias!H136/(N(Categorias!H136)+N(Categorias!I136)))</f>
        <v/>
      </c>
      <c r="E135" s="17">
        <f>IFERROR(IF(INDEX(Gini!$C$2:$C$377,MATCH($A135&amp;"|"&amp;$B135,Gini!$E$2:$E$377,0))="","",INDEX(Gini!$C$2:$C$377,MATCH($A135&amp;"|"&amp;$B135,Gini!$E$2:$E$377,0))),"")</f>
        <v/>
      </c>
      <c r="F135" s="19">
        <f>IFERROR(IF(INDEX(Corrupcion!$E$2:$E$377,MATCH($A135&amp;"|"&amp;$B135,Corrupcion!$H$2:$H$377,0))="","",INDEX(Corrupcion!$E$2:$E$377,MATCH($A135&amp;"|"&amp;$B135,Corrupcion!$H$2:$H$377,0))),"")</f>
        <v/>
      </c>
      <c r="G135" s="20">
        <f>IFERROR(IF(INDEX(Corrupcion!$F$2:$F$377,MATCH($A135&amp;"|"&amp;$B135,Corrupcion!$H$2:$H$377,0))="","",INDEX(Corrupcion!$F$2:$F$377,MATCH($A135&amp;"|"&amp;$B135,Corrupcion!$H$2:$H$377,0))),"")</f>
        <v/>
      </c>
      <c r="H135" s="17">
        <f>IFERROR(IF(INDEX(Corrupcion!$G$2:$G$377,MATCH($A135&amp;"|"&amp;$B135,Corrupcion!$H$2:$H$377,0))="","",INDEX(Corrupcion!$G$2:$G$377,MATCH($A135&amp;"|"&amp;$B135,Corrupcion!$H$2:$H$377,0))),"")</f>
        <v/>
      </c>
      <c r="I135" s="8">
        <f>IF(COUNTBLANK(C135:E135)+COUNTBLANK(F135)=0,1,0)</f>
        <v/>
      </c>
      <c r="J135" s="8">
        <f>IF(COUNTBLANK(C135:E135)+COUNTBLANK(G135)=0,1,0)</f>
        <v/>
      </c>
      <c r="K135" s="8">
        <f>IF(COUNTBLANK(C135:E135)+COUNTBLANK(H135)=0,1,0)</f>
        <v/>
      </c>
    </row>
    <row r="136">
      <c r="A136" s="8" t="inlineStr">
        <is>
          <t>Rep. Dominicana</t>
        </is>
      </c>
      <c r="B136" s="8" t="n">
        <v>2017</v>
      </c>
      <c r="C136" s="18">
        <f>IF(Categorias!C137="","",Categorias!C137/(N(Categorias!C137)+N(Categorias!D137)+N(Categorias!E137)))</f>
        <v/>
      </c>
      <c r="D136" s="18">
        <f>IF(Categorias!H137="","",Categorias!H137/(N(Categorias!H137)+N(Categorias!I137)))</f>
        <v/>
      </c>
      <c r="E136" s="17">
        <f>IFERROR(IF(INDEX(Gini!$C$2:$C$377,MATCH($A136&amp;"|"&amp;$B136,Gini!$E$2:$E$377,0))="","",INDEX(Gini!$C$2:$C$377,MATCH($A136&amp;"|"&amp;$B136,Gini!$E$2:$E$377,0))),"")</f>
        <v/>
      </c>
      <c r="F136" s="19">
        <f>IFERROR(IF(INDEX(Corrupcion!$E$2:$E$377,MATCH($A136&amp;"|"&amp;$B136,Corrupcion!$H$2:$H$377,0))="","",INDEX(Corrupcion!$E$2:$E$377,MATCH($A136&amp;"|"&amp;$B136,Corrupcion!$H$2:$H$377,0))),"")</f>
        <v/>
      </c>
      <c r="G136" s="20">
        <f>IFERROR(IF(INDEX(Corrupcion!$F$2:$F$377,MATCH($A136&amp;"|"&amp;$B136,Corrupcion!$H$2:$H$377,0))="","",INDEX(Corrupcion!$F$2:$F$377,MATCH($A136&amp;"|"&amp;$B136,Corrupcion!$H$2:$H$377,0))),"")</f>
        <v/>
      </c>
      <c r="H136" s="17">
        <f>IFERROR(IF(INDEX(Corrupcion!$G$2:$G$377,MATCH($A136&amp;"|"&amp;$B136,Corrupcion!$H$2:$H$377,0))="","",INDEX(Corrupcion!$G$2:$G$377,MATCH($A136&amp;"|"&amp;$B136,Corrupcion!$H$2:$H$377,0))),"")</f>
        <v/>
      </c>
      <c r="I136" s="8">
        <f>IF(COUNTBLANK(C136:E136)+COUNTBLANK(F136)=0,1,0)</f>
        <v/>
      </c>
      <c r="J136" s="8">
        <f>IF(COUNTBLANK(C136:E136)+COUNTBLANK(G136)=0,1,0)</f>
        <v/>
      </c>
      <c r="K136" s="8">
        <f>IF(COUNTBLANK(C136:E136)+COUNTBLANK(H136)=0,1,0)</f>
        <v/>
      </c>
    </row>
    <row r="137">
      <c r="A137" s="8" t="inlineStr">
        <is>
          <t>Rep. Dominicana</t>
        </is>
      </c>
      <c r="B137" s="8" t="n">
        <v>2018</v>
      </c>
      <c r="C137" s="18">
        <f>IF(Categorias!C138="","",Categorias!C138/(N(Categorias!C138)+N(Categorias!D138)+N(Categorias!E138)))</f>
        <v/>
      </c>
      <c r="D137" s="18">
        <f>IF(Categorias!H138="","",Categorias!H138/(N(Categorias!H138)+N(Categorias!I138)))</f>
        <v/>
      </c>
      <c r="E137" s="17">
        <f>IFERROR(IF(INDEX(Gini!$C$2:$C$377,MATCH($A137&amp;"|"&amp;$B137,Gini!$E$2:$E$377,0))="","",INDEX(Gini!$C$2:$C$377,MATCH($A137&amp;"|"&amp;$B137,Gini!$E$2:$E$377,0))),"")</f>
        <v/>
      </c>
      <c r="F137" s="19">
        <f>IFERROR(IF(INDEX(Corrupcion!$E$2:$E$377,MATCH($A137&amp;"|"&amp;$B137,Corrupcion!$H$2:$H$377,0))="","",INDEX(Corrupcion!$E$2:$E$377,MATCH($A137&amp;"|"&amp;$B137,Corrupcion!$H$2:$H$377,0))),"")</f>
        <v/>
      </c>
      <c r="G137" s="20">
        <f>IFERROR(IF(INDEX(Corrupcion!$F$2:$F$377,MATCH($A137&amp;"|"&amp;$B137,Corrupcion!$H$2:$H$377,0))="","",INDEX(Corrupcion!$F$2:$F$377,MATCH($A137&amp;"|"&amp;$B137,Corrupcion!$H$2:$H$377,0))),"")</f>
        <v/>
      </c>
      <c r="H137" s="17">
        <f>IFERROR(IF(INDEX(Corrupcion!$G$2:$G$377,MATCH($A137&amp;"|"&amp;$B137,Corrupcion!$H$2:$H$377,0))="","",INDEX(Corrupcion!$G$2:$G$377,MATCH($A137&amp;"|"&amp;$B137,Corrupcion!$H$2:$H$377,0))),"")</f>
        <v/>
      </c>
      <c r="I137" s="8">
        <f>IF(COUNTBLANK(C137:E137)+COUNTBLANK(F137)=0,1,0)</f>
        <v/>
      </c>
      <c r="J137" s="8">
        <f>IF(COUNTBLANK(C137:E137)+COUNTBLANK(G137)=0,1,0)</f>
        <v/>
      </c>
      <c r="K137" s="8">
        <f>IF(COUNTBLANK(C137:E137)+COUNTBLANK(H137)=0,1,0)</f>
        <v/>
      </c>
    </row>
    <row r="138">
      <c r="A138" s="8" t="inlineStr">
        <is>
          <t>Rep. Dominicana</t>
        </is>
      </c>
      <c r="B138" s="8" t="n">
        <v>2020</v>
      </c>
      <c r="C138" s="18">
        <f>IF(Categorias!C139="","",Categorias!C139/(N(Categorias!C139)+N(Categorias!D139)+N(Categorias!E139)))</f>
        <v/>
      </c>
      <c r="D138" s="18">
        <f>IF(Categorias!H139="","",Categorias!H139/(N(Categorias!H139)+N(Categorias!I139)))</f>
        <v/>
      </c>
      <c r="E138" s="17">
        <f>IFERROR(IF(INDEX(Gini!$C$2:$C$377,MATCH($A138&amp;"|"&amp;$B138,Gini!$E$2:$E$377,0))="","",INDEX(Gini!$C$2:$C$377,MATCH($A138&amp;"|"&amp;$B138,Gini!$E$2:$E$377,0))),"")</f>
        <v/>
      </c>
      <c r="F138" s="19">
        <f>IFERROR(IF(INDEX(Corrupcion!$E$2:$E$377,MATCH($A138&amp;"|"&amp;$B138,Corrupcion!$H$2:$H$377,0))="","",INDEX(Corrupcion!$E$2:$E$377,MATCH($A138&amp;"|"&amp;$B138,Corrupcion!$H$2:$H$377,0))),"")</f>
        <v/>
      </c>
      <c r="G138" s="20">
        <f>IFERROR(IF(INDEX(Corrupcion!$F$2:$F$377,MATCH($A138&amp;"|"&amp;$B138,Corrupcion!$H$2:$H$377,0))="","",INDEX(Corrupcion!$F$2:$F$377,MATCH($A138&amp;"|"&amp;$B138,Corrupcion!$H$2:$H$377,0))),"")</f>
        <v/>
      </c>
      <c r="H138" s="17">
        <f>IFERROR(IF(INDEX(Corrupcion!$G$2:$G$377,MATCH($A138&amp;"|"&amp;$B138,Corrupcion!$H$2:$H$377,0))="","",INDEX(Corrupcion!$G$2:$G$377,MATCH($A138&amp;"|"&amp;$B138,Corrupcion!$H$2:$H$377,0))),"")</f>
        <v/>
      </c>
      <c r="I138" s="8">
        <f>IF(COUNTBLANK(C138:E138)+COUNTBLANK(F138)=0,1,0)</f>
        <v/>
      </c>
      <c r="J138" s="8">
        <f>IF(COUNTBLANK(C138:E138)+COUNTBLANK(G138)=0,1,0)</f>
        <v/>
      </c>
      <c r="K138" s="8">
        <f>IF(COUNTBLANK(C138:E138)+COUNTBLANK(H138)=0,1,0)</f>
        <v/>
      </c>
    </row>
    <row r="139">
      <c r="A139" s="8" t="inlineStr">
        <is>
          <t>Rep. Dominicana</t>
        </is>
      </c>
      <c r="B139" s="8" t="n">
        <v>2024</v>
      </c>
      <c r="C139" s="18">
        <f>IF(Categorias!C140="","",Categorias!C140/(N(Categorias!C140)+N(Categorias!D140)+N(Categorias!E140)))</f>
        <v/>
      </c>
      <c r="D139" s="18">
        <f>IF(Categorias!H140="","",Categorias!H140/(N(Categorias!H140)+N(Categorias!I140)))</f>
        <v/>
      </c>
      <c r="E139" s="17">
        <f>IFERROR(IF(INDEX(Gini!$C$2:$C$377,MATCH($A139&amp;"|"&amp;$B139,Gini!$E$2:$E$377,0))="","",INDEX(Gini!$C$2:$C$377,MATCH($A139&amp;"|"&amp;$B139,Gini!$E$2:$E$377,0))),"")</f>
        <v/>
      </c>
      <c r="F139" s="19">
        <f>IFERROR(IF(INDEX(Corrupcion!$E$2:$E$377,MATCH($A139&amp;"|"&amp;$B139,Corrupcion!$H$2:$H$377,0))="","",INDEX(Corrupcion!$E$2:$E$377,MATCH($A139&amp;"|"&amp;$B139,Corrupcion!$H$2:$H$377,0))),"")</f>
        <v/>
      </c>
      <c r="G139" s="20">
        <f>IFERROR(IF(INDEX(Corrupcion!$F$2:$F$377,MATCH($A139&amp;"|"&amp;$B139,Corrupcion!$H$2:$H$377,0))="","",INDEX(Corrupcion!$F$2:$F$377,MATCH($A139&amp;"|"&amp;$B139,Corrupcion!$H$2:$H$377,0))),"")</f>
        <v/>
      </c>
      <c r="H139" s="17">
        <f>IFERROR(IF(INDEX(Corrupcion!$G$2:$G$377,MATCH($A139&amp;"|"&amp;$B139,Corrupcion!$H$2:$H$377,0))="","",INDEX(Corrupcion!$G$2:$G$377,MATCH($A139&amp;"|"&amp;$B139,Corrupcion!$H$2:$H$377,0))),"")</f>
        <v/>
      </c>
      <c r="I139" s="8">
        <f>IF(COUNTBLANK(C139:E139)+COUNTBLANK(F139)=0,1,0)</f>
        <v/>
      </c>
      <c r="J139" s="8">
        <f>IF(COUNTBLANK(C139:E139)+COUNTBLANK(G139)=0,1,0)</f>
        <v/>
      </c>
      <c r="K139" s="8">
        <f>IF(COUNTBLANK(C139:E139)+COUNTBLANK(H139)=0,1,0)</f>
        <v/>
      </c>
    </row>
    <row r="140">
      <c r="A140" s="8" t="inlineStr">
        <is>
          <t>Ecuador</t>
        </is>
      </c>
      <c r="B140" s="8" t="n">
        <v>1996</v>
      </c>
      <c r="C140" s="18">
        <f>IF(Categorias!C141="","",Categorias!C141/(N(Categorias!C141)+N(Categorias!D141)+N(Categorias!E141)))</f>
        <v/>
      </c>
      <c r="D140" s="18">
        <f>IF(Categorias!H141="","",Categorias!H141/(N(Categorias!H141)+N(Categorias!I141)))</f>
        <v/>
      </c>
      <c r="E140" s="17">
        <f>IFERROR(IF(INDEX(Gini!$C$2:$C$377,MATCH($A140&amp;"|"&amp;$B140,Gini!$E$2:$E$377,0))="","",INDEX(Gini!$C$2:$C$377,MATCH($A140&amp;"|"&amp;$B140,Gini!$E$2:$E$377,0))),"")</f>
        <v/>
      </c>
      <c r="F140" s="19">
        <f>IFERROR(IF(INDEX(Corrupcion!$E$2:$E$377,MATCH($A140&amp;"|"&amp;$B140,Corrupcion!$H$2:$H$377,0))="","",INDEX(Corrupcion!$E$2:$E$377,MATCH($A140&amp;"|"&amp;$B140,Corrupcion!$H$2:$H$377,0))),"")</f>
        <v/>
      </c>
      <c r="G140" s="20">
        <f>IFERROR(IF(INDEX(Corrupcion!$F$2:$F$377,MATCH($A140&amp;"|"&amp;$B140,Corrupcion!$H$2:$H$377,0))="","",INDEX(Corrupcion!$F$2:$F$377,MATCH($A140&amp;"|"&amp;$B140,Corrupcion!$H$2:$H$377,0))),"")</f>
        <v/>
      </c>
      <c r="H140" s="17">
        <f>IFERROR(IF(INDEX(Corrupcion!$G$2:$G$377,MATCH($A140&amp;"|"&amp;$B140,Corrupcion!$H$2:$H$377,0))="","",INDEX(Corrupcion!$G$2:$G$377,MATCH($A140&amp;"|"&amp;$B140,Corrupcion!$H$2:$H$377,0))),"")</f>
        <v/>
      </c>
      <c r="I140" s="8">
        <f>IF(COUNTBLANK(C140:E140)+COUNTBLANK(F140)=0,1,0)</f>
        <v/>
      </c>
      <c r="J140" s="8">
        <f>IF(COUNTBLANK(C140:E140)+COUNTBLANK(G140)=0,1,0)</f>
        <v/>
      </c>
      <c r="K140" s="8">
        <f>IF(COUNTBLANK(C140:E140)+COUNTBLANK(H140)=0,1,0)</f>
        <v/>
      </c>
    </row>
    <row r="141">
      <c r="A141" s="8" t="inlineStr">
        <is>
          <t>Ecuador</t>
        </is>
      </c>
      <c r="B141" s="8" t="n">
        <v>1997</v>
      </c>
      <c r="C141" s="18">
        <f>IF(Categorias!C142="","",Categorias!C142/(N(Categorias!C142)+N(Categorias!D142)+N(Categorias!E142)))</f>
        <v/>
      </c>
      <c r="D141" s="18">
        <f>IF(Categorias!H142="","",Categorias!H142/(N(Categorias!H142)+N(Categorias!I142)))</f>
        <v/>
      </c>
      <c r="E141" s="17">
        <f>IFERROR(IF(INDEX(Gini!$C$2:$C$377,MATCH($A141&amp;"|"&amp;$B141,Gini!$E$2:$E$377,0))="","",INDEX(Gini!$C$2:$C$377,MATCH($A141&amp;"|"&amp;$B141,Gini!$E$2:$E$377,0))),"")</f>
        <v/>
      </c>
      <c r="F141" s="19">
        <f>IFERROR(IF(INDEX(Corrupcion!$E$2:$E$377,MATCH($A141&amp;"|"&amp;$B141,Corrupcion!$H$2:$H$377,0))="","",INDEX(Corrupcion!$E$2:$E$377,MATCH($A141&amp;"|"&amp;$B141,Corrupcion!$H$2:$H$377,0))),"")</f>
        <v/>
      </c>
      <c r="G141" s="20">
        <f>IFERROR(IF(INDEX(Corrupcion!$F$2:$F$377,MATCH($A141&amp;"|"&amp;$B141,Corrupcion!$H$2:$H$377,0))="","",INDEX(Corrupcion!$F$2:$F$377,MATCH($A141&amp;"|"&amp;$B141,Corrupcion!$H$2:$H$377,0))),"")</f>
        <v/>
      </c>
      <c r="H141" s="17">
        <f>IFERROR(IF(INDEX(Corrupcion!$G$2:$G$377,MATCH($A141&amp;"|"&amp;$B141,Corrupcion!$H$2:$H$377,0))="","",INDEX(Corrupcion!$G$2:$G$377,MATCH($A141&amp;"|"&amp;$B141,Corrupcion!$H$2:$H$377,0))),"")</f>
        <v/>
      </c>
      <c r="I141" s="8">
        <f>IF(COUNTBLANK(C141:E141)+COUNTBLANK(F141)=0,1,0)</f>
        <v/>
      </c>
      <c r="J141" s="8">
        <f>IF(COUNTBLANK(C141:E141)+COUNTBLANK(G141)=0,1,0)</f>
        <v/>
      </c>
      <c r="K141" s="8">
        <f>IF(COUNTBLANK(C141:E141)+COUNTBLANK(H141)=0,1,0)</f>
        <v/>
      </c>
    </row>
    <row r="142">
      <c r="A142" s="8" t="inlineStr">
        <is>
          <t>Ecuador</t>
        </is>
      </c>
      <c r="B142" s="8" t="n">
        <v>1998</v>
      </c>
      <c r="C142" s="18">
        <f>IF(Categorias!C143="","",Categorias!C143/(N(Categorias!C143)+N(Categorias!D143)+N(Categorias!E143)))</f>
        <v/>
      </c>
      <c r="D142" s="18">
        <f>IF(Categorias!H143="","",Categorias!H143/(N(Categorias!H143)+N(Categorias!I143)))</f>
        <v/>
      </c>
      <c r="E142" s="17">
        <f>IFERROR(IF(INDEX(Gini!$C$2:$C$377,MATCH($A142&amp;"|"&amp;$B142,Gini!$E$2:$E$377,0))="","",INDEX(Gini!$C$2:$C$377,MATCH($A142&amp;"|"&amp;$B142,Gini!$E$2:$E$377,0))),"")</f>
        <v/>
      </c>
      <c r="F142" s="19">
        <f>IFERROR(IF(INDEX(Corrupcion!$E$2:$E$377,MATCH($A142&amp;"|"&amp;$B142,Corrupcion!$H$2:$H$377,0))="","",INDEX(Corrupcion!$E$2:$E$377,MATCH($A142&amp;"|"&amp;$B142,Corrupcion!$H$2:$H$377,0))),"")</f>
        <v/>
      </c>
      <c r="G142" s="20">
        <f>IFERROR(IF(INDEX(Corrupcion!$F$2:$F$377,MATCH($A142&amp;"|"&amp;$B142,Corrupcion!$H$2:$H$377,0))="","",INDEX(Corrupcion!$F$2:$F$377,MATCH($A142&amp;"|"&amp;$B142,Corrupcion!$H$2:$H$377,0))),"")</f>
        <v/>
      </c>
      <c r="H142" s="17">
        <f>IFERROR(IF(INDEX(Corrupcion!$G$2:$G$377,MATCH($A142&amp;"|"&amp;$B142,Corrupcion!$H$2:$H$377,0))="","",INDEX(Corrupcion!$G$2:$G$377,MATCH($A142&amp;"|"&amp;$B142,Corrupcion!$H$2:$H$377,0))),"")</f>
        <v/>
      </c>
      <c r="I142" s="8">
        <f>IF(COUNTBLANK(C142:E142)+COUNTBLANK(F142)=0,1,0)</f>
        <v/>
      </c>
      <c r="J142" s="8">
        <f>IF(COUNTBLANK(C142:E142)+COUNTBLANK(G142)=0,1,0)</f>
        <v/>
      </c>
      <c r="K142" s="8">
        <f>IF(COUNTBLANK(C142:E142)+COUNTBLANK(H142)=0,1,0)</f>
        <v/>
      </c>
    </row>
    <row r="143">
      <c r="A143" s="8" t="inlineStr">
        <is>
          <t>Ecuador</t>
        </is>
      </c>
      <c r="B143" s="8" t="n">
        <v>2000</v>
      </c>
      <c r="C143" s="18">
        <f>IF(Categorias!C144="","",Categorias!C144/(N(Categorias!C144)+N(Categorias!D144)+N(Categorias!E144)))</f>
        <v/>
      </c>
      <c r="D143" s="18">
        <f>IF(Categorias!H144="","",Categorias!H144/(N(Categorias!H144)+N(Categorias!I144)))</f>
        <v/>
      </c>
      <c r="E143" s="17">
        <f>IFERROR(IF(INDEX(Gini!$C$2:$C$377,MATCH($A143&amp;"|"&amp;$B143,Gini!$E$2:$E$377,0))="","",INDEX(Gini!$C$2:$C$377,MATCH($A143&amp;"|"&amp;$B143,Gini!$E$2:$E$377,0))),"")</f>
        <v/>
      </c>
      <c r="F143" s="19">
        <f>IFERROR(IF(INDEX(Corrupcion!$E$2:$E$377,MATCH($A143&amp;"|"&amp;$B143,Corrupcion!$H$2:$H$377,0))="","",INDEX(Corrupcion!$E$2:$E$377,MATCH($A143&amp;"|"&amp;$B143,Corrupcion!$H$2:$H$377,0))),"")</f>
        <v/>
      </c>
      <c r="G143" s="20">
        <f>IFERROR(IF(INDEX(Corrupcion!$F$2:$F$377,MATCH($A143&amp;"|"&amp;$B143,Corrupcion!$H$2:$H$377,0))="","",INDEX(Corrupcion!$F$2:$F$377,MATCH($A143&amp;"|"&amp;$B143,Corrupcion!$H$2:$H$377,0))),"")</f>
        <v/>
      </c>
      <c r="H143" s="17">
        <f>IFERROR(IF(INDEX(Corrupcion!$G$2:$G$377,MATCH($A143&amp;"|"&amp;$B143,Corrupcion!$H$2:$H$377,0))="","",INDEX(Corrupcion!$G$2:$G$377,MATCH($A143&amp;"|"&amp;$B143,Corrupcion!$H$2:$H$377,0))),"")</f>
        <v/>
      </c>
      <c r="I143" s="8">
        <f>IF(COUNTBLANK(C143:E143)+COUNTBLANK(F143)=0,1,0)</f>
        <v/>
      </c>
      <c r="J143" s="8">
        <f>IF(COUNTBLANK(C143:E143)+COUNTBLANK(G143)=0,1,0)</f>
        <v/>
      </c>
      <c r="K143" s="8">
        <f>IF(COUNTBLANK(C143:E143)+COUNTBLANK(H143)=0,1,0)</f>
        <v/>
      </c>
    </row>
    <row r="144">
      <c r="A144" s="8" t="inlineStr">
        <is>
          <t>Ecuador</t>
        </is>
      </c>
      <c r="B144" s="8" t="n">
        <v>2001</v>
      </c>
      <c r="C144" s="18">
        <f>IF(Categorias!C145="","",Categorias!C145/(N(Categorias!C145)+N(Categorias!D145)+N(Categorias!E145)))</f>
        <v/>
      </c>
      <c r="D144" s="18">
        <f>IF(Categorias!H145="","",Categorias!H145/(N(Categorias!H145)+N(Categorias!I145)))</f>
        <v/>
      </c>
      <c r="E144" s="17">
        <f>IFERROR(IF(INDEX(Gini!$C$2:$C$377,MATCH($A144&amp;"|"&amp;$B144,Gini!$E$2:$E$377,0))="","",INDEX(Gini!$C$2:$C$377,MATCH($A144&amp;"|"&amp;$B144,Gini!$E$2:$E$377,0))),"")</f>
        <v/>
      </c>
      <c r="F144" s="19">
        <f>IFERROR(IF(INDEX(Corrupcion!$E$2:$E$377,MATCH($A144&amp;"|"&amp;$B144,Corrupcion!$H$2:$H$377,0))="","",INDEX(Corrupcion!$E$2:$E$377,MATCH($A144&amp;"|"&amp;$B144,Corrupcion!$H$2:$H$377,0))),"")</f>
        <v/>
      </c>
      <c r="G144" s="20">
        <f>IFERROR(IF(INDEX(Corrupcion!$F$2:$F$377,MATCH($A144&amp;"|"&amp;$B144,Corrupcion!$H$2:$H$377,0))="","",INDEX(Corrupcion!$F$2:$F$377,MATCH($A144&amp;"|"&amp;$B144,Corrupcion!$H$2:$H$377,0))),"")</f>
        <v/>
      </c>
      <c r="H144" s="17">
        <f>IFERROR(IF(INDEX(Corrupcion!$G$2:$G$377,MATCH($A144&amp;"|"&amp;$B144,Corrupcion!$H$2:$H$377,0))="","",INDEX(Corrupcion!$G$2:$G$377,MATCH($A144&amp;"|"&amp;$B144,Corrupcion!$H$2:$H$377,0))),"")</f>
        <v/>
      </c>
      <c r="I144" s="8">
        <f>IF(COUNTBLANK(C144:E144)+COUNTBLANK(F144)=0,1,0)</f>
        <v/>
      </c>
      <c r="J144" s="8">
        <f>IF(COUNTBLANK(C144:E144)+COUNTBLANK(G144)=0,1,0)</f>
        <v/>
      </c>
      <c r="K144" s="8">
        <f>IF(COUNTBLANK(C144:E144)+COUNTBLANK(H144)=0,1,0)</f>
        <v/>
      </c>
    </row>
    <row r="145">
      <c r="A145" s="8" t="inlineStr">
        <is>
          <t>Ecuador</t>
        </is>
      </c>
      <c r="B145" s="8" t="n">
        <v>2002</v>
      </c>
      <c r="C145" s="18">
        <f>IF(Categorias!C146="","",Categorias!C146/(N(Categorias!C146)+N(Categorias!D146)+N(Categorias!E146)))</f>
        <v/>
      </c>
      <c r="D145" s="18">
        <f>IF(Categorias!H146="","",Categorias!H146/(N(Categorias!H146)+N(Categorias!I146)))</f>
        <v/>
      </c>
      <c r="E145" s="17">
        <f>IFERROR(IF(INDEX(Gini!$C$2:$C$377,MATCH($A145&amp;"|"&amp;$B145,Gini!$E$2:$E$377,0))="","",INDEX(Gini!$C$2:$C$377,MATCH($A145&amp;"|"&amp;$B145,Gini!$E$2:$E$377,0))),"")</f>
        <v/>
      </c>
      <c r="F145" s="19">
        <f>IFERROR(IF(INDEX(Corrupcion!$E$2:$E$377,MATCH($A145&amp;"|"&amp;$B145,Corrupcion!$H$2:$H$377,0))="","",INDEX(Corrupcion!$E$2:$E$377,MATCH($A145&amp;"|"&amp;$B145,Corrupcion!$H$2:$H$377,0))),"")</f>
        <v/>
      </c>
      <c r="G145" s="20">
        <f>IFERROR(IF(INDEX(Corrupcion!$F$2:$F$377,MATCH($A145&amp;"|"&amp;$B145,Corrupcion!$H$2:$H$377,0))="","",INDEX(Corrupcion!$F$2:$F$377,MATCH($A145&amp;"|"&amp;$B145,Corrupcion!$H$2:$H$377,0))),"")</f>
        <v/>
      </c>
      <c r="H145" s="17">
        <f>IFERROR(IF(INDEX(Corrupcion!$G$2:$G$377,MATCH($A145&amp;"|"&amp;$B145,Corrupcion!$H$2:$H$377,0))="","",INDEX(Corrupcion!$G$2:$G$377,MATCH($A145&amp;"|"&amp;$B145,Corrupcion!$H$2:$H$377,0))),"")</f>
        <v/>
      </c>
      <c r="I145" s="8">
        <f>IF(COUNTBLANK(C145:E145)+COUNTBLANK(F145)=0,1,0)</f>
        <v/>
      </c>
      <c r="J145" s="8">
        <f>IF(COUNTBLANK(C145:E145)+COUNTBLANK(G145)=0,1,0)</f>
        <v/>
      </c>
      <c r="K145" s="8">
        <f>IF(COUNTBLANK(C145:E145)+COUNTBLANK(H145)=0,1,0)</f>
        <v/>
      </c>
    </row>
    <row r="146">
      <c r="A146" s="8" t="inlineStr">
        <is>
          <t>Ecuador</t>
        </is>
      </c>
      <c r="B146" s="8" t="n">
        <v>2003</v>
      </c>
      <c r="C146" s="18">
        <f>IF(Categorias!C147="","",Categorias!C147/(N(Categorias!C147)+N(Categorias!D147)+N(Categorias!E147)))</f>
        <v/>
      </c>
      <c r="D146" s="18">
        <f>IF(Categorias!H147="","",Categorias!H147/(N(Categorias!H147)+N(Categorias!I147)))</f>
        <v/>
      </c>
      <c r="E146" s="17">
        <f>IFERROR(IF(INDEX(Gini!$C$2:$C$377,MATCH($A146&amp;"|"&amp;$B146,Gini!$E$2:$E$377,0))="","",INDEX(Gini!$C$2:$C$377,MATCH($A146&amp;"|"&amp;$B146,Gini!$E$2:$E$377,0))),"")</f>
        <v/>
      </c>
      <c r="F146" s="19">
        <f>IFERROR(IF(INDEX(Corrupcion!$E$2:$E$377,MATCH($A146&amp;"|"&amp;$B146,Corrupcion!$H$2:$H$377,0))="","",INDEX(Corrupcion!$E$2:$E$377,MATCH($A146&amp;"|"&amp;$B146,Corrupcion!$H$2:$H$377,0))),"")</f>
        <v/>
      </c>
      <c r="G146" s="20">
        <f>IFERROR(IF(INDEX(Corrupcion!$F$2:$F$377,MATCH($A146&amp;"|"&amp;$B146,Corrupcion!$H$2:$H$377,0))="","",INDEX(Corrupcion!$F$2:$F$377,MATCH($A146&amp;"|"&amp;$B146,Corrupcion!$H$2:$H$377,0))),"")</f>
        <v/>
      </c>
      <c r="H146" s="17">
        <f>IFERROR(IF(INDEX(Corrupcion!$G$2:$G$377,MATCH($A146&amp;"|"&amp;$B146,Corrupcion!$H$2:$H$377,0))="","",INDEX(Corrupcion!$G$2:$G$377,MATCH($A146&amp;"|"&amp;$B146,Corrupcion!$H$2:$H$377,0))),"")</f>
        <v/>
      </c>
      <c r="I146" s="8">
        <f>IF(COUNTBLANK(C146:E146)+COUNTBLANK(F146)=0,1,0)</f>
        <v/>
      </c>
      <c r="J146" s="8">
        <f>IF(COUNTBLANK(C146:E146)+COUNTBLANK(G146)=0,1,0)</f>
        <v/>
      </c>
      <c r="K146" s="8">
        <f>IF(COUNTBLANK(C146:E146)+COUNTBLANK(H146)=0,1,0)</f>
        <v/>
      </c>
    </row>
    <row r="147">
      <c r="A147" s="8" t="inlineStr">
        <is>
          <t>Ecuador</t>
        </is>
      </c>
      <c r="B147" s="8" t="n">
        <v>2004</v>
      </c>
      <c r="C147" s="18">
        <f>IF(Categorias!C148="","",Categorias!C148/(N(Categorias!C148)+N(Categorias!D148)+N(Categorias!E148)))</f>
        <v/>
      </c>
      <c r="D147" s="18">
        <f>IF(Categorias!H148="","",Categorias!H148/(N(Categorias!H148)+N(Categorias!I148)))</f>
        <v/>
      </c>
      <c r="E147" s="17">
        <f>IFERROR(IF(INDEX(Gini!$C$2:$C$377,MATCH($A147&amp;"|"&amp;$B147,Gini!$E$2:$E$377,0))="","",INDEX(Gini!$C$2:$C$377,MATCH($A147&amp;"|"&amp;$B147,Gini!$E$2:$E$377,0))),"")</f>
        <v/>
      </c>
      <c r="F147" s="19">
        <f>IFERROR(IF(INDEX(Corrupcion!$E$2:$E$377,MATCH($A147&amp;"|"&amp;$B147,Corrupcion!$H$2:$H$377,0))="","",INDEX(Corrupcion!$E$2:$E$377,MATCH($A147&amp;"|"&amp;$B147,Corrupcion!$H$2:$H$377,0))),"")</f>
        <v/>
      </c>
      <c r="G147" s="20">
        <f>IFERROR(IF(INDEX(Corrupcion!$F$2:$F$377,MATCH($A147&amp;"|"&amp;$B147,Corrupcion!$H$2:$H$377,0))="","",INDEX(Corrupcion!$F$2:$F$377,MATCH($A147&amp;"|"&amp;$B147,Corrupcion!$H$2:$H$377,0))),"")</f>
        <v/>
      </c>
      <c r="H147" s="17">
        <f>IFERROR(IF(INDEX(Corrupcion!$G$2:$G$377,MATCH($A147&amp;"|"&amp;$B147,Corrupcion!$H$2:$H$377,0))="","",INDEX(Corrupcion!$G$2:$G$377,MATCH($A147&amp;"|"&amp;$B147,Corrupcion!$H$2:$H$377,0))),"")</f>
        <v/>
      </c>
      <c r="I147" s="8">
        <f>IF(COUNTBLANK(C147:E147)+COUNTBLANK(F147)=0,1,0)</f>
        <v/>
      </c>
      <c r="J147" s="8">
        <f>IF(COUNTBLANK(C147:E147)+COUNTBLANK(G147)=0,1,0)</f>
        <v/>
      </c>
      <c r="K147" s="8">
        <f>IF(COUNTBLANK(C147:E147)+COUNTBLANK(H147)=0,1,0)</f>
        <v/>
      </c>
    </row>
    <row r="148">
      <c r="A148" s="8" t="inlineStr">
        <is>
          <t>Ecuador</t>
        </is>
      </c>
      <c r="B148" s="8" t="n">
        <v>2005</v>
      </c>
      <c r="C148" s="18">
        <f>IF(Categorias!C149="","",Categorias!C149/(N(Categorias!C149)+N(Categorias!D149)+N(Categorias!E149)))</f>
        <v/>
      </c>
      <c r="D148" s="18">
        <f>IF(Categorias!H149="","",Categorias!H149/(N(Categorias!H149)+N(Categorias!I149)))</f>
        <v/>
      </c>
      <c r="E148" s="17">
        <f>IFERROR(IF(INDEX(Gini!$C$2:$C$377,MATCH($A148&amp;"|"&amp;$B148,Gini!$E$2:$E$377,0))="","",INDEX(Gini!$C$2:$C$377,MATCH($A148&amp;"|"&amp;$B148,Gini!$E$2:$E$377,0))),"")</f>
        <v/>
      </c>
      <c r="F148" s="19">
        <f>IFERROR(IF(INDEX(Corrupcion!$E$2:$E$377,MATCH($A148&amp;"|"&amp;$B148,Corrupcion!$H$2:$H$377,0))="","",INDEX(Corrupcion!$E$2:$E$377,MATCH($A148&amp;"|"&amp;$B148,Corrupcion!$H$2:$H$377,0))),"")</f>
        <v/>
      </c>
      <c r="G148" s="20">
        <f>IFERROR(IF(INDEX(Corrupcion!$F$2:$F$377,MATCH($A148&amp;"|"&amp;$B148,Corrupcion!$H$2:$H$377,0))="","",INDEX(Corrupcion!$F$2:$F$377,MATCH($A148&amp;"|"&amp;$B148,Corrupcion!$H$2:$H$377,0))),"")</f>
        <v/>
      </c>
      <c r="H148" s="17">
        <f>IFERROR(IF(INDEX(Corrupcion!$G$2:$G$377,MATCH($A148&amp;"|"&amp;$B148,Corrupcion!$H$2:$H$377,0))="","",INDEX(Corrupcion!$G$2:$G$377,MATCH($A148&amp;"|"&amp;$B148,Corrupcion!$H$2:$H$377,0))),"")</f>
        <v/>
      </c>
      <c r="I148" s="8">
        <f>IF(COUNTBLANK(C148:E148)+COUNTBLANK(F148)=0,1,0)</f>
        <v/>
      </c>
      <c r="J148" s="8">
        <f>IF(COUNTBLANK(C148:E148)+COUNTBLANK(G148)=0,1,0)</f>
        <v/>
      </c>
      <c r="K148" s="8">
        <f>IF(COUNTBLANK(C148:E148)+COUNTBLANK(H148)=0,1,0)</f>
        <v/>
      </c>
    </row>
    <row r="149">
      <c r="A149" s="8" t="inlineStr">
        <is>
          <t>Ecuador</t>
        </is>
      </c>
      <c r="B149" s="8" t="n">
        <v>2006</v>
      </c>
      <c r="C149" s="18">
        <f>IF(Categorias!C150="","",Categorias!C150/(N(Categorias!C150)+N(Categorias!D150)+N(Categorias!E150)))</f>
        <v/>
      </c>
      <c r="D149" s="18">
        <f>IF(Categorias!H150="","",Categorias!H150/(N(Categorias!H150)+N(Categorias!I150)))</f>
        <v/>
      </c>
      <c r="E149" s="17">
        <f>IFERROR(IF(INDEX(Gini!$C$2:$C$377,MATCH($A149&amp;"|"&amp;$B149,Gini!$E$2:$E$377,0))="","",INDEX(Gini!$C$2:$C$377,MATCH($A149&amp;"|"&amp;$B149,Gini!$E$2:$E$377,0))),"")</f>
        <v/>
      </c>
      <c r="F149" s="19">
        <f>IFERROR(IF(INDEX(Corrupcion!$E$2:$E$377,MATCH($A149&amp;"|"&amp;$B149,Corrupcion!$H$2:$H$377,0))="","",INDEX(Corrupcion!$E$2:$E$377,MATCH($A149&amp;"|"&amp;$B149,Corrupcion!$H$2:$H$377,0))),"")</f>
        <v/>
      </c>
      <c r="G149" s="20">
        <f>IFERROR(IF(INDEX(Corrupcion!$F$2:$F$377,MATCH($A149&amp;"|"&amp;$B149,Corrupcion!$H$2:$H$377,0))="","",INDEX(Corrupcion!$F$2:$F$377,MATCH($A149&amp;"|"&amp;$B149,Corrupcion!$H$2:$H$377,0))),"")</f>
        <v/>
      </c>
      <c r="H149" s="17">
        <f>IFERROR(IF(INDEX(Corrupcion!$G$2:$G$377,MATCH($A149&amp;"|"&amp;$B149,Corrupcion!$H$2:$H$377,0))="","",INDEX(Corrupcion!$G$2:$G$377,MATCH($A149&amp;"|"&amp;$B149,Corrupcion!$H$2:$H$377,0))),"")</f>
        <v/>
      </c>
      <c r="I149" s="8">
        <f>IF(COUNTBLANK(C149:E149)+COUNTBLANK(F149)=0,1,0)</f>
        <v/>
      </c>
      <c r="J149" s="8">
        <f>IF(COUNTBLANK(C149:E149)+COUNTBLANK(G149)=0,1,0)</f>
        <v/>
      </c>
      <c r="K149" s="8">
        <f>IF(COUNTBLANK(C149:E149)+COUNTBLANK(H149)=0,1,0)</f>
        <v/>
      </c>
    </row>
    <row r="150">
      <c r="A150" s="8" t="inlineStr">
        <is>
          <t>Ecuador</t>
        </is>
      </c>
      <c r="B150" s="8" t="n">
        <v>2007</v>
      </c>
      <c r="C150" s="18">
        <f>IF(Categorias!C151="","",Categorias!C151/(N(Categorias!C151)+N(Categorias!D151)+N(Categorias!E151)))</f>
        <v/>
      </c>
      <c r="D150" s="18">
        <f>IF(Categorias!H151="","",Categorias!H151/(N(Categorias!H151)+N(Categorias!I151)))</f>
        <v/>
      </c>
      <c r="E150" s="17">
        <f>IFERROR(IF(INDEX(Gini!$C$2:$C$377,MATCH($A150&amp;"|"&amp;$B150,Gini!$E$2:$E$377,0))="","",INDEX(Gini!$C$2:$C$377,MATCH($A150&amp;"|"&amp;$B150,Gini!$E$2:$E$377,0))),"")</f>
        <v/>
      </c>
      <c r="F150" s="19">
        <f>IFERROR(IF(INDEX(Corrupcion!$E$2:$E$377,MATCH($A150&amp;"|"&amp;$B150,Corrupcion!$H$2:$H$377,0))="","",INDEX(Corrupcion!$E$2:$E$377,MATCH($A150&amp;"|"&amp;$B150,Corrupcion!$H$2:$H$377,0))),"")</f>
        <v/>
      </c>
      <c r="G150" s="20">
        <f>IFERROR(IF(INDEX(Corrupcion!$F$2:$F$377,MATCH($A150&amp;"|"&amp;$B150,Corrupcion!$H$2:$H$377,0))="","",INDEX(Corrupcion!$F$2:$F$377,MATCH($A150&amp;"|"&amp;$B150,Corrupcion!$H$2:$H$377,0))),"")</f>
        <v/>
      </c>
      <c r="H150" s="17">
        <f>IFERROR(IF(INDEX(Corrupcion!$G$2:$G$377,MATCH($A150&amp;"|"&amp;$B150,Corrupcion!$H$2:$H$377,0))="","",INDEX(Corrupcion!$G$2:$G$377,MATCH($A150&amp;"|"&amp;$B150,Corrupcion!$H$2:$H$377,0))),"")</f>
        <v/>
      </c>
      <c r="I150" s="8">
        <f>IF(COUNTBLANK(C150:E150)+COUNTBLANK(F150)=0,1,0)</f>
        <v/>
      </c>
      <c r="J150" s="8">
        <f>IF(COUNTBLANK(C150:E150)+COUNTBLANK(G150)=0,1,0)</f>
        <v/>
      </c>
      <c r="K150" s="8">
        <f>IF(COUNTBLANK(C150:E150)+COUNTBLANK(H150)=0,1,0)</f>
        <v/>
      </c>
    </row>
    <row r="151">
      <c r="A151" s="8" t="inlineStr">
        <is>
          <t>Ecuador</t>
        </is>
      </c>
      <c r="B151" s="8" t="n">
        <v>2008</v>
      </c>
      <c r="C151" s="18">
        <f>IF(Categorias!C152="","",Categorias!C152/(N(Categorias!C152)+N(Categorias!D152)+N(Categorias!E152)))</f>
        <v/>
      </c>
      <c r="D151" s="18">
        <f>IF(Categorias!H152="","",Categorias!H152/(N(Categorias!H152)+N(Categorias!I152)))</f>
        <v/>
      </c>
      <c r="E151" s="17">
        <f>IFERROR(IF(INDEX(Gini!$C$2:$C$377,MATCH($A151&amp;"|"&amp;$B151,Gini!$E$2:$E$377,0))="","",INDEX(Gini!$C$2:$C$377,MATCH($A151&amp;"|"&amp;$B151,Gini!$E$2:$E$377,0))),"")</f>
        <v/>
      </c>
      <c r="F151" s="19">
        <f>IFERROR(IF(INDEX(Corrupcion!$E$2:$E$377,MATCH($A151&amp;"|"&amp;$B151,Corrupcion!$H$2:$H$377,0))="","",INDEX(Corrupcion!$E$2:$E$377,MATCH($A151&amp;"|"&amp;$B151,Corrupcion!$H$2:$H$377,0))),"")</f>
        <v/>
      </c>
      <c r="G151" s="20">
        <f>IFERROR(IF(INDEX(Corrupcion!$F$2:$F$377,MATCH($A151&amp;"|"&amp;$B151,Corrupcion!$H$2:$H$377,0))="","",INDEX(Corrupcion!$F$2:$F$377,MATCH($A151&amp;"|"&amp;$B151,Corrupcion!$H$2:$H$377,0))),"")</f>
        <v/>
      </c>
      <c r="H151" s="17">
        <f>IFERROR(IF(INDEX(Corrupcion!$G$2:$G$377,MATCH($A151&amp;"|"&amp;$B151,Corrupcion!$H$2:$H$377,0))="","",INDEX(Corrupcion!$G$2:$G$377,MATCH($A151&amp;"|"&amp;$B151,Corrupcion!$H$2:$H$377,0))),"")</f>
        <v/>
      </c>
      <c r="I151" s="8">
        <f>IF(COUNTBLANK(C151:E151)+COUNTBLANK(F151)=0,1,0)</f>
        <v/>
      </c>
      <c r="J151" s="8">
        <f>IF(COUNTBLANK(C151:E151)+COUNTBLANK(G151)=0,1,0)</f>
        <v/>
      </c>
      <c r="K151" s="8">
        <f>IF(COUNTBLANK(C151:E151)+COUNTBLANK(H151)=0,1,0)</f>
        <v/>
      </c>
    </row>
    <row r="152">
      <c r="A152" s="8" t="inlineStr">
        <is>
          <t>Ecuador</t>
        </is>
      </c>
      <c r="B152" s="8" t="n">
        <v>2009</v>
      </c>
      <c r="C152" s="18">
        <f>IF(Categorias!C153="","",Categorias!C153/(N(Categorias!C153)+N(Categorias!D153)+N(Categorias!E153)))</f>
        <v/>
      </c>
      <c r="D152" s="18">
        <f>IF(Categorias!H153="","",Categorias!H153/(N(Categorias!H153)+N(Categorias!I153)))</f>
        <v/>
      </c>
      <c r="E152" s="17">
        <f>IFERROR(IF(INDEX(Gini!$C$2:$C$377,MATCH($A152&amp;"|"&amp;$B152,Gini!$E$2:$E$377,0))="","",INDEX(Gini!$C$2:$C$377,MATCH($A152&amp;"|"&amp;$B152,Gini!$E$2:$E$377,0))),"")</f>
        <v/>
      </c>
      <c r="F152" s="19">
        <f>IFERROR(IF(INDEX(Corrupcion!$E$2:$E$377,MATCH($A152&amp;"|"&amp;$B152,Corrupcion!$H$2:$H$377,0))="","",INDEX(Corrupcion!$E$2:$E$377,MATCH($A152&amp;"|"&amp;$B152,Corrupcion!$H$2:$H$377,0))),"")</f>
        <v/>
      </c>
      <c r="G152" s="20">
        <f>IFERROR(IF(INDEX(Corrupcion!$F$2:$F$377,MATCH($A152&amp;"|"&amp;$B152,Corrupcion!$H$2:$H$377,0))="","",INDEX(Corrupcion!$F$2:$F$377,MATCH($A152&amp;"|"&amp;$B152,Corrupcion!$H$2:$H$377,0))),"")</f>
        <v/>
      </c>
      <c r="H152" s="17">
        <f>IFERROR(IF(INDEX(Corrupcion!$G$2:$G$377,MATCH($A152&amp;"|"&amp;$B152,Corrupcion!$H$2:$H$377,0))="","",INDEX(Corrupcion!$G$2:$G$377,MATCH($A152&amp;"|"&amp;$B152,Corrupcion!$H$2:$H$377,0))),"")</f>
        <v/>
      </c>
      <c r="I152" s="8">
        <f>IF(COUNTBLANK(C152:E152)+COUNTBLANK(F152)=0,1,0)</f>
        <v/>
      </c>
      <c r="J152" s="8">
        <f>IF(COUNTBLANK(C152:E152)+COUNTBLANK(G152)=0,1,0)</f>
        <v/>
      </c>
      <c r="K152" s="8">
        <f>IF(COUNTBLANK(C152:E152)+COUNTBLANK(H152)=0,1,0)</f>
        <v/>
      </c>
    </row>
    <row r="153">
      <c r="A153" s="8" t="inlineStr">
        <is>
          <t>Ecuador</t>
        </is>
      </c>
      <c r="B153" s="8" t="n">
        <v>2010</v>
      </c>
      <c r="C153" s="18">
        <f>IF(Categorias!C154="","",Categorias!C154/(N(Categorias!C154)+N(Categorias!D154)+N(Categorias!E154)))</f>
        <v/>
      </c>
      <c r="D153" s="18">
        <f>IF(Categorias!H154="","",Categorias!H154/(N(Categorias!H154)+N(Categorias!I154)))</f>
        <v/>
      </c>
      <c r="E153" s="17">
        <f>IFERROR(IF(INDEX(Gini!$C$2:$C$377,MATCH($A153&amp;"|"&amp;$B153,Gini!$E$2:$E$377,0))="","",INDEX(Gini!$C$2:$C$377,MATCH($A153&amp;"|"&amp;$B153,Gini!$E$2:$E$377,0))),"")</f>
        <v/>
      </c>
      <c r="F153" s="19">
        <f>IFERROR(IF(INDEX(Corrupcion!$E$2:$E$377,MATCH($A153&amp;"|"&amp;$B153,Corrupcion!$H$2:$H$377,0))="","",INDEX(Corrupcion!$E$2:$E$377,MATCH($A153&amp;"|"&amp;$B153,Corrupcion!$H$2:$H$377,0))),"")</f>
        <v/>
      </c>
      <c r="G153" s="20">
        <f>IFERROR(IF(INDEX(Corrupcion!$F$2:$F$377,MATCH($A153&amp;"|"&amp;$B153,Corrupcion!$H$2:$H$377,0))="","",INDEX(Corrupcion!$F$2:$F$377,MATCH($A153&amp;"|"&amp;$B153,Corrupcion!$H$2:$H$377,0))),"")</f>
        <v/>
      </c>
      <c r="H153" s="17">
        <f>IFERROR(IF(INDEX(Corrupcion!$G$2:$G$377,MATCH($A153&amp;"|"&amp;$B153,Corrupcion!$H$2:$H$377,0))="","",INDEX(Corrupcion!$G$2:$G$377,MATCH($A153&amp;"|"&amp;$B153,Corrupcion!$H$2:$H$377,0))),"")</f>
        <v/>
      </c>
      <c r="I153" s="8">
        <f>IF(COUNTBLANK(C153:E153)+COUNTBLANK(F153)=0,1,0)</f>
        <v/>
      </c>
      <c r="J153" s="8">
        <f>IF(COUNTBLANK(C153:E153)+COUNTBLANK(G153)=0,1,0)</f>
        <v/>
      </c>
      <c r="K153" s="8">
        <f>IF(COUNTBLANK(C153:E153)+COUNTBLANK(H153)=0,1,0)</f>
        <v/>
      </c>
    </row>
    <row r="154">
      <c r="A154" s="8" t="inlineStr">
        <is>
          <t>Ecuador</t>
        </is>
      </c>
      <c r="B154" s="8" t="n">
        <v>2011</v>
      </c>
      <c r="C154" s="18">
        <f>IF(Categorias!C155="","",Categorias!C155/(N(Categorias!C155)+N(Categorias!D155)+N(Categorias!E155)))</f>
        <v/>
      </c>
      <c r="D154" s="18">
        <f>IF(Categorias!H155="","",Categorias!H155/(N(Categorias!H155)+N(Categorias!I155)))</f>
        <v/>
      </c>
      <c r="E154" s="17">
        <f>IFERROR(IF(INDEX(Gini!$C$2:$C$377,MATCH($A154&amp;"|"&amp;$B154,Gini!$E$2:$E$377,0))="","",INDEX(Gini!$C$2:$C$377,MATCH($A154&amp;"|"&amp;$B154,Gini!$E$2:$E$377,0))),"")</f>
        <v/>
      </c>
      <c r="F154" s="19">
        <f>IFERROR(IF(INDEX(Corrupcion!$E$2:$E$377,MATCH($A154&amp;"|"&amp;$B154,Corrupcion!$H$2:$H$377,0))="","",INDEX(Corrupcion!$E$2:$E$377,MATCH($A154&amp;"|"&amp;$B154,Corrupcion!$H$2:$H$377,0))),"")</f>
        <v/>
      </c>
      <c r="G154" s="20">
        <f>IFERROR(IF(INDEX(Corrupcion!$F$2:$F$377,MATCH($A154&amp;"|"&amp;$B154,Corrupcion!$H$2:$H$377,0))="","",INDEX(Corrupcion!$F$2:$F$377,MATCH($A154&amp;"|"&amp;$B154,Corrupcion!$H$2:$H$377,0))),"")</f>
        <v/>
      </c>
      <c r="H154" s="17">
        <f>IFERROR(IF(INDEX(Corrupcion!$G$2:$G$377,MATCH($A154&amp;"|"&amp;$B154,Corrupcion!$H$2:$H$377,0))="","",INDEX(Corrupcion!$G$2:$G$377,MATCH($A154&amp;"|"&amp;$B154,Corrupcion!$H$2:$H$377,0))),"")</f>
        <v/>
      </c>
      <c r="I154" s="8">
        <f>IF(COUNTBLANK(C154:E154)+COUNTBLANK(F154)=0,1,0)</f>
        <v/>
      </c>
      <c r="J154" s="8">
        <f>IF(COUNTBLANK(C154:E154)+COUNTBLANK(G154)=0,1,0)</f>
        <v/>
      </c>
      <c r="K154" s="8">
        <f>IF(COUNTBLANK(C154:E154)+COUNTBLANK(H154)=0,1,0)</f>
        <v/>
      </c>
    </row>
    <row r="155">
      <c r="A155" s="8" t="inlineStr">
        <is>
          <t>Ecuador</t>
        </is>
      </c>
      <c r="B155" s="8" t="n">
        <v>2016</v>
      </c>
      <c r="C155" s="18">
        <f>IF(Categorias!C156="","",Categorias!C156/(N(Categorias!C156)+N(Categorias!D156)+N(Categorias!E156)))</f>
        <v/>
      </c>
      <c r="D155" s="18">
        <f>IF(Categorias!H156="","",Categorias!H156/(N(Categorias!H156)+N(Categorias!I156)))</f>
        <v/>
      </c>
      <c r="E155" s="17">
        <f>IFERROR(IF(INDEX(Gini!$C$2:$C$377,MATCH($A155&amp;"|"&amp;$B155,Gini!$E$2:$E$377,0))="","",INDEX(Gini!$C$2:$C$377,MATCH($A155&amp;"|"&amp;$B155,Gini!$E$2:$E$377,0))),"")</f>
        <v/>
      </c>
      <c r="F155" s="19">
        <f>IFERROR(IF(INDEX(Corrupcion!$E$2:$E$377,MATCH($A155&amp;"|"&amp;$B155,Corrupcion!$H$2:$H$377,0))="","",INDEX(Corrupcion!$E$2:$E$377,MATCH($A155&amp;"|"&amp;$B155,Corrupcion!$H$2:$H$377,0))),"")</f>
        <v/>
      </c>
      <c r="G155" s="20">
        <f>IFERROR(IF(INDEX(Corrupcion!$F$2:$F$377,MATCH($A155&amp;"|"&amp;$B155,Corrupcion!$H$2:$H$377,0))="","",INDEX(Corrupcion!$F$2:$F$377,MATCH($A155&amp;"|"&amp;$B155,Corrupcion!$H$2:$H$377,0))),"")</f>
        <v/>
      </c>
      <c r="H155" s="17">
        <f>IFERROR(IF(INDEX(Corrupcion!$G$2:$G$377,MATCH($A155&amp;"|"&amp;$B155,Corrupcion!$H$2:$H$377,0))="","",INDEX(Corrupcion!$G$2:$G$377,MATCH($A155&amp;"|"&amp;$B155,Corrupcion!$H$2:$H$377,0))),"")</f>
        <v/>
      </c>
      <c r="I155" s="8">
        <f>IF(COUNTBLANK(C155:E155)+COUNTBLANK(F155)=0,1,0)</f>
        <v/>
      </c>
      <c r="J155" s="8">
        <f>IF(COUNTBLANK(C155:E155)+COUNTBLANK(G155)=0,1,0)</f>
        <v/>
      </c>
      <c r="K155" s="8">
        <f>IF(COUNTBLANK(C155:E155)+COUNTBLANK(H155)=0,1,0)</f>
        <v/>
      </c>
    </row>
    <row r="156">
      <c r="A156" s="8" t="inlineStr">
        <is>
          <t>Ecuador</t>
        </is>
      </c>
      <c r="B156" s="8" t="n">
        <v>2017</v>
      </c>
      <c r="C156" s="18">
        <f>IF(Categorias!C157="","",Categorias!C157/(N(Categorias!C157)+N(Categorias!D157)+N(Categorias!E157)))</f>
        <v/>
      </c>
      <c r="D156" s="18">
        <f>IF(Categorias!H157="","",Categorias!H157/(N(Categorias!H157)+N(Categorias!I157)))</f>
        <v/>
      </c>
      <c r="E156" s="17">
        <f>IFERROR(IF(INDEX(Gini!$C$2:$C$377,MATCH($A156&amp;"|"&amp;$B156,Gini!$E$2:$E$377,0))="","",INDEX(Gini!$C$2:$C$377,MATCH($A156&amp;"|"&amp;$B156,Gini!$E$2:$E$377,0))),"")</f>
        <v/>
      </c>
      <c r="F156" s="19">
        <f>IFERROR(IF(INDEX(Corrupcion!$E$2:$E$377,MATCH($A156&amp;"|"&amp;$B156,Corrupcion!$H$2:$H$377,0))="","",INDEX(Corrupcion!$E$2:$E$377,MATCH($A156&amp;"|"&amp;$B156,Corrupcion!$H$2:$H$377,0))),"")</f>
        <v/>
      </c>
      <c r="G156" s="20">
        <f>IFERROR(IF(INDEX(Corrupcion!$F$2:$F$377,MATCH($A156&amp;"|"&amp;$B156,Corrupcion!$H$2:$H$377,0))="","",INDEX(Corrupcion!$F$2:$F$377,MATCH($A156&amp;"|"&amp;$B156,Corrupcion!$H$2:$H$377,0))),"")</f>
        <v/>
      </c>
      <c r="H156" s="17">
        <f>IFERROR(IF(INDEX(Corrupcion!$G$2:$G$377,MATCH($A156&amp;"|"&amp;$B156,Corrupcion!$H$2:$H$377,0))="","",INDEX(Corrupcion!$G$2:$G$377,MATCH($A156&amp;"|"&amp;$B156,Corrupcion!$H$2:$H$377,0))),"")</f>
        <v/>
      </c>
      <c r="I156" s="8">
        <f>IF(COUNTBLANK(C156:E156)+COUNTBLANK(F156)=0,1,0)</f>
        <v/>
      </c>
      <c r="J156" s="8">
        <f>IF(COUNTBLANK(C156:E156)+COUNTBLANK(G156)=0,1,0)</f>
        <v/>
      </c>
      <c r="K156" s="8">
        <f>IF(COUNTBLANK(C156:E156)+COUNTBLANK(H156)=0,1,0)</f>
        <v/>
      </c>
    </row>
    <row r="157">
      <c r="A157" s="8" t="inlineStr">
        <is>
          <t>Ecuador</t>
        </is>
      </c>
      <c r="B157" s="8" t="n">
        <v>2018</v>
      </c>
      <c r="C157" s="18">
        <f>IF(Categorias!C158="","",Categorias!C158/(N(Categorias!C158)+N(Categorias!D158)+N(Categorias!E158)))</f>
        <v/>
      </c>
      <c r="D157" s="18">
        <f>IF(Categorias!H158="","",Categorias!H158/(N(Categorias!H158)+N(Categorias!I158)))</f>
        <v/>
      </c>
      <c r="E157" s="17">
        <f>IFERROR(IF(INDEX(Gini!$C$2:$C$377,MATCH($A157&amp;"|"&amp;$B157,Gini!$E$2:$E$377,0))="","",INDEX(Gini!$C$2:$C$377,MATCH($A157&amp;"|"&amp;$B157,Gini!$E$2:$E$377,0))),"")</f>
        <v/>
      </c>
      <c r="F157" s="19">
        <f>IFERROR(IF(INDEX(Corrupcion!$E$2:$E$377,MATCH($A157&amp;"|"&amp;$B157,Corrupcion!$H$2:$H$377,0))="","",INDEX(Corrupcion!$E$2:$E$377,MATCH($A157&amp;"|"&amp;$B157,Corrupcion!$H$2:$H$377,0))),"")</f>
        <v/>
      </c>
      <c r="G157" s="20">
        <f>IFERROR(IF(INDEX(Corrupcion!$F$2:$F$377,MATCH($A157&amp;"|"&amp;$B157,Corrupcion!$H$2:$H$377,0))="","",INDEX(Corrupcion!$F$2:$F$377,MATCH($A157&amp;"|"&amp;$B157,Corrupcion!$H$2:$H$377,0))),"")</f>
        <v/>
      </c>
      <c r="H157" s="17">
        <f>IFERROR(IF(INDEX(Corrupcion!$G$2:$G$377,MATCH($A157&amp;"|"&amp;$B157,Corrupcion!$H$2:$H$377,0))="","",INDEX(Corrupcion!$G$2:$G$377,MATCH($A157&amp;"|"&amp;$B157,Corrupcion!$H$2:$H$377,0))),"")</f>
        <v/>
      </c>
      <c r="I157" s="8">
        <f>IF(COUNTBLANK(C157:E157)+COUNTBLANK(F157)=0,1,0)</f>
        <v/>
      </c>
      <c r="J157" s="8">
        <f>IF(COUNTBLANK(C157:E157)+COUNTBLANK(G157)=0,1,0)</f>
        <v/>
      </c>
      <c r="K157" s="8">
        <f>IF(COUNTBLANK(C157:E157)+COUNTBLANK(H157)=0,1,0)</f>
        <v/>
      </c>
    </row>
    <row r="158">
      <c r="A158" s="8" t="inlineStr">
        <is>
          <t>Ecuador</t>
        </is>
      </c>
      <c r="B158" s="8" t="n">
        <v>2020</v>
      </c>
      <c r="C158" s="18">
        <f>IF(Categorias!C159="","",Categorias!C159/(N(Categorias!C159)+N(Categorias!D159)+N(Categorias!E159)))</f>
        <v/>
      </c>
      <c r="D158" s="18">
        <f>IF(Categorias!H159="","",Categorias!H159/(N(Categorias!H159)+N(Categorias!I159)))</f>
        <v/>
      </c>
      <c r="E158" s="17">
        <f>IFERROR(IF(INDEX(Gini!$C$2:$C$377,MATCH($A158&amp;"|"&amp;$B158,Gini!$E$2:$E$377,0))="","",INDEX(Gini!$C$2:$C$377,MATCH($A158&amp;"|"&amp;$B158,Gini!$E$2:$E$377,0))),"")</f>
        <v/>
      </c>
      <c r="F158" s="19">
        <f>IFERROR(IF(INDEX(Corrupcion!$E$2:$E$377,MATCH($A158&amp;"|"&amp;$B158,Corrupcion!$H$2:$H$377,0))="","",INDEX(Corrupcion!$E$2:$E$377,MATCH($A158&amp;"|"&amp;$B158,Corrupcion!$H$2:$H$377,0))),"")</f>
        <v/>
      </c>
      <c r="G158" s="20">
        <f>IFERROR(IF(INDEX(Corrupcion!$F$2:$F$377,MATCH($A158&amp;"|"&amp;$B158,Corrupcion!$H$2:$H$377,0))="","",INDEX(Corrupcion!$F$2:$F$377,MATCH($A158&amp;"|"&amp;$B158,Corrupcion!$H$2:$H$377,0))),"")</f>
        <v/>
      </c>
      <c r="H158" s="17">
        <f>IFERROR(IF(INDEX(Corrupcion!$G$2:$G$377,MATCH($A158&amp;"|"&amp;$B158,Corrupcion!$H$2:$H$377,0))="","",INDEX(Corrupcion!$G$2:$G$377,MATCH($A158&amp;"|"&amp;$B158,Corrupcion!$H$2:$H$377,0))),"")</f>
        <v/>
      </c>
      <c r="I158" s="8">
        <f>IF(COUNTBLANK(C158:E158)+COUNTBLANK(F158)=0,1,0)</f>
        <v/>
      </c>
      <c r="J158" s="8">
        <f>IF(COUNTBLANK(C158:E158)+COUNTBLANK(G158)=0,1,0)</f>
        <v/>
      </c>
      <c r="K158" s="8">
        <f>IF(COUNTBLANK(C158:E158)+COUNTBLANK(H158)=0,1,0)</f>
        <v/>
      </c>
    </row>
    <row r="159">
      <c r="A159" s="8" t="inlineStr">
        <is>
          <t>Ecuador</t>
        </is>
      </c>
      <c r="B159" s="8" t="n">
        <v>2024</v>
      </c>
      <c r="C159" s="18">
        <f>IF(Categorias!C160="","",Categorias!C160/(N(Categorias!C160)+N(Categorias!D160)+N(Categorias!E160)))</f>
        <v/>
      </c>
      <c r="D159" s="18">
        <f>IF(Categorias!H160="","",Categorias!H160/(N(Categorias!H160)+N(Categorias!I160)))</f>
        <v/>
      </c>
      <c r="E159" s="17">
        <f>IFERROR(IF(INDEX(Gini!$C$2:$C$377,MATCH($A159&amp;"|"&amp;$B159,Gini!$E$2:$E$377,0))="","",INDEX(Gini!$C$2:$C$377,MATCH($A159&amp;"|"&amp;$B159,Gini!$E$2:$E$377,0))),"")</f>
        <v/>
      </c>
      <c r="F159" s="19">
        <f>IFERROR(IF(INDEX(Corrupcion!$E$2:$E$377,MATCH($A159&amp;"|"&amp;$B159,Corrupcion!$H$2:$H$377,0))="","",INDEX(Corrupcion!$E$2:$E$377,MATCH($A159&amp;"|"&amp;$B159,Corrupcion!$H$2:$H$377,0))),"")</f>
        <v/>
      </c>
      <c r="G159" s="20">
        <f>IFERROR(IF(INDEX(Corrupcion!$F$2:$F$377,MATCH($A159&amp;"|"&amp;$B159,Corrupcion!$H$2:$H$377,0))="","",INDEX(Corrupcion!$F$2:$F$377,MATCH($A159&amp;"|"&amp;$B159,Corrupcion!$H$2:$H$377,0))),"")</f>
        <v/>
      </c>
      <c r="H159" s="17">
        <f>IFERROR(IF(INDEX(Corrupcion!$G$2:$G$377,MATCH($A159&amp;"|"&amp;$B159,Corrupcion!$H$2:$H$377,0))="","",INDEX(Corrupcion!$G$2:$G$377,MATCH($A159&amp;"|"&amp;$B159,Corrupcion!$H$2:$H$377,0))),"")</f>
        <v/>
      </c>
      <c r="I159" s="8">
        <f>IF(COUNTBLANK(C159:E159)+COUNTBLANK(F159)=0,1,0)</f>
        <v/>
      </c>
      <c r="J159" s="8">
        <f>IF(COUNTBLANK(C159:E159)+COUNTBLANK(G159)=0,1,0)</f>
        <v/>
      </c>
      <c r="K159" s="8">
        <f>IF(COUNTBLANK(C159:E159)+COUNTBLANK(H159)=0,1,0)</f>
        <v/>
      </c>
    </row>
    <row r="160">
      <c r="A160" s="8" t="inlineStr">
        <is>
          <t>El Salvador</t>
        </is>
      </c>
      <c r="B160" s="8" t="n">
        <v>1996</v>
      </c>
      <c r="C160" s="18">
        <f>IF(Categorias!C161="","",Categorias!C161/(N(Categorias!C161)+N(Categorias!D161)+N(Categorias!E161)))</f>
        <v/>
      </c>
      <c r="D160" s="18">
        <f>IF(Categorias!H161="","",Categorias!H161/(N(Categorias!H161)+N(Categorias!I161)))</f>
        <v/>
      </c>
      <c r="E160" s="17">
        <f>IFERROR(IF(INDEX(Gini!$C$2:$C$377,MATCH($A160&amp;"|"&amp;$B160,Gini!$E$2:$E$377,0))="","",INDEX(Gini!$C$2:$C$377,MATCH($A160&amp;"|"&amp;$B160,Gini!$E$2:$E$377,0))),"")</f>
        <v/>
      </c>
      <c r="F160" s="19">
        <f>IFERROR(IF(INDEX(Corrupcion!$E$2:$E$377,MATCH($A160&amp;"|"&amp;$B160,Corrupcion!$H$2:$H$377,0))="","",INDEX(Corrupcion!$E$2:$E$377,MATCH($A160&amp;"|"&amp;$B160,Corrupcion!$H$2:$H$377,0))),"")</f>
        <v/>
      </c>
      <c r="G160" s="20">
        <f>IFERROR(IF(INDEX(Corrupcion!$F$2:$F$377,MATCH($A160&amp;"|"&amp;$B160,Corrupcion!$H$2:$H$377,0))="","",INDEX(Corrupcion!$F$2:$F$377,MATCH($A160&amp;"|"&amp;$B160,Corrupcion!$H$2:$H$377,0))),"")</f>
        <v/>
      </c>
      <c r="H160" s="17">
        <f>IFERROR(IF(INDEX(Corrupcion!$G$2:$G$377,MATCH($A160&amp;"|"&amp;$B160,Corrupcion!$H$2:$H$377,0))="","",INDEX(Corrupcion!$G$2:$G$377,MATCH($A160&amp;"|"&amp;$B160,Corrupcion!$H$2:$H$377,0))),"")</f>
        <v/>
      </c>
      <c r="I160" s="8">
        <f>IF(COUNTBLANK(C160:E160)+COUNTBLANK(F160)=0,1,0)</f>
        <v/>
      </c>
      <c r="J160" s="8">
        <f>IF(COUNTBLANK(C160:E160)+COUNTBLANK(G160)=0,1,0)</f>
        <v/>
      </c>
      <c r="K160" s="8">
        <f>IF(COUNTBLANK(C160:E160)+COUNTBLANK(H160)=0,1,0)</f>
        <v/>
      </c>
    </row>
    <row r="161">
      <c r="A161" s="8" t="inlineStr">
        <is>
          <t>El Salvador</t>
        </is>
      </c>
      <c r="B161" s="8" t="n">
        <v>1997</v>
      </c>
      <c r="C161" s="18">
        <f>IF(Categorias!C162="","",Categorias!C162/(N(Categorias!C162)+N(Categorias!D162)+N(Categorias!E162)))</f>
        <v/>
      </c>
      <c r="D161" s="18">
        <f>IF(Categorias!H162="","",Categorias!H162/(N(Categorias!H162)+N(Categorias!I162)))</f>
        <v/>
      </c>
      <c r="E161" s="17">
        <f>IFERROR(IF(INDEX(Gini!$C$2:$C$377,MATCH($A161&amp;"|"&amp;$B161,Gini!$E$2:$E$377,0))="","",INDEX(Gini!$C$2:$C$377,MATCH($A161&amp;"|"&amp;$B161,Gini!$E$2:$E$377,0))),"")</f>
        <v/>
      </c>
      <c r="F161" s="19">
        <f>IFERROR(IF(INDEX(Corrupcion!$E$2:$E$377,MATCH($A161&amp;"|"&amp;$B161,Corrupcion!$H$2:$H$377,0))="","",INDEX(Corrupcion!$E$2:$E$377,MATCH($A161&amp;"|"&amp;$B161,Corrupcion!$H$2:$H$377,0))),"")</f>
        <v/>
      </c>
      <c r="G161" s="20">
        <f>IFERROR(IF(INDEX(Corrupcion!$F$2:$F$377,MATCH($A161&amp;"|"&amp;$B161,Corrupcion!$H$2:$H$377,0))="","",INDEX(Corrupcion!$F$2:$F$377,MATCH($A161&amp;"|"&amp;$B161,Corrupcion!$H$2:$H$377,0))),"")</f>
        <v/>
      </c>
      <c r="H161" s="17">
        <f>IFERROR(IF(INDEX(Corrupcion!$G$2:$G$377,MATCH($A161&amp;"|"&amp;$B161,Corrupcion!$H$2:$H$377,0))="","",INDEX(Corrupcion!$G$2:$G$377,MATCH($A161&amp;"|"&amp;$B161,Corrupcion!$H$2:$H$377,0))),"")</f>
        <v/>
      </c>
      <c r="I161" s="8">
        <f>IF(COUNTBLANK(C161:E161)+COUNTBLANK(F161)=0,1,0)</f>
        <v/>
      </c>
      <c r="J161" s="8">
        <f>IF(COUNTBLANK(C161:E161)+COUNTBLANK(G161)=0,1,0)</f>
        <v/>
      </c>
      <c r="K161" s="8">
        <f>IF(COUNTBLANK(C161:E161)+COUNTBLANK(H161)=0,1,0)</f>
        <v/>
      </c>
    </row>
    <row r="162">
      <c r="A162" s="8" t="inlineStr">
        <is>
          <t>El Salvador</t>
        </is>
      </c>
      <c r="B162" s="8" t="n">
        <v>1998</v>
      </c>
      <c r="C162" s="18">
        <f>IF(Categorias!C163="","",Categorias!C163/(N(Categorias!C163)+N(Categorias!D163)+N(Categorias!E163)))</f>
        <v/>
      </c>
      <c r="D162" s="18">
        <f>IF(Categorias!H163="","",Categorias!H163/(N(Categorias!H163)+N(Categorias!I163)))</f>
        <v/>
      </c>
      <c r="E162" s="17">
        <f>IFERROR(IF(INDEX(Gini!$C$2:$C$377,MATCH($A162&amp;"|"&amp;$B162,Gini!$E$2:$E$377,0))="","",INDEX(Gini!$C$2:$C$377,MATCH($A162&amp;"|"&amp;$B162,Gini!$E$2:$E$377,0))),"")</f>
        <v/>
      </c>
      <c r="F162" s="19">
        <f>IFERROR(IF(INDEX(Corrupcion!$E$2:$E$377,MATCH($A162&amp;"|"&amp;$B162,Corrupcion!$H$2:$H$377,0))="","",INDEX(Corrupcion!$E$2:$E$377,MATCH($A162&amp;"|"&amp;$B162,Corrupcion!$H$2:$H$377,0))),"")</f>
        <v/>
      </c>
      <c r="G162" s="20">
        <f>IFERROR(IF(INDEX(Corrupcion!$F$2:$F$377,MATCH($A162&amp;"|"&amp;$B162,Corrupcion!$H$2:$H$377,0))="","",INDEX(Corrupcion!$F$2:$F$377,MATCH($A162&amp;"|"&amp;$B162,Corrupcion!$H$2:$H$377,0))),"")</f>
        <v/>
      </c>
      <c r="H162" s="17">
        <f>IFERROR(IF(INDEX(Corrupcion!$G$2:$G$377,MATCH($A162&amp;"|"&amp;$B162,Corrupcion!$H$2:$H$377,0))="","",INDEX(Corrupcion!$G$2:$G$377,MATCH($A162&amp;"|"&amp;$B162,Corrupcion!$H$2:$H$377,0))),"")</f>
        <v/>
      </c>
      <c r="I162" s="8">
        <f>IF(COUNTBLANK(C162:E162)+COUNTBLANK(F162)=0,1,0)</f>
        <v/>
      </c>
      <c r="J162" s="8">
        <f>IF(COUNTBLANK(C162:E162)+COUNTBLANK(G162)=0,1,0)</f>
        <v/>
      </c>
      <c r="K162" s="8">
        <f>IF(COUNTBLANK(C162:E162)+COUNTBLANK(H162)=0,1,0)</f>
        <v/>
      </c>
    </row>
    <row r="163">
      <c r="A163" s="8" t="inlineStr">
        <is>
          <t>El Salvador</t>
        </is>
      </c>
      <c r="B163" s="8" t="n">
        <v>2000</v>
      </c>
      <c r="C163" s="18">
        <f>IF(Categorias!C164="","",Categorias!C164/(N(Categorias!C164)+N(Categorias!D164)+N(Categorias!E164)))</f>
        <v/>
      </c>
      <c r="D163" s="18">
        <f>IF(Categorias!H164="","",Categorias!H164/(N(Categorias!H164)+N(Categorias!I164)))</f>
        <v/>
      </c>
      <c r="E163" s="17">
        <f>IFERROR(IF(INDEX(Gini!$C$2:$C$377,MATCH($A163&amp;"|"&amp;$B163,Gini!$E$2:$E$377,0))="","",INDEX(Gini!$C$2:$C$377,MATCH($A163&amp;"|"&amp;$B163,Gini!$E$2:$E$377,0))),"")</f>
        <v/>
      </c>
      <c r="F163" s="19">
        <f>IFERROR(IF(INDEX(Corrupcion!$E$2:$E$377,MATCH($A163&amp;"|"&amp;$B163,Corrupcion!$H$2:$H$377,0))="","",INDEX(Corrupcion!$E$2:$E$377,MATCH($A163&amp;"|"&amp;$B163,Corrupcion!$H$2:$H$377,0))),"")</f>
        <v/>
      </c>
      <c r="G163" s="20">
        <f>IFERROR(IF(INDEX(Corrupcion!$F$2:$F$377,MATCH($A163&amp;"|"&amp;$B163,Corrupcion!$H$2:$H$377,0))="","",INDEX(Corrupcion!$F$2:$F$377,MATCH($A163&amp;"|"&amp;$B163,Corrupcion!$H$2:$H$377,0))),"")</f>
        <v/>
      </c>
      <c r="H163" s="17">
        <f>IFERROR(IF(INDEX(Corrupcion!$G$2:$G$377,MATCH($A163&amp;"|"&amp;$B163,Corrupcion!$H$2:$H$377,0))="","",INDEX(Corrupcion!$G$2:$G$377,MATCH($A163&amp;"|"&amp;$B163,Corrupcion!$H$2:$H$377,0))),"")</f>
        <v/>
      </c>
      <c r="I163" s="8">
        <f>IF(COUNTBLANK(C163:E163)+COUNTBLANK(F163)=0,1,0)</f>
        <v/>
      </c>
      <c r="J163" s="8">
        <f>IF(COUNTBLANK(C163:E163)+COUNTBLANK(G163)=0,1,0)</f>
        <v/>
      </c>
      <c r="K163" s="8">
        <f>IF(COUNTBLANK(C163:E163)+COUNTBLANK(H163)=0,1,0)</f>
        <v/>
      </c>
    </row>
    <row r="164">
      <c r="A164" s="8" t="inlineStr">
        <is>
          <t>El Salvador</t>
        </is>
      </c>
      <c r="B164" s="8" t="n">
        <v>2001</v>
      </c>
      <c r="C164" s="18">
        <f>IF(Categorias!C165="","",Categorias!C165/(N(Categorias!C165)+N(Categorias!D165)+N(Categorias!E165)))</f>
        <v/>
      </c>
      <c r="D164" s="18">
        <f>IF(Categorias!H165="","",Categorias!H165/(N(Categorias!H165)+N(Categorias!I165)))</f>
        <v/>
      </c>
      <c r="E164" s="17">
        <f>IFERROR(IF(INDEX(Gini!$C$2:$C$377,MATCH($A164&amp;"|"&amp;$B164,Gini!$E$2:$E$377,0))="","",INDEX(Gini!$C$2:$C$377,MATCH($A164&amp;"|"&amp;$B164,Gini!$E$2:$E$377,0))),"")</f>
        <v/>
      </c>
      <c r="F164" s="19">
        <f>IFERROR(IF(INDEX(Corrupcion!$E$2:$E$377,MATCH($A164&amp;"|"&amp;$B164,Corrupcion!$H$2:$H$377,0))="","",INDEX(Corrupcion!$E$2:$E$377,MATCH($A164&amp;"|"&amp;$B164,Corrupcion!$H$2:$H$377,0))),"")</f>
        <v/>
      </c>
      <c r="G164" s="20">
        <f>IFERROR(IF(INDEX(Corrupcion!$F$2:$F$377,MATCH($A164&amp;"|"&amp;$B164,Corrupcion!$H$2:$H$377,0))="","",INDEX(Corrupcion!$F$2:$F$377,MATCH($A164&amp;"|"&amp;$B164,Corrupcion!$H$2:$H$377,0))),"")</f>
        <v/>
      </c>
      <c r="H164" s="17">
        <f>IFERROR(IF(INDEX(Corrupcion!$G$2:$G$377,MATCH($A164&amp;"|"&amp;$B164,Corrupcion!$H$2:$H$377,0))="","",INDEX(Corrupcion!$G$2:$G$377,MATCH($A164&amp;"|"&amp;$B164,Corrupcion!$H$2:$H$377,0))),"")</f>
        <v/>
      </c>
      <c r="I164" s="8">
        <f>IF(COUNTBLANK(C164:E164)+COUNTBLANK(F164)=0,1,0)</f>
        <v/>
      </c>
      <c r="J164" s="8">
        <f>IF(COUNTBLANK(C164:E164)+COUNTBLANK(G164)=0,1,0)</f>
        <v/>
      </c>
      <c r="K164" s="8">
        <f>IF(COUNTBLANK(C164:E164)+COUNTBLANK(H164)=0,1,0)</f>
        <v/>
      </c>
    </row>
    <row r="165">
      <c r="A165" s="8" t="inlineStr">
        <is>
          <t>El Salvador</t>
        </is>
      </c>
      <c r="B165" s="8" t="n">
        <v>2002</v>
      </c>
      <c r="C165" s="18">
        <f>IF(Categorias!C166="","",Categorias!C166/(N(Categorias!C166)+N(Categorias!D166)+N(Categorias!E166)))</f>
        <v/>
      </c>
      <c r="D165" s="18">
        <f>IF(Categorias!H166="","",Categorias!H166/(N(Categorias!H166)+N(Categorias!I166)))</f>
        <v/>
      </c>
      <c r="E165" s="17">
        <f>IFERROR(IF(INDEX(Gini!$C$2:$C$377,MATCH($A165&amp;"|"&amp;$B165,Gini!$E$2:$E$377,0))="","",INDEX(Gini!$C$2:$C$377,MATCH($A165&amp;"|"&amp;$B165,Gini!$E$2:$E$377,0))),"")</f>
        <v/>
      </c>
      <c r="F165" s="19">
        <f>IFERROR(IF(INDEX(Corrupcion!$E$2:$E$377,MATCH($A165&amp;"|"&amp;$B165,Corrupcion!$H$2:$H$377,0))="","",INDEX(Corrupcion!$E$2:$E$377,MATCH($A165&amp;"|"&amp;$B165,Corrupcion!$H$2:$H$377,0))),"")</f>
        <v/>
      </c>
      <c r="G165" s="20">
        <f>IFERROR(IF(INDEX(Corrupcion!$F$2:$F$377,MATCH($A165&amp;"|"&amp;$B165,Corrupcion!$H$2:$H$377,0))="","",INDEX(Corrupcion!$F$2:$F$377,MATCH($A165&amp;"|"&amp;$B165,Corrupcion!$H$2:$H$377,0))),"")</f>
        <v/>
      </c>
      <c r="H165" s="17">
        <f>IFERROR(IF(INDEX(Corrupcion!$G$2:$G$377,MATCH($A165&amp;"|"&amp;$B165,Corrupcion!$H$2:$H$377,0))="","",INDEX(Corrupcion!$G$2:$G$377,MATCH($A165&amp;"|"&amp;$B165,Corrupcion!$H$2:$H$377,0))),"")</f>
        <v/>
      </c>
      <c r="I165" s="8">
        <f>IF(COUNTBLANK(C165:E165)+COUNTBLANK(F165)=0,1,0)</f>
        <v/>
      </c>
      <c r="J165" s="8">
        <f>IF(COUNTBLANK(C165:E165)+COUNTBLANK(G165)=0,1,0)</f>
        <v/>
      </c>
      <c r="K165" s="8">
        <f>IF(COUNTBLANK(C165:E165)+COUNTBLANK(H165)=0,1,0)</f>
        <v/>
      </c>
    </row>
    <row r="166">
      <c r="A166" s="8" t="inlineStr">
        <is>
          <t>El Salvador</t>
        </is>
      </c>
      <c r="B166" s="8" t="n">
        <v>2003</v>
      </c>
      <c r="C166" s="18">
        <f>IF(Categorias!C167="","",Categorias!C167/(N(Categorias!C167)+N(Categorias!D167)+N(Categorias!E167)))</f>
        <v/>
      </c>
      <c r="D166" s="18">
        <f>IF(Categorias!H167="","",Categorias!H167/(N(Categorias!H167)+N(Categorias!I167)))</f>
        <v/>
      </c>
      <c r="E166" s="17">
        <f>IFERROR(IF(INDEX(Gini!$C$2:$C$377,MATCH($A166&amp;"|"&amp;$B166,Gini!$E$2:$E$377,0))="","",INDEX(Gini!$C$2:$C$377,MATCH($A166&amp;"|"&amp;$B166,Gini!$E$2:$E$377,0))),"")</f>
        <v/>
      </c>
      <c r="F166" s="19">
        <f>IFERROR(IF(INDEX(Corrupcion!$E$2:$E$377,MATCH($A166&amp;"|"&amp;$B166,Corrupcion!$H$2:$H$377,0))="","",INDEX(Corrupcion!$E$2:$E$377,MATCH($A166&amp;"|"&amp;$B166,Corrupcion!$H$2:$H$377,0))),"")</f>
        <v/>
      </c>
      <c r="G166" s="20">
        <f>IFERROR(IF(INDEX(Corrupcion!$F$2:$F$377,MATCH($A166&amp;"|"&amp;$B166,Corrupcion!$H$2:$H$377,0))="","",INDEX(Corrupcion!$F$2:$F$377,MATCH($A166&amp;"|"&amp;$B166,Corrupcion!$H$2:$H$377,0))),"")</f>
        <v/>
      </c>
      <c r="H166" s="17">
        <f>IFERROR(IF(INDEX(Corrupcion!$G$2:$G$377,MATCH($A166&amp;"|"&amp;$B166,Corrupcion!$H$2:$H$377,0))="","",INDEX(Corrupcion!$G$2:$G$377,MATCH($A166&amp;"|"&amp;$B166,Corrupcion!$H$2:$H$377,0))),"")</f>
        <v/>
      </c>
      <c r="I166" s="8">
        <f>IF(COUNTBLANK(C166:E166)+COUNTBLANK(F166)=0,1,0)</f>
        <v/>
      </c>
      <c r="J166" s="8">
        <f>IF(COUNTBLANK(C166:E166)+COUNTBLANK(G166)=0,1,0)</f>
        <v/>
      </c>
      <c r="K166" s="8">
        <f>IF(COUNTBLANK(C166:E166)+COUNTBLANK(H166)=0,1,0)</f>
        <v/>
      </c>
    </row>
    <row r="167">
      <c r="A167" s="8" t="inlineStr">
        <is>
          <t>El Salvador</t>
        </is>
      </c>
      <c r="B167" s="8" t="n">
        <v>2004</v>
      </c>
      <c r="C167" s="18">
        <f>IF(Categorias!C168="","",Categorias!C168/(N(Categorias!C168)+N(Categorias!D168)+N(Categorias!E168)))</f>
        <v/>
      </c>
      <c r="D167" s="18">
        <f>IF(Categorias!H168="","",Categorias!H168/(N(Categorias!H168)+N(Categorias!I168)))</f>
        <v/>
      </c>
      <c r="E167" s="17">
        <f>IFERROR(IF(INDEX(Gini!$C$2:$C$377,MATCH($A167&amp;"|"&amp;$B167,Gini!$E$2:$E$377,0))="","",INDEX(Gini!$C$2:$C$377,MATCH($A167&amp;"|"&amp;$B167,Gini!$E$2:$E$377,0))),"")</f>
        <v/>
      </c>
      <c r="F167" s="19">
        <f>IFERROR(IF(INDEX(Corrupcion!$E$2:$E$377,MATCH($A167&amp;"|"&amp;$B167,Corrupcion!$H$2:$H$377,0))="","",INDEX(Corrupcion!$E$2:$E$377,MATCH($A167&amp;"|"&amp;$B167,Corrupcion!$H$2:$H$377,0))),"")</f>
        <v/>
      </c>
      <c r="G167" s="20">
        <f>IFERROR(IF(INDEX(Corrupcion!$F$2:$F$377,MATCH($A167&amp;"|"&amp;$B167,Corrupcion!$H$2:$H$377,0))="","",INDEX(Corrupcion!$F$2:$F$377,MATCH($A167&amp;"|"&amp;$B167,Corrupcion!$H$2:$H$377,0))),"")</f>
        <v/>
      </c>
      <c r="H167" s="17">
        <f>IFERROR(IF(INDEX(Corrupcion!$G$2:$G$377,MATCH($A167&amp;"|"&amp;$B167,Corrupcion!$H$2:$H$377,0))="","",INDEX(Corrupcion!$G$2:$G$377,MATCH($A167&amp;"|"&amp;$B167,Corrupcion!$H$2:$H$377,0))),"")</f>
        <v/>
      </c>
      <c r="I167" s="8">
        <f>IF(COUNTBLANK(C167:E167)+COUNTBLANK(F167)=0,1,0)</f>
        <v/>
      </c>
      <c r="J167" s="8">
        <f>IF(COUNTBLANK(C167:E167)+COUNTBLANK(G167)=0,1,0)</f>
        <v/>
      </c>
      <c r="K167" s="8">
        <f>IF(COUNTBLANK(C167:E167)+COUNTBLANK(H167)=0,1,0)</f>
        <v/>
      </c>
    </row>
    <row r="168">
      <c r="A168" s="8" t="inlineStr">
        <is>
          <t>El Salvador</t>
        </is>
      </c>
      <c r="B168" s="8" t="n">
        <v>2005</v>
      </c>
      <c r="C168" s="18">
        <f>IF(Categorias!C169="","",Categorias!C169/(N(Categorias!C169)+N(Categorias!D169)+N(Categorias!E169)))</f>
        <v/>
      </c>
      <c r="D168" s="18">
        <f>IF(Categorias!H169="","",Categorias!H169/(N(Categorias!H169)+N(Categorias!I169)))</f>
        <v/>
      </c>
      <c r="E168" s="17">
        <f>IFERROR(IF(INDEX(Gini!$C$2:$C$377,MATCH($A168&amp;"|"&amp;$B168,Gini!$E$2:$E$377,0))="","",INDEX(Gini!$C$2:$C$377,MATCH($A168&amp;"|"&amp;$B168,Gini!$E$2:$E$377,0))),"")</f>
        <v/>
      </c>
      <c r="F168" s="19">
        <f>IFERROR(IF(INDEX(Corrupcion!$E$2:$E$377,MATCH($A168&amp;"|"&amp;$B168,Corrupcion!$H$2:$H$377,0))="","",INDEX(Corrupcion!$E$2:$E$377,MATCH($A168&amp;"|"&amp;$B168,Corrupcion!$H$2:$H$377,0))),"")</f>
        <v/>
      </c>
      <c r="G168" s="20">
        <f>IFERROR(IF(INDEX(Corrupcion!$F$2:$F$377,MATCH($A168&amp;"|"&amp;$B168,Corrupcion!$H$2:$H$377,0))="","",INDEX(Corrupcion!$F$2:$F$377,MATCH($A168&amp;"|"&amp;$B168,Corrupcion!$H$2:$H$377,0))),"")</f>
        <v/>
      </c>
      <c r="H168" s="17">
        <f>IFERROR(IF(INDEX(Corrupcion!$G$2:$G$377,MATCH($A168&amp;"|"&amp;$B168,Corrupcion!$H$2:$H$377,0))="","",INDEX(Corrupcion!$G$2:$G$377,MATCH($A168&amp;"|"&amp;$B168,Corrupcion!$H$2:$H$377,0))),"")</f>
        <v/>
      </c>
      <c r="I168" s="8">
        <f>IF(COUNTBLANK(C168:E168)+COUNTBLANK(F168)=0,1,0)</f>
        <v/>
      </c>
      <c r="J168" s="8">
        <f>IF(COUNTBLANK(C168:E168)+COUNTBLANK(G168)=0,1,0)</f>
        <v/>
      </c>
      <c r="K168" s="8">
        <f>IF(COUNTBLANK(C168:E168)+COUNTBLANK(H168)=0,1,0)</f>
        <v/>
      </c>
    </row>
    <row r="169">
      <c r="A169" s="8" t="inlineStr">
        <is>
          <t>El Salvador</t>
        </is>
      </c>
      <c r="B169" s="8" t="n">
        <v>2006</v>
      </c>
      <c r="C169" s="18">
        <f>IF(Categorias!C170="","",Categorias!C170/(N(Categorias!C170)+N(Categorias!D170)+N(Categorias!E170)))</f>
        <v/>
      </c>
      <c r="D169" s="18">
        <f>IF(Categorias!H170="","",Categorias!H170/(N(Categorias!H170)+N(Categorias!I170)))</f>
        <v/>
      </c>
      <c r="E169" s="17">
        <f>IFERROR(IF(INDEX(Gini!$C$2:$C$377,MATCH($A169&amp;"|"&amp;$B169,Gini!$E$2:$E$377,0))="","",INDEX(Gini!$C$2:$C$377,MATCH($A169&amp;"|"&amp;$B169,Gini!$E$2:$E$377,0))),"")</f>
        <v/>
      </c>
      <c r="F169" s="19">
        <f>IFERROR(IF(INDEX(Corrupcion!$E$2:$E$377,MATCH($A169&amp;"|"&amp;$B169,Corrupcion!$H$2:$H$377,0))="","",INDEX(Corrupcion!$E$2:$E$377,MATCH($A169&amp;"|"&amp;$B169,Corrupcion!$H$2:$H$377,0))),"")</f>
        <v/>
      </c>
      <c r="G169" s="20">
        <f>IFERROR(IF(INDEX(Corrupcion!$F$2:$F$377,MATCH($A169&amp;"|"&amp;$B169,Corrupcion!$H$2:$H$377,0))="","",INDEX(Corrupcion!$F$2:$F$377,MATCH($A169&amp;"|"&amp;$B169,Corrupcion!$H$2:$H$377,0))),"")</f>
        <v/>
      </c>
      <c r="H169" s="17">
        <f>IFERROR(IF(INDEX(Corrupcion!$G$2:$G$377,MATCH($A169&amp;"|"&amp;$B169,Corrupcion!$H$2:$H$377,0))="","",INDEX(Corrupcion!$G$2:$G$377,MATCH($A169&amp;"|"&amp;$B169,Corrupcion!$H$2:$H$377,0))),"")</f>
        <v/>
      </c>
      <c r="I169" s="8">
        <f>IF(COUNTBLANK(C169:E169)+COUNTBLANK(F169)=0,1,0)</f>
        <v/>
      </c>
      <c r="J169" s="8">
        <f>IF(COUNTBLANK(C169:E169)+COUNTBLANK(G169)=0,1,0)</f>
        <v/>
      </c>
      <c r="K169" s="8">
        <f>IF(COUNTBLANK(C169:E169)+COUNTBLANK(H169)=0,1,0)</f>
        <v/>
      </c>
    </row>
    <row r="170">
      <c r="A170" s="8" t="inlineStr">
        <is>
          <t>El Salvador</t>
        </is>
      </c>
      <c r="B170" s="8" t="n">
        <v>2007</v>
      </c>
      <c r="C170" s="18">
        <f>IF(Categorias!C171="","",Categorias!C171/(N(Categorias!C171)+N(Categorias!D171)+N(Categorias!E171)))</f>
        <v/>
      </c>
      <c r="D170" s="18">
        <f>IF(Categorias!H171="","",Categorias!H171/(N(Categorias!H171)+N(Categorias!I171)))</f>
        <v/>
      </c>
      <c r="E170" s="17">
        <f>IFERROR(IF(INDEX(Gini!$C$2:$C$377,MATCH($A170&amp;"|"&amp;$B170,Gini!$E$2:$E$377,0))="","",INDEX(Gini!$C$2:$C$377,MATCH($A170&amp;"|"&amp;$B170,Gini!$E$2:$E$377,0))),"")</f>
        <v/>
      </c>
      <c r="F170" s="19">
        <f>IFERROR(IF(INDEX(Corrupcion!$E$2:$E$377,MATCH($A170&amp;"|"&amp;$B170,Corrupcion!$H$2:$H$377,0))="","",INDEX(Corrupcion!$E$2:$E$377,MATCH($A170&amp;"|"&amp;$B170,Corrupcion!$H$2:$H$377,0))),"")</f>
        <v/>
      </c>
      <c r="G170" s="20">
        <f>IFERROR(IF(INDEX(Corrupcion!$F$2:$F$377,MATCH($A170&amp;"|"&amp;$B170,Corrupcion!$H$2:$H$377,0))="","",INDEX(Corrupcion!$F$2:$F$377,MATCH($A170&amp;"|"&amp;$B170,Corrupcion!$H$2:$H$377,0))),"")</f>
        <v/>
      </c>
      <c r="H170" s="17">
        <f>IFERROR(IF(INDEX(Corrupcion!$G$2:$G$377,MATCH($A170&amp;"|"&amp;$B170,Corrupcion!$H$2:$H$377,0))="","",INDEX(Corrupcion!$G$2:$G$377,MATCH($A170&amp;"|"&amp;$B170,Corrupcion!$H$2:$H$377,0))),"")</f>
        <v/>
      </c>
      <c r="I170" s="8">
        <f>IF(COUNTBLANK(C170:E170)+COUNTBLANK(F170)=0,1,0)</f>
        <v/>
      </c>
      <c r="J170" s="8">
        <f>IF(COUNTBLANK(C170:E170)+COUNTBLANK(G170)=0,1,0)</f>
        <v/>
      </c>
      <c r="K170" s="8">
        <f>IF(COUNTBLANK(C170:E170)+COUNTBLANK(H170)=0,1,0)</f>
        <v/>
      </c>
    </row>
    <row r="171">
      <c r="A171" s="8" t="inlineStr">
        <is>
          <t>El Salvador</t>
        </is>
      </c>
      <c r="B171" s="8" t="n">
        <v>2008</v>
      </c>
      <c r="C171" s="18">
        <f>IF(Categorias!C172="","",Categorias!C172/(N(Categorias!C172)+N(Categorias!D172)+N(Categorias!E172)))</f>
        <v/>
      </c>
      <c r="D171" s="18">
        <f>IF(Categorias!H172="","",Categorias!H172/(N(Categorias!H172)+N(Categorias!I172)))</f>
        <v/>
      </c>
      <c r="E171" s="17">
        <f>IFERROR(IF(INDEX(Gini!$C$2:$C$377,MATCH($A171&amp;"|"&amp;$B171,Gini!$E$2:$E$377,0))="","",INDEX(Gini!$C$2:$C$377,MATCH($A171&amp;"|"&amp;$B171,Gini!$E$2:$E$377,0))),"")</f>
        <v/>
      </c>
      <c r="F171" s="19">
        <f>IFERROR(IF(INDEX(Corrupcion!$E$2:$E$377,MATCH($A171&amp;"|"&amp;$B171,Corrupcion!$H$2:$H$377,0))="","",INDEX(Corrupcion!$E$2:$E$377,MATCH($A171&amp;"|"&amp;$B171,Corrupcion!$H$2:$H$377,0))),"")</f>
        <v/>
      </c>
      <c r="G171" s="20">
        <f>IFERROR(IF(INDEX(Corrupcion!$F$2:$F$377,MATCH($A171&amp;"|"&amp;$B171,Corrupcion!$H$2:$H$377,0))="","",INDEX(Corrupcion!$F$2:$F$377,MATCH($A171&amp;"|"&amp;$B171,Corrupcion!$H$2:$H$377,0))),"")</f>
        <v/>
      </c>
      <c r="H171" s="17">
        <f>IFERROR(IF(INDEX(Corrupcion!$G$2:$G$377,MATCH($A171&amp;"|"&amp;$B171,Corrupcion!$H$2:$H$377,0))="","",INDEX(Corrupcion!$G$2:$G$377,MATCH($A171&amp;"|"&amp;$B171,Corrupcion!$H$2:$H$377,0))),"")</f>
        <v/>
      </c>
      <c r="I171" s="8">
        <f>IF(COUNTBLANK(C171:E171)+COUNTBLANK(F171)=0,1,0)</f>
        <v/>
      </c>
      <c r="J171" s="8">
        <f>IF(COUNTBLANK(C171:E171)+COUNTBLANK(G171)=0,1,0)</f>
        <v/>
      </c>
      <c r="K171" s="8">
        <f>IF(COUNTBLANK(C171:E171)+COUNTBLANK(H171)=0,1,0)</f>
        <v/>
      </c>
    </row>
    <row r="172">
      <c r="A172" s="8" t="inlineStr">
        <is>
          <t>El Salvador</t>
        </is>
      </c>
      <c r="B172" s="8" t="n">
        <v>2009</v>
      </c>
      <c r="C172" s="18">
        <f>IF(Categorias!C173="","",Categorias!C173/(N(Categorias!C173)+N(Categorias!D173)+N(Categorias!E173)))</f>
        <v/>
      </c>
      <c r="D172" s="18">
        <f>IF(Categorias!H173="","",Categorias!H173/(N(Categorias!H173)+N(Categorias!I173)))</f>
        <v/>
      </c>
      <c r="E172" s="17">
        <f>IFERROR(IF(INDEX(Gini!$C$2:$C$377,MATCH($A172&amp;"|"&amp;$B172,Gini!$E$2:$E$377,0))="","",INDEX(Gini!$C$2:$C$377,MATCH($A172&amp;"|"&amp;$B172,Gini!$E$2:$E$377,0))),"")</f>
        <v/>
      </c>
      <c r="F172" s="19">
        <f>IFERROR(IF(INDEX(Corrupcion!$E$2:$E$377,MATCH($A172&amp;"|"&amp;$B172,Corrupcion!$H$2:$H$377,0))="","",INDEX(Corrupcion!$E$2:$E$377,MATCH($A172&amp;"|"&amp;$B172,Corrupcion!$H$2:$H$377,0))),"")</f>
        <v/>
      </c>
      <c r="G172" s="20">
        <f>IFERROR(IF(INDEX(Corrupcion!$F$2:$F$377,MATCH($A172&amp;"|"&amp;$B172,Corrupcion!$H$2:$H$377,0))="","",INDEX(Corrupcion!$F$2:$F$377,MATCH($A172&amp;"|"&amp;$B172,Corrupcion!$H$2:$H$377,0))),"")</f>
        <v/>
      </c>
      <c r="H172" s="17">
        <f>IFERROR(IF(INDEX(Corrupcion!$G$2:$G$377,MATCH($A172&amp;"|"&amp;$B172,Corrupcion!$H$2:$H$377,0))="","",INDEX(Corrupcion!$G$2:$G$377,MATCH($A172&amp;"|"&amp;$B172,Corrupcion!$H$2:$H$377,0))),"")</f>
        <v/>
      </c>
      <c r="I172" s="8">
        <f>IF(COUNTBLANK(C172:E172)+COUNTBLANK(F172)=0,1,0)</f>
        <v/>
      </c>
      <c r="J172" s="8">
        <f>IF(COUNTBLANK(C172:E172)+COUNTBLANK(G172)=0,1,0)</f>
        <v/>
      </c>
      <c r="K172" s="8">
        <f>IF(COUNTBLANK(C172:E172)+COUNTBLANK(H172)=0,1,0)</f>
        <v/>
      </c>
    </row>
    <row r="173">
      <c r="A173" s="8" t="inlineStr">
        <is>
          <t>El Salvador</t>
        </is>
      </c>
      <c r="B173" s="8" t="n">
        <v>2010</v>
      </c>
      <c r="C173" s="18">
        <f>IF(Categorias!C174="","",Categorias!C174/(N(Categorias!C174)+N(Categorias!D174)+N(Categorias!E174)))</f>
        <v/>
      </c>
      <c r="D173" s="18">
        <f>IF(Categorias!H174="","",Categorias!H174/(N(Categorias!H174)+N(Categorias!I174)))</f>
        <v/>
      </c>
      <c r="E173" s="17">
        <f>IFERROR(IF(INDEX(Gini!$C$2:$C$377,MATCH($A173&amp;"|"&amp;$B173,Gini!$E$2:$E$377,0))="","",INDEX(Gini!$C$2:$C$377,MATCH($A173&amp;"|"&amp;$B173,Gini!$E$2:$E$377,0))),"")</f>
        <v/>
      </c>
      <c r="F173" s="19">
        <f>IFERROR(IF(INDEX(Corrupcion!$E$2:$E$377,MATCH($A173&amp;"|"&amp;$B173,Corrupcion!$H$2:$H$377,0))="","",INDEX(Corrupcion!$E$2:$E$377,MATCH($A173&amp;"|"&amp;$B173,Corrupcion!$H$2:$H$377,0))),"")</f>
        <v/>
      </c>
      <c r="G173" s="20">
        <f>IFERROR(IF(INDEX(Corrupcion!$F$2:$F$377,MATCH($A173&amp;"|"&amp;$B173,Corrupcion!$H$2:$H$377,0))="","",INDEX(Corrupcion!$F$2:$F$377,MATCH($A173&amp;"|"&amp;$B173,Corrupcion!$H$2:$H$377,0))),"")</f>
        <v/>
      </c>
      <c r="H173" s="17">
        <f>IFERROR(IF(INDEX(Corrupcion!$G$2:$G$377,MATCH($A173&amp;"|"&amp;$B173,Corrupcion!$H$2:$H$377,0))="","",INDEX(Corrupcion!$G$2:$G$377,MATCH($A173&amp;"|"&amp;$B173,Corrupcion!$H$2:$H$377,0))),"")</f>
        <v/>
      </c>
      <c r="I173" s="8">
        <f>IF(COUNTBLANK(C173:E173)+COUNTBLANK(F173)=0,1,0)</f>
        <v/>
      </c>
      <c r="J173" s="8">
        <f>IF(COUNTBLANK(C173:E173)+COUNTBLANK(G173)=0,1,0)</f>
        <v/>
      </c>
      <c r="K173" s="8">
        <f>IF(COUNTBLANK(C173:E173)+COUNTBLANK(H173)=0,1,0)</f>
        <v/>
      </c>
    </row>
    <row r="174">
      <c r="A174" s="8" t="inlineStr">
        <is>
          <t>El Salvador</t>
        </is>
      </c>
      <c r="B174" s="8" t="n">
        <v>2011</v>
      </c>
      <c r="C174" s="18">
        <f>IF(Categorias!C175="","",Categorias!C175/(N(Categorias!C175)+N(Categorias!D175)+N(Categorias!E175)))</f>
        <v/>
      </c>
      <c r="D174" s="18">
        <f>IF(Categorias!H175="","",Categorias!H175/(N(Categorias!H175)+N(Categorias!I175)))</f>
        <v/>
      </c>
      <c r="E174" s="17">
        <f>IFERROR(IF(INDEX(Gini!$C$2:$C$377,MATCH($A174&amp;"|"&amp;$B174,Gini!$E$2:$E$377,0))="","",INDEX(Gini!$C$2:$C$377,MATCH($A174&amp;"|"&amp;$B174,Gini!$E$2:$E$377,0))),"")</f>
        <v/>
      </c>
      <c r="F174" s="19">
        <f>IFERROR(IF(INDEX(Corrupcion!$E$2:$E$377,MATCH($A174&amp;"|"&amp;$B174,Corrupcion!$H$2:$H$377,0))="","",INDEX(Corrupcion!$E$2:$E$377,MATCH($A174&amp;"|"&amp;$B174,Corrupcion!$H$2:$H$377,0))),"")</f>
        <v/>
      </c>
      <c r="G174" s="20">
        <f>IFERROR(IF(INDEX(Corrupcion!$F$2:$F$377,MATCH($A174&amp;"|"&amp;$B174,Corrupcion!$H$2:$H$377,0))="","",INDEX(Corrupcion!$F$2:$F$377,MATCH($A174&amp;"|"&amp;$B174,Corrupcion!$H$2:$H$377,0))),"")</f>
        <v/>
      </c>
      <c r="H174" s="17">
        <f>IFERROR(IF(INDEX(Corrupcion!$G$2:$G$377,MATCH($A174&amp;"|"&amp;$B174,Corrupcion!$H$2:$H$377,0))="","",INDEX(Corrupcion!$G$2:$G$377,MATCH($A174&amp;"|"&amp;$B174,Corrupcion!$H$2:$H$377,0))),"")</f>
        <v/>
      </c>
      <c r="I174" s="8">
        <f>IF(COUNTBLANK(C174:E174)+COUNTBLANK(F174)=0,1,0)</f>
        <v/>
      </c>
      <c r="J174" s="8">
        <f>IF(COUNTBLANK(C174:E174)+COUNTBLANK(G174)=0,1,0)</f>
        <v/>
      </c>
      <c r="K174" s="8">
        <f>IF(COUNTBLANK(C174:E174)+COUNTBLANK(H174)=0,1,0)</f>
        <v/>
      </c>
    </row>
    <row r="175">
      <c r="A175" s="8" t="inlineStr">
        <is>
          <t>El Salvador</t>
        </is>
      </c>
      <c r="B175" s="8" t="n">
        <v>2016</v>
      </c>
      <c r="C175" s="18">
        <f>IF(Categorias!C176="","",Categorias!C176/(N(Categorias!C176)+N(Categorias!D176)+N(Categorias!E176)))</f>
        <v/>
      </c>
      <c r="D175" s="18">
        <f>IF(Categorias!H176="","",Categorias!H176/(N(Categorias!H176)+N(Categorias!I176)))</f>
        <v/>
      </c>
      <c r="E175" s="17">
        <f>IFERROR(IF(INDEX(Gini!$C$2:$C$377,MATCH($A175&amp;"|"&amp;$B175,Gini!$E$2:$E$377,0))="","",INDEX(Gini!$C$2:$C$377,MATCH($A175&amp;"|"&amp;$B175,Gini!$E$2:$E$377,0))),"")</f>
        <v/>
      </c>
      <c r="F175" s="19">
        <f>IFERROR(IF(INDEX(Corrupcion!$E$2:$E$377,MATCH($A175&amp;"|"&amp;$B175,Corrupcion!$H$2:$H$377,0))="","",INDEX(Corrupcion!$E$2:$E$377,MATCH($A175&amp;"|"&amp;$B175,Corrupcion!$H$2:$H$377,0))),"")</f>
        <v/>
      </c>
      <c r="G175" s="20">
        <f>IFERROR(IF(INDEX(Corrupcion!$F$2:$F$377,MATCH($A175&amp;"|"&amp;$B175,Corrupcion!$H$2:$H$377,0))="","",INDEX(Corrupcion!$F$2:$F$377,MATCH($A175&amp;"|"&amp;$B175,Corrupcion!$H$2:$H$377,0))),"")</f>
        <v/>
      </c>
      <c r="H175" s="17">
        <f>IFERROR(IF(INDEX(Corrupcion!$G$2:$G$377,MATCH($A175&amp;"|"&amp;$B175,Corrupcion!$H$2:$H$377,0))="","",INDEX(Corrupcion!$G$2:$G$377,MATCH($A175&amp;"|"&amp;$B175,Corrupcion!$H$2:$H$377,0))),"")</f>
        <v/>
      </c>
      <c r="I175" s="8">
        <f>IF(COUNTBLANK(C175:E175)+COUNTBLANK(F175)=0,1,0)</f>
        <v/>
      </c>
      <c r="J175" s="8">
        <f>IF(COUNTBLANK(C175:E175)+COUNTBLANK(G175)=0,1,0)</f>
        <v/>
      </c>
      <c r="K175" s="8">
        <f>IF(COUNTBLANK(C175:E175)+COUNTBLANK(H175)=0,1,0)</f>
        <v/>
      </c>
    </row>
    <row r="176">
      <c r="A176" s="8" t="inlineStr">
        <is>
          <t>El Salvador</t>
        </is>
      </c>
      <c r="B176" s="8" t="n">
        <v>2017</v>
      </c>
      <c r="C176" s="18">
        <f>IF(Categorias!C177="","",Categorias!C177/(N(Categorias!C177)+N(Categorias!D177)+N(Categorias!E177)))</f>
        <v/>
      </c>
      <c r="D176" s="18">
        <f>IF(Categorias!H177="","",Categorias!H177/(N(Categorias!H177)+N(Categorias!I177)))</f>
        <v/>
      </c>
      <c r="E176" s="17">
        <f>IFERROR(IF(INDEX(Gini!$C$2:$C$377,MATCH($A176&amp;"|"&amp;$B176,Gini!$E$2:$E$377,0))="","",INDEX(Gini!$C$2:$C$377,MATCH($A176&amp;"|"&amp;$B176,Gini!$E$2:$E$377,0))),"")</f>
        <v/>
      </c>
      <c r="F176" s="19">
        <f>IFERROR(IF(INDEX(Corrupcion!$E$2:$E$377,MATCH($A176&amp;"|"&amp;$B176,Corrupcion!$H$2:$H$377,0))="","",INDEX(Corrupcion!$E$2:$E$377,MATCH($A176&amp;"|"&amp;$B176,Corrupcion!$H$2:$H$377,0))),"")</f>
        <v/>
      </c>
      <c r="G176" s="20">
        <f>IFERROR(IF(INDEX(Corrupcion!$F$2:$F$377,MATCH($A176&amp;"|"&amp;$B176,Corrupcion!$H$2:$H$377,0))="","",INDEX(Corrupcion!$F$2:$F$377,MATCH($A176&amp;"|"&amp;$B176,Corrupcion!$H$2:$H$377,0))),"")</f>
        <v/>
      </c>
      <c r="H176" s="17">
        <f>IFERROR(IF(INDEX(Corrupcion!$G$2:$G$377,MATCH($A176&amp;"|"&amp;$B176,Corrupcion!$H$2:$H$377,0))="","",INDEX(Corrupcion!$G$2:$G$377,MATCH($A176&amp;"|"&amp;$B176,Corrupcion!$H$2:$H$377,0))),"")</f>
        <v/>
      </c>
      <c r="I176" s="8">
        <f>IF(COUNTBLANK(C176:E176)+COUNTBLANK(F176)=0,1,0)</f>
        <v/>
      </c>
      <c r="J176" s="8">
        <f>IF(COUNTBLANK(C176:E176)+COUNTBLANK(G176)=0,1,0)</f>
        <v/>
      </c>
      <c r="K176" s="8">
        <f>IF(COUNTBLANK(C176:E176)+COUNTBLANK(H176)=0,1,0)</f>
        <v/>
      </c>
    </row>
    <row r="177">
      <c r="A177" s="8" t="inlineStr">
        <is>
          <t>El Salvador</t>
        </is>
      </c>
      <c r="B177" s="8" t="n">
        <v>2018</v>
      </c>
      <c r="C177" s="18">
        <f>IF(Categorias!C178="","",Categorias!C178/(N(Categorias!C178)+N(Categorias!D178)+N(Categorias!E178)))</f>
        <v/>
      </c>
      <c r="D177" s="18">
        <f>IF(Categorias!H178="","",Categorias!H178/(N(Categorias!H178)+N(Categorias!I178)))</f>
        <v/>
      </c>
      <c r="E177" s="17">
        <f>IFERROR(IF(INDEX(Gini!$C$2:$C$377,MATCH($A177&amp;"|"&amp;$B177,Gini!$E$2:$E$377,0))="","",INDEX(Gini!$C$2:$C$377,MATCH($A177&amp;"|"&amp;$B177,Gini!$E$2:$E$377,0))),"")</f>
        <v/>
      </c>
      <c r="F177" s="19">
        <f>IFERROR(IF(INDEX(Corrupcion!$E$2:$E$377,MATCH($A177&amp;"|"&amp;$B177,Corrupcion!$H$2:$H$377,0))="","",INDEX(Corrupcion!$E$2:$E$377,MATCH($A177&amp;"|"&amp;$B177,Corrupcion!$H$2:$H$377,0))),"")</f>
        <v/>
      </c>
      <c r="G177" s="20">
        <f>IFERROR(IF(INDEX(Corrupcion!$F$2:$F$377,MATCH($A177&amp;"|"&amp;$B177,Corrupcion!$H$2:$H$377,0))="","",INDEX(Corrupcion!$F$2:$F$377,MATCH($A177&amp;"|"&amp;$B177,Corrupcion!$H$2:$H$377,0))),"")</f>
        <v/>
      </c>
      <c r="H177" s="17">
        <f>IFERROR(IF(INDEX(Corrupcion!$G$2:$G$377,MATCH($A177&amp;"|"&amp;$B177,Corrupcion!$H$2:$H$377,0))="","",INDEX(Corrupcion!$G$2:$G$377,MATCH($A177&amp;"|"&amp;$B177,Corrupcion!$H$2:$H$377,0))),"")</f>
        <v/>
      </c>
      <c r="I177" s="8">
        <f>IF(COUNTBLANK(C177:E177)+COUNTBLANK(F177)=0,1,0)</f>
        <v/>
      </c>
      <c r="J177" s="8">
        <f>IF(COUNTBLANK(C177:E177)+COUNTBLANK(G177)=0,1,0)</f>
        <v/>
      </c>
      <c r="K177" s="8">
        <f>IF(COUNTBLANK(C177:E177)+COUNTBLANK(H177)=0,1,0)</f>
        <v/>
      </c>
    </row>
    <row r="178">
      <c r="A178" s="8" t="inlineStr">
        <is>
          <t>El Salvador</t>
        </is>
      </c>
      <c r="B178" s="8" t="n">
        <v>2020</v>
      </c>
      <c r="C178" s="18">
        <f>IF(Categorias!C179="","",Categorias!C179/(N(Categorias!C179)+N(Categorias!D179)+N(Categorias!E179)))</f>
        <v/>
      </c>
      <c r="D178" s="18">
        <f>IF(Categorias!H179="","",Categorias!H179/(N(Categorias!H179)+N(Categorias!I179)))</f>
        <v/>
      </c>
      <c r="E178" s="17">
        <f>IFERROR(IF(INDEX(Gini!$C$2:$C$377,MATCH($A178&amp;"|"&amp;$B178,Gini!$E$2:$E$377,0))="","",INDEX(Gini!$C$2:$C$377,MATCH($A178&amp;"|"&amp;$B178,Gini!$E$2:$E$377,0))),"")</f>
        <v/>
      </c>
      <c r="F178" s="19">
        <f>IFERROR(IF(INDEX(Corrupcion!$E$2:$E$377,MATCH($A178&amp;"|"&amp;$B178,Corrupcion!$H$2:$H$377,0))="","",INDEX(Corrupcion!$E$2:$E$377,MATCH($A178&amp;"|"&amp;$B178,Corrupcion!$H$2:$H$377,0))),"")</f>
        <v/>
      </c>
      <c r="G178" s="20">
        <f>IFERROR(IF(INDEX(Corrupcion!$F$2:$F$377,MATCH($A178&amp;"|"&amp;$B178,Corrupcion!$H$2:$H$377,0))="","",INDEX(Corrupcion!$F$2:$F$377,MATCH($A178&amp;"|"&amp;$B178,Corrupcion!$H$2:$H$377,0))),"")</f>
        <v/>
      </c>
      <c r="H178" s="17">
        <f>IFERROR(IF(INDEX(Corrupcion!$G$2:$G$377,MATCH($A178&amp;"|"&amp;$B178,Corrupcion!$H$2:$H$377,0))="","",INDEX(Corrupcion!$G$2:$G$377,MATCH($A178&amp;"|"&amp;$B178,Corrupcion!$H$2:$H$377,0))),"")</f>
        <v/>
      </c>
      <c r="I178" s="8">
        <f>IF(COUNTBLANK(C178:E178)+COUNTBLANK(F178)=0,1,0)</f>
        <v/>
      </c>
      <c r="J178" s="8">
        <f>IF(COUNTBLANK(C178:E178)+COUNTBLANK(G178)=0,1,0)</f>
        <v/>
      </c>
      <c r="K178" s="8">
        <f>IF(COUNTBLANK(C178:E178)+COUNTBLANK(H178)=0,1,0)</f>
        <v/>
      </c>
    </row>
    <row r="179">
      <c r="A179" s="8" t="inlineStr">
        <is>
          <t>El Salvador</t>
        </is>
      </c>
      <c r="B179" s="8" t="n">
        <v>2024</v>
      </c>
      <c r="C179" s="18">
        <f>IF(Categorias!C180="","",Categorias!C180/(N(Categorias!C180)+N(Categorias!D180)+N(Categorias!E180)))</f>
        <v/>
      </c>
      <c r="D179" s="18">
        <f>IF(Categorias!H180="","",Categorias!H180/(N(Categorias!H180)+N(Categorias!I180)))</f>
        <v/>
      </c>
      <c r="E179" s="17">
        <f>IFERROR(IF(INDEX(Gini!$C$2:$C$377,MATCH($A179&amp;"|"&amp;$B179,Gini!$E$2:$E$377,0))="","",INDEX(Gini!$C$2:$C$377,MATCH($A179&amp;"|"&amp;$B179,Gini!$E$2:$E$377,0))),"")</f>
        <v/>
      </c>
      <c r="F179" s="19">
        <f>IFERROR(IF(INDEX(Corrupcion!$E$2:$E$377,MATCH($A179&amp;"|"&amp;$B179,Corrupcion!$H$2:$H$377,0))="","",INDEX(Corrupcion!$E$2:$E$377,MATCH($A179&amp;"|"&amp;$B179,Corrupcion!$H$2:$H$377,0))),"")</f>
        <v/>
      </c>
      <c r="G179" s="20">
        <f>IFERROR(IF(INDEX(Corrupcion!$F$2:$F$377,MATCH($A179&amp;"|"&amp;$B179,Corrupcion!$H$2:$H$377,0))="","",INDEX(Corrupcion!$F$2:$F$377,MATCH($A179&amp;"|"&amp;$B179,Corrupcion!$H$2:$H$377,0))),"")</f>
        <v/>
      </c>
      <c r="H179" s="17">
        <f>IFERROR(IF(INDEX(Corrupcion!$G$2:$G$377,MATCH($A179&amp;"|"&amp;$B179,Corrupcion!$H$2:$H$377,0))="","",INDEX(Corrupcion!$G$2:$G$377,MATCH($A179&amp;"|"&amp;$B179,Corrupcion!$H$2:$H$377,0))),"")</f>
        <v/>
      </c>
      <c r="I179" s="8">
        <f>IF(COUNTBLANK(C179:E179)+COUNTBLANK(F179)=0,1,0)</f>
        <v/>
      </c>
      <c r="J179" s="8">
        <f>IF(COUNTBLANK(C179:E179)+COUNTBLANK(G179)=0,1,0)</f>
        <v/>
      </c>
      <c r="K179" s="8">
        <f>IF(COUNTBLANK(C179:E179)+COUNTBLANK(H179)=0,1,0)</f>
        <v/>
      </c>
    </row>
    <row r="180">
      <c r="A180" s="8" t="inlineStr">
        <is>
          <t>Guatemala</t>
        </is>
      </c>
      <c r="B180" s="8" t="n">
        <v>1996</v>
      </c>
      <c r="C180" s="18">
        <f>IF(Categorias!C181="","",Categorias!C181/(N(Categorias!C181)+N(Categorias!D181)+N(Categorias!E181)))</f>
        <v/>
      </c>
      <c r="D180" s="18">
        <f>IF(Categorias!H181="","",Categorias!H181/(N(Categorias!H181)+N(Categorias!I181)))</f>
        <v/>
      </c>
      <c r="E180" s="17">
        <f>IFERROR(IF(INDEX(Gini!$C$2:$C$377,MATCH($A180&amp;"|"&amp;$B180,Gini!$E$2:$E$377,0))="","",INDEX(Gini!$C$2:$C$377,MATCH($A180&amp;"|"&amp;$B180,Gini!$E$2:$E$377,0))),"")</f>
        <v/>
      </c>
      <c r="F180" s="19">
        <f>IFERROR(IF(INDEX(Corrupcion!$E$2:$E$377,MATCH($A180&amp;"|"&amp;$B180,Corrupcion!$H$2:$H$377,0))="","",INDEX(Corrupcion!$E$2:$E$377,MATCH($A180&amp;"|"&amp;$B180,Corrupcion!$H$2:$H$377,0))),"")</f>
        <v/>
      </c>
      <c r="G180" s="20">
        <f>IFERROR(IF(INDEX(Corrupcion!$F$2:$F$377,MATCH($A180&amp;"|"&amp;$B180,Corrupcion!$H$2:$H$377,0))="","",INDEX(Corrupcion!$F$2:$F$377,MATCH($A180&amp;"|"&amp;$B180,Corrupcion!$H$2:$H$377,0))),"")</f>
        <v/>
      </c>
      <c r="H180" s="17">
        <f>IFERROR(IF(INDEX(Corrupcion!$G$2:$G$377,MATCH($A180&amp;"|"&amp;$B180,Corrupcion!$H$2:$H$377,0))="","",INDEX(Corrupcion!$G$2:$G$377,MATCH($A180&amp;"|"&amp;$B180,Corrupcion!$H$2:$H$377,0))),"")</f>
        <v/>
      </c>
      <c r="I180" s="8">
        <f>IF(COUNTBLANK(C180:E180)+COUNTBLANK(F180)=0,1,0)</f>
        <v/>
      </c>
      <c r="J180" s="8">
        <f>IF(COUNTBLANK(C180:E180)+COUNTBLANK(G180)=0,1,0)</f>
        <v/>
      </c>
      <c r="K180" s="8">
        <f>IF(COUNTBLANK(C180:E180)+COUNTBLANK(H180)=0,1,0)</f>
        <v/>
      </c>
    </row>
    <row r="181">
      <c r="A181" s="8" t="inlineStr">
        <is>
          <t>Guatemala</t>
        </is>
      </c>
      <c r="B181" s="8" t="n">
        <v>1997</v>
      </c>
      <c r="C181" s="18">
        <f>IF(Categorias!C182="","",Categorias!C182/(N(Categorias!C182)+N(Categorias!D182)+N(Categorias!E182)))</f>
        <v/>
      </c>
      <c r="D181" s="18">
        <f>IF(Categorias!H182="","",Categorias!H182/(N(Categorias!H182)+N(Categorias!I182)))</f>
        <v/>
      </c>
      <c r="E181" s="17">
        <f>IFERROR(IF(INDEX(Gini!$C$2:$C$377,MATCH($A181&amp;"|"&amp;$B181,Gini!$E$2:$E$377,0))="","",INDEX(Gini!$C$2:$C$377,MATCH($A181&amp;"|"&amp;$B181,Gini!$E$2:$E$377,0))),"")</f>
        <v/>
      </c>
      <c r="F181" s="19">
        <f>IFERROR(IF(INDEX(Corrupcion!$E$2:$E$377,MATCH($A181&amp;"|"&amp;$B181,Corrupcion!$H$2:$H$377,0))="","",INDEX(Corrupcion!$E$2:$E$377,MATCH($A181&amp;"|"&amp;$B181,Corrupcion!$H$2:$H$377,0))),"")</f>
        <v/>
      </c>
      <c r="G181" s="20">
        <f>IFERROR(IF(INDEX(Corrupcion!$F$2:$F$377,MATCH($A181&amp;"|"&amp;$B181,Corrupcion!$H$2:$H$377,0))="","",INDEX(Corrupcion!$F$2:$F$377,MATCH($A181&amp;"|"&amp;$B181,Corrupcion!$H$2:$H$377,0))),"")</f>
        <v/>
      </c>
      <c r="H181" s="17">
        <f>IFERROR(IF(INDEX(Corrupcion!$G$2:$G$377,MATCH($A181&amp;"|"&amp;$B181,Corrupcion!$H$2:$H$377,0))="","",INDEX(Corrupcion!$G$2:$G$377,MATCH($A181&amp;"|"&amp;$B181,Corrupcion!$H$2:$H$377,0))),"")</f>
        <v/>
      </c>
      <c r="I181" s="8">
        <f>IF(COUNTBLANK(C181:E181)+COUNTBLANK(F181)=0,1,0)</f>
        <v/>
      </c>
      <c r="J181" s="8">
        <f>IF(COUNTBLANK(C181:E181)+COUNTBLANK(G181)=0,1,0)</f>
        <v/>
      </c>
      <c r="K181" s="8">
        <f>IF(COUNTBLANK(C181:E181)+COUNTBLANK(H181)=0,1,0)</f>
        <v/>
      </c>
    </row>
    <row r="182">
      <c r="A182" s="8" t="inlineStr">
        <is>
          <t>Guatemala</t>
        </is>
      </c>
      <c r="B182" s="8" t="n">
        <v>1998</v>
      </c>
      <c r="C182" s="18">
        <f>IF(Categorias!C183="","",Categorias!C183/(N(Categorias!C183)+N(Categorias!D183)+N(Categorias!E183)))</f>
        <v/>
      </c>
      <c r="D182" s="18">
        <f>IF(Categorias!H183="","",Categorias!H183/(N(Categorias!H183)+N(Categorias!I183)))</f>
        <v/>
      </c>
      <c r="E182" s="17">
        <f>IFERROR(IF(INDEX(Gini!$C$2:$C$377,MATCH($A182&amp;"|"&amp;$B182,Gini!$E$2:$E$377,0))="","",INDEX(Gini!$C$2:$C$377,MATCH($A182&amp;"|"&amp;$B182,Gini!$E$2:$E$377,0))),"")</f>
        <v/>
      </c>
      <c r="F182" s="19">
        <f>IFERROR(IF(INDEX(Corrupcion!$E$2:$E$377,MATCH($A182&amp;"|"&amp;$B182,Corrupcion!$H$2:$H$377,0))="","",INDEX(Corrupcion!$E$2:$E$377,MATCH($A182&amp;"|"&amp;$B182,Corrupcion!$H$2:$H$377,0))),"")</f>
        <v/>
      </c>
      <c r="G182" s="20">
        <f>IFERROR(IF(INDEX(Corrupcion!$F$2:$F$377,MATCH($A182&amp;"|"&amp;$B182,Corrupcion!$H$2:$H$377,0))="","",INDEX(Corrupcion!$F$2:$F$377,MATCH($A182&amp;"|"&amp;$B182,Corrupcion!$H$2:$H$377,0))),"")</f>
        <v/>
      </c>
      <c r="H182" s="17">
        <f>IFERROR(IF(INDEX(Corrupcion!$G$2:$G$377,MATCH($A182&amp;"|"&amp;$B182,Corrupcion!$H$2:$H$377,0))="","",INDEX(Corrupcion!$G$2:$G$377,MATCH($A182&amp;"|"&amp;$B182,Corrupcion!$H$2:$H$377,0))),"")</f>
        <v/>
      </c>
      <c r="I182" s="8">
        <f>IF(COUNTBLANK(C182:E182)+COUNTBLANK(F182)=0,1,0)</f>
        <v/>
      </c>
      <c r="J182" s="8">
        <f>IF(COUNTBLANK(C182:E182)+COUNTBLANK(G182)=0,1,0)</f>
        <v/>
      </c>
      <c r="K182" s="8">
        <f>IF(COUNTBLANK(C182:E182)+COUNTBLANK(H182)=0,1,0)</f>
        <v/>
      </c>
    </row>
    <row r="183">
      <c r="A183" s="8" t="inlineStr">
        <is>
          <t>Guatemala</t>
        </is>
      </c>
      <c r="B183" s="8" t="n">
        <v>2000</v>
      </c>
      <c r="C183" s="18">
        <f>IF(Categorias!C184="","",Categorias!C184/(N(Categorias!C184)+N(Categorias!D184)+N(Categorias!E184)))</f>
        <v/>
      </c>
      <c r="D183" s="18">
        <f>IF(Categorias!H184="","",Categorias!H184/(N(Categorias!H184)+N(Categorias!I184)))</f>
        <v/>
      </c>
      <c r="E183" s="17">
        <f>IFERROR(IF(INDEX(Gini!$C$2:$C$377,MATCH($A183&amp;"|"&amp;$B183,Gini!$E$2:$E$377,0))="","",INDEX(Gini!$C$2:$C$377,MATCH($A183&amp;"|"&amp;$B183,Gini!$E$2:$E$377,0))),"")</f>
        <v/>
      </c>
      <c r="F183" s="19">
        <f>IFERROR(IF(INDEX(Corrupcion!$E$2:$E$377,MATCH($A183&amp;"|"&amp;$B183,Corrupcion!$H$2:$H$377,0))="","",INDEX(Corrupcion!$E$2:$E$377,MATCH($A183&amp;"|"&amp;$B183,Corrupcion!$H$2:$H$377,0))),"")</f>
        <v/>
      </c>
      <c r="G183" s="20">
        <f>IFERROR(IF(INDEX(Corrupcion!$F$2:$F$377,MATCH($A183&amp;"|"&amp;$B183,Corrupcion!$H$2:$H$377,0))="","",INDEX(Corrupcion!$F$2:$F$377,MATCH($A183&amp;"|"&amp;$B183,Corrupcion!$H$2:$H$377,0))),"")</f>
        <v/>
      </c>
      <c r="H183" s="17">
        <f>IFERROR(IF(INDEX(Corrupcion!$G$2:$G$377,MATCH($A183&amp;"|"&amp;$B183,Corrupcion!$H$2:$H$377,0))="","",INDEX(Corrupcion!$G$2:$G$377,MATCH($A183&amp;"|"&amp;$B183,Corrupcion!$H$2:$H$377,0))),"")</f>
        <v/>
      </c>
      <c r="I183" s="8">
        <f>IF(COUNTBLANK(C183:E183)+COUNTBLANK(F183)=0,1,0)</f>
        <v/>
      </c>
      <c r="J183" s="8">
        <f>IF(COUNTBLANK(C183:E183)+COUNTBLANK(G183)=0,1,0)</f>
        <v/>
      </c>
      <c r="K183" s="8">
        <f>IF(COUNTBLANK(C183:E183)+COUNTBLANK(H183)=0,1,0)</f>
        <v/>
      </c>
    </row>
    <row r="184">
      <c r="A184" s="8" t="inlineStr">
        <is>
          <t>Guatemala</t>
        </is>
      </c>
      <c r="B184" s="8" t="n">
        <v>2001</v>
      </c>
      <c r="C184" s="18">
        <f>IF(Categorias!C185="","",Categorias!C185/(N(Categorias!C185)+N(Categorias!D185)+N(Categorias!E185)))</f>
        <v/>
      </c>
      <c r="D184" s="18">
        <f>IF(Categorias!H185="","",Categorias!H185/(N(Categorias!H185)+N(Categorias!I185)))</f>
        <v/>
      </c>
      <c r="E184" s="17">
        <f>IFERROR(IF(INDEX(Gini!$C$2:$C$377,MATCH($A184&amp;"|"&amp;$B184,Gini!$E$2:$E$377,0))="","",INDEX(Gini!$C$2:$C$377,MATCH($A184&amp;"|"&amp;$B184,Gini!$E$2:$E$377,0))),"")</f>
        <v/>
      </c>
      <c r="F184" s="19">
        <f>IFERROR(IF(INDEX(Corrupcion!$E$2:$E$377,MATCH($A184&amp;"|"&amp;$B184,Corrupcion!$H$2:$H$377,0))="","",INDEX(Corrupcion!$E$2:$E$377,MATCH($A184&amp;"|"&amp;$B184,Corrupcion!$H$2:$H$377,0))),"")</f>
        <v/>
      </c>
      <c r="G184" s="20">
        <f>IFERROR(IF(INDEX(Corrupcion!$F$2:$F$377,MATCH($A184&amp;"|"&amp;$B184,Corrupcion!$H$2:$H$377,0))="","",INDEX(Corrupcion!$F$2:$F$377,MATCH($A184&amp;"|"&amp;$B184,Corrupcion!$H$2:$H$377,0))),"")</f>
        <v/>
      </c>
      <c r="H184" s="17">
        <f>IFERROR(IF(INDEX(Corrupcion!$G$2:$G$377,MATCH($A184&amp;"|"&amp;$B184,Corrupcion!$H$2:$H$377,0))="","",INDEX(Corrupcion!$G$2:$G$377,MATCH($A184&amp;"|"&amp;$B184,Corrupcion!$H$2:$H$377,0))),"")</f>
        <v/>
      </c>
      <c r="I184" s="8">
        <f>IF(COUNTBLANK(C184:E184)+COUNTBLANK(F184)=0,1,0)</f>
        <v/>
      </c>
      <c r="J184" s="8">
        <f>IF(COUNTBLANK(C184:E184)+COUNTBLANK(G184)=0,1,0)</f>
        <v/>
      </c>
      <c r="K184" s="8">
        <f>IF(COUNTBLANK(C184:E184)+COUNTBLANK(H184)=0,1,0)</f>
        <v/>
      </c>
    </row>
    <row r="185">
      <c r="A185" s="8" t="inlineStr">
        <is>
          <t>Guatemala</t>
        </is>
      </c>
      <c r="B185" s="8" t="n">
        <v>2002</v>
      </c>
      <c r="C185" s="18">
        <f>IF(Categorias!C186="","",Categorias!C186/(N(Categorias!C186)+N(Categorias!D186)+N(Categorias!E186)))</f>
        <v/>
      </c>
      <c r="D185" s="18">
        <f>IF(Categorias!H186="","",Categorias!H186/(N(Categorias!H186)+N(Categorias!I186)))</f>
        <v/>
      </c>
      <c r="E185" s="17">
        <f>IFERROR(IF(INDEX(Gini!$C$2:$C$377,MATCH($A185&amp;"|"&amp;$B185,Gini!$E$2:$E$377,0))="","",INDEX(Gini!$C$2:$C$377,MATCH($A185&amp;"|"&amp;$B185,Gini!$E$2:$E$377,0))),"")</f>
        <v/>
      </c>
      <c r="F185" s="19">
        <f>IFERROR(IF(INDEX(Corrupcion!$E$2:$E$377,MATCH($A185&amp;"|"&amp;$B185,Corrupcion!$H$2:$H$377,0))="","",INDEX(Corrupcion!$E$2:$E$377,MATCH($A185&amp;"|"&amp;$B185,Corrupcion!$H$2:$H$377,0))),"")</f>
        <v/>
      </c>
      <c r="G185" s="20">
        <f>IFERROR(IF(INDEX(Corrupcion!$F$2:$F$377,MATCH($A185&amp;"|"&amp;$B185,Corrupcion!$H$2:$H$377,0))="","",INDEX(Corrupcion!$F$2:$F$377,MATCH($A185&amp;"|"&amp;$B185,Corrupcion!$H$2:$H$377,0))),"")</f>
        <v/>
      </c>
      <c r="H185" s="17">
        <f>IFERROR(IF(INDEX(Corrupcion!$G$2:$G$377,MATCH($A185&amp;"|"&amp;$B185,Corrupcion!$H$2:$H$377,0))="","",INDEX(Corrupcion!$G$2:$G$377,MATCH($A185&amp;"|"&amp;$B185,Corrupcion!$H$2:$H$377,0))),"")</f>
        <v/>
      </c>
      <c r="I185" s="8">
        <f>IF(COUNTBLANK(C185:E185)+COUNTBLANK(F185)=0,1,0)</f>
        <v/>
      </c>
      <c r="J185" s="8">
        <f>IF(COUNTBLANK(C185:E185)+COUNTBLANK(G185)=0,1,0)</f>
        <v/>
      </c>
      <c r="K185" s="8">
        <f>IF(COUNTBLANK(C185:E185)+COUNTBLANK(H185)=0,1,0)</f>
        <v/>
      </c>
    </row>
    <row r="186">
      <c r="A186" s="8" t="inlineStr">
        <is>
          <t>Guatemala</t>
        </is>
      </c>
      <c r="B186" s="8" t="n">
        <v>2003</v>
      </c>
      <c r="C186" s="18">
        <f>IF(Categorias!C187="","",Categorias!C187/(N(Categorias!C187)+N(Categorias!D187)+N(Categorias!E187)))</f>
        <v/>
      </c>
      <c r="D186" s="18">
        <f>IF(Categorias!H187="","",Categorias!H187/(N(Categorias!H187)+N(Categorias!I187)))</f>
        <v/>
      </c>
      <c r="E186" s="17">
        <f>IFERROR(IF(INDEX(Gini!$C$2:$C$377,MATCH($A186&amp;"|"&amp;$B186,Gini!$E$2:$E$377,0))="","",INDEX(Gini!$C$2:$C$377,MATCH($A186&amp;"|"&amp;$B186,Gini!$E$2:$E$377,0))),"")</f>
        <v/>
      </c>
      <c r="F186" s="19">
        <f>IFERROR(IF(INDEX(Corrupcion!$E$2:$E$377,MATCH($A186&amp;"|"&amp;$B186,Corrupcion!$H$2:$H$377,0))="","",INDEX(Corrupcion!$E$2:$E$377,MATCH($A186&amp;"|"&amp;$B186,Corrupcion!$H$2:$H$377,0))),"")</f>
        <v/>
      </c>
      <c r="G186" s="20">
        <f>IFERROR(IF(INDEX(Corrupcion!$F$2:$F$377,MATCH($A186&amp;"|"&amp;$B186,Corrupcion!$H$2:$H$377,0))="","",INDEX(Corrupcion!$F$2:$F$377,MATCH($A186&amp;"|"&amp;$B186,Corrupcion!$H$2:$H$377,0))),"")</f>
        <v/>
      </c>
      <c r="H186" s="17">
        <f>IFERROR(IF(INDEX(Corrupcion!$G$2:$G$377,MATCH($A186&amp;"|"&amp;$B186,Corrupcion!$H$2:$H$377,0))="","",INDEX(Corrupcion!$G$2:$G$377,MATCH($A186&amp;"|"&amp;$B186,Corrupcion!$H$2:$H$377,0))),"")</f>
        <v/>
      </c>
      <c r="I186" s="8">
        <f>IF(COUNTBLANK(C186:E186)+COUNTBLANK(F186)=0,1,0)</f>
        <v/>
      </c>
      <c r="J186" s="8">
        <f>IF(COUNTBLANK(C186:E186)+COUNTBLANK(G186)=0,1,0)</f>
        <v/>
      </c>
      <c r="K186" s="8">
        <f>IF(COUNTBLANK(C186:E186)+COUNTBLANK(H186)=0,1,0)</f>
        <v/>
      </c>
    </row>
    <row r="187">
      <c r="A187" s="8" t="inlineStr">
        <is>
          <t>Guatemala</t>
        </is>
      </c>
      <c r="B187" s="8" t="n">
        <v>2004</v>
      </c>
      <c r="C187" s="18">
        <f>IF(Categorias!C188="","",Categorias!C188/(N(Categorias!C188)+N(Categorias!D188)+N(Categorias!E188)))</f>
        <v/>
      </c>
      <c r="D187" s="18">
        <f>IF(Categorias!H188="","",Categorias!H188/(N(Categorias!H188)+N(Categorias!I188)))</f>
        <v/>
      </c>
      <c r="E187" s="17">
        <f>IFERROR(IF(INDEX(Gini!$C$2:$C$377,MATCH($A187&amp;"|"&amp;$B187,Gini!$E$2:$E$377,0))="","",INDEX(Gini!$C$2:$C$377,MATCH($A187&amp;"|"&amp;$B187,Gini!$E$2:$E$377,0))),"")</f>
        <v/>
      </c>
      <c r="F187" s="19">
        <f>IFERROR(IF(INDEX(Corrupcion!$E$2:$E$377,MATCH($A187&amp;"|"&amp;$B187,Corrupcion!$H$2:$H$377,0))="","",INDEX(Corrupcion!$E$2:$E$377,MATCH($A187&amp;"|"&amp;$B187,Corrupcion!$H$2:$H$377,0))),"")</f>
        <v/>
      </c>
      <c r="G187" s="20">
        <f>IFERROR(IF(INDEX(Corrupcion!$F$2:$F$377,MATCH($A187&amp;"|"&amp;$B187,Corrupcion!$H$2:$H$377,0))="","",INDEX(Corrupcion!$F$2:$F$377,MATCH($A187&amp;"|"&amp;$B187,Corrupcion!$H$2:$H$377,0))),"")</f>
        <v/>
      </c>
      <c r="H187" s="17">
        <f>IFERROR(IF(INDEX(Corrupcion!$G$2:$G$377,MATCH($A187&amp;"|"&amp;$B187,Corrupcion!$H$2:$H$377,0))="","",INDEX(Corrupcion!$G$2:$G$377,MATCH($A187&amp;"|"&amp;$B187,Corrupcion!$H$2:$H$377,0))),"")</f>
        <v/>
      </c>
      <c r="I187" s="8">
        <f>IF(COUNTBLANK(C187:E187)+COUNTBLANK(F187)=0,1,0)</f>
        <v/>
      </c>
      <c r="J187" s="8">
        <f>IF(COUNTBLANK(C187:E187)+COUNTBLANK(G187)=0,1,0)</f>
        <v/>
      </c>
      <c r="K187" s="8">
        <f>IF(COUNTBLANK(C187:E187)+COUNTBLANK(H187)=0,1,0)</f>
        <v/>
      </c>
    </row>
    <row r="188">
      <c r="A188" s="8" t="inlineStr">
        <is>
          <t>Guatemala</t>
        </is>
      </c>
      <c r="B188" s="8" t="n">
        <v>2005</v>
      </c>
      <c r="C188" s="18">
        <f>IF(Categorias!C189="","",Categorias!C189/(N(Categorias!C189)+N(Categorias!D189)+N(Categorias!E189)))</f>
        <v/>
      </c>
      <c r="D188" s="18">
        <f>IF(Categorias!H189="","",Categorias!H189/(N(Categorias!H189)+N(Categorias!I189)))</f>
        <v/>
      </c>
      <c r="E188" s="17">
        <f>IFERROR(IF(INDEX(Gini!$C$2:$C$377,MATCH($A188&amp;"|"&amp;$B188,Gini!$E$2:$E$377,0))="","",INDEX(Gini!$C$2:$C$377,MATCH($A188&amp;"|"&amp;$B188,Gini!$E$2:$E$377,0))),"")</f>
        <v/>
      </c>
      <c r="F188" s="19">
        <f>IFERROR(IF(INDEX(Corrupcion!$E$2:$E$377,MATCH($A188&amp;"|"&amp;$B188,Corrupcion!$H$2:$H$377,0))="","",INDEX(Corrupcion!$E$2:$E$377,MATCH($A188&amp;"|"&amp;$B188,Corrupcion!$H$2:$H$377,0))),"")</f>
        <v/>
      </c>
      <c r="G188" s="20">
        <f>IFERROR(IF(INDEX(Corrupcion!$F$2:$F$377,MATCH($A188&amp;"|"&amp;$B188,Corrupcion!$H$2:$H$377,0))="","",INDEX(Corrupcion!$F$2:$F$377,MATCH($A188&amp;"|"&amp;$B188,Corrupcion!$H$2:$H$377,0))),"")</f>
        <v/>
      </c>
      <c r="H188" s="17">
        <f>IFERROR(IF(INDEX(Corrupcion!$G$2:$G$377,MATCH($A188&amp;"|"&amp;$B188,Corrupcion!$H$2:$H$377,0))="","",INDEX(Corrupcion!$G$2:$G$377,MATCH($A188&amp;"|"&amp;$B188,Corrupcion!$H$2:$H$377,0))),"")</f>
        <v/>
      </c>
      <c r="I188" s="8">
        <f>IF(COUNTBLANK(C188:E188)+COUNTBLANK(F188)=0,1,0)</f>
        <v/>
      </c>
      <c r="J188" s="8">
        <f>IF(COUNTBLANK(C188:E188)+COUNTBLANK(G188)=0,1,0)</f>
        <v/>
      </c>
      <c r="K188" s="8">
        <f>IF(COUNTBLANK(C188:E188)+COUNTBLANK(H188)=0,1,0)</f>
        <v/>
      </c>
    </row>
    <row r="189">
      <c r="A189" s="8" t="inlineStr">
        <is>
          <t>Guatemala</t>
        </is>
      </c>
      <c r="B189" s="8" t="n">
        <v>2006</v>
      </c>
      <c r="C189" s="18">
        <f>IF(Categorias!C190="","",Categorias!C190/(N(Categorias!C190)+N(Categorias!D190)+N(Categorias!E190)))</f>
        <v/>
      </c>
      <c r="D189" s="18">
        <f>IF(Categorias!H190="","",Categorias!H190/(N(Categorias!H190)+N(Categorias!I190)))</f>
        <v/>
      </c>
      <c r="E189" s="17">
        <f>IFERROR(IF(INDEX(Gini!$C$2:$C$377,MATCH($A189&amp;"|"&amp;$B189,Gini!$E$2:$E$377,0))="","",INDEX(Gini!$C$2:$C$377,MATCH($A189&amp;"|"&amp;$B189,Gini!$E$2:$E$377,0))),"")</f>
        <v/>
      </c>
      <c r="F189" s="19">
        <f>IFERROR(IF(INDEX(Corrupcion!$E$2:$E$377,MATCH($A189&amp;"|"&amp;$B189,Corrupcion!$H$2:$H$377,0))="","",INDEX(Corrupcion!$E$2:$E$377,MATCH($A189&amp;"|"&amp;$B189,Corrupcion!$H$2:$H$377,0))),"")</f>
        <v/>
      </c>
      <c r="G189" s="20">
        <f>IFERROR(IF(INDEX(Corrupcion!$F$2:$F$377,MATCH($A189&amp;"|"&amp;$B189,Corrupcion!$H$2:$H$377,0))="","",INDEX(Corrupcion!$F$2:$F$377,MATCH($A189&amp;"|"&amp;$B189,Corrupcion!$H$2:$H$377,0))),"")</f>
        <v/>
      </c>
      <c r="H189" s="17">
        <f>IFERROR(IF(INDEX(Corrupcion!$G$2:$G$377,MATCH($A189&amp;"|"&amp;$B189,Corrupcion!$H$2:$H$377,0))="","",INDEX(Corrupcion!$G$2:$G$377,MATCH($A189&amp;"|"&amp;$B189,Corrupcion!$H$2:$H$377,0))),"")</f>
        <v/>
      </c>
      <c r="I189" s="8">
        <f>IF(COUNTBLANK(C189:E189)+COUNTBLANK(F189)=0,1,0)</f>
        <v/>
      </c>
      <c r="J189" s="8">
        <f>IF(COUNTBLANK(C189:E189)+COUNTBLANK(G189)=0,1,0)</f>
        <v/>
      </c>
      <c r="K189" s="8">
        <f>IF(COUNTBLANK(C189:E189)+COUNTBLANK(H189)=0,1,0)</f>
        <v/>
      </c>
    </row>
    <row r="190">
      <c r="A190" s="8" t="inlineStr">
        <is>
          <t>Guatemala</t>
        </is>
      </c>
      <c r="B190" s="8" t="n">
        <v>2007</v>
      </c>
      <c r="C190" s="18">
        <f>IF(Categorias!C191="","",Categorias!C191/(N(Categorias!C191)+N(Categorias!D191)+N(Categorias!E191)))</f>
        <v/>
      </c>
      <c r="D190" s="18">
        <f>IF(Categorias!H191="","",Categorias!H191/(N(Categorias!H191)+N(Categorias!I191)))</f>
        <v/>
      </c>
      <c r="E190" s="17">
        <f>IFERROR(IF(INDEX(Gini!$C$2:$C$377,MATCH($A190&amp;"|"&amp;$B190,Gini!$E$2:$E$377,0))="","",INDEX(Gini!$C$2:$C$377,MATCH($A190&amp;"|"&amp;$B190,Gini!$E$2:$E$377,0))),"")</f>
        <v/>
      </c>
      <c r="F190" s="19">
        <f>IFERROR(IF(INDEX(Corrupcion!$E$2:$E$377,MATCH($A190&amp;"|"&amp;$B190,Corrupcion!$H$2:$H$377,0))="","",INDEX(Corrupcion!$E$2:$E$377,MATCH($A190&amp;"|"&amp;$B190,Corrupcion!$H$2:$H$377,0))),"")</f>
        <v/>
      </c>
      <c r="G190" s="20">
        <f>IFERROR(IF(INDEX(Corrupcion!$F$2:$F$377,MATCH($A190&amp;"|"&amp;$B190,Corrupcion!$H$2:$H$377,0))="","",INDEX(Corrupcion!$F$2:$F$377,MATCH($A190&amp;"|"&amp;$B190,Corrupcion!$H$2:$H$377,0))),"")</f>
        <v/>
      </c>
      <c r="H190" s="17">
        <f>IFERROR(IF(INDEX(Corrupcion!$G$2:$G$377,MATCH($A190&amp;"|"&amp;$B190,Corrupcion!$H$2:$H$377,0))="","",INDEX(Corrupcion!$G$2:$G$377,MATCH($A190&amp;"|"&amp;$B190,Corrupcion!$H$2:$H$377,0))),"")</f>
        <v/>
      </c>
      <c r="I190" s="8">
        <f>IF(COUNTBLANK(C190:E190)+COUNTBLANK(F190)=0,1,0)</f>
        <v/>
      </c>
      <c r="J190" s="8">
        <f>IF(COUNTBLANK(C190:E190)+COUNTBLANK(G190)=0,1,0)</f>
        <v/>
      </c>
      <c r="K190" s="8">
        <f>IF(COUNTBLANK(C190:E190)+COUNTBLANK(H190)=0,1,0)</f>
        <v/>
      </c>
    </row>
    <row r="191">
      <c r="A191" s="8" t="inlineStr">
        <is>
          <t>Guatemala</t>
        </is>
      </c>
      <c r="B191" s="8" t="n">
        <v>2008</v>
      </c>
      <c r="C191" s="18">
        <f>IF(Categorias!C192="","",Categorias!C192/(N(Categorias!C192)+N(Categorias!D192)+N(Categorias!E192)))</f>
        <v/>
      </c>
      <c r="D191" s="18">
        <f>IF(Categorias!H192="","",Categorias!H192/(N(Categorias!H192)+N(Categorias!I192)))</f>
        <v/>
      </c>
      <c r="E191" s="17">
        <f>IFERROR(IF(INDEX(Gini!$C$2:$C$377,MATCH($A191&amp;"|"&amp;$B191,Gini!$E$2:$E$377,0))="","",INDEX(Gini!$C$2:$C$377,MATCH($A191&amp;"|"&amp;$B191,Gini!$E$2:$E$377,0))),"")</f>
        <v/>
      </c>
      <c r="F191" s="19">
        <f>IFERROR(IF(INDEX(Corrupcion!$E$2:$E$377,MATCH($A191&amp;"|"&amp;$B191,Corrupcion!$H$2:$H$377,0))="","",INDEX(Corrupcion!$E$2:$E$377,MATCH($A191&amp;"|"&amp;$B191,Corrupcion!$H$2:$H$377,0))),"")</f>
        <v/>
      </c>
      <c r="G191" s="20">
        <f>IFERROR(IF(INDEX(Corrupcion!$F$2:$F$377,MATCH($A191&amp;"|"&amp;$B191,Corrupcion!$H$2:$H$377,0))="","",INDEX(Corrupcion!$F$2:$F$377,MATCH($A191&amp;"|"&amp;$B191,Corrupcion!$H$2:$H$377,0))),"")</f>
        <v/>
      </c>
      <c r="H191" s="17">
        <f>IFERROR(IF(INDEX(Corrupcion!$G$2:$G$377,MATCH($A191&amp;"|"&amp;$B191,Corrupcion!$H$2:$H$377,0))="","",INDEX(Corrupcion!$G$2:$G$377,MATCH($A191&amp;"|"&amp;$B191,Corrupcion!$H$2:$H$377,0))),"")</f>
        <v/>
      </c>
      <c r="I191" s="8">
        <f>IF(COUNTBLANK(C191:E191)+COUNTBLANK(F191)=0,1,0)</f>
        <v/>
      </c>
      <c r="J191" s="8">
        <f>IF(COUNTBLANK(C191:E191)+COUNTBLANK(G191)=0,1,0)</f>
        <v/>
      </c>
      <c r="K191" s="8">
        <f>IF(COUNTBLANK(C191:E191)+COUNTBLANK(H191)=0,1,0)</f>
        <v/>
      </c>
    </row>
    <row r="192">
      <c r="A192" s="8" t="inlineStr">
        <is>
          <t>Guatemala</t>
        </is>
      </c>
      <c r="B192" s="8" t="n">
        <v>2009</v>
      </c>
      <c r="C192" s="18">
        <f>IF(Categorias!C193="","",Categorias!C193/(N(Categorias!C193)+N(Categorias!D193)+N(Categorias!E193)))</f>
        <v/>
      </c>
      <c r="D192" s="18">
        <f>IF(Categorias!H193="","",Categorias!H193/(N(Categorias!H193)+N(Categorias!I193)))</f>
        <v/>
      </c>
      <c r="E192" s="17">
        <f>IFERROR(IF(INDEX(Gini!$C$2:$C$377,MATCH($A192&amp;"|"&amp;$B192,Gini!$E$2:$E$377,0))="","",INDEX(Gini!$C$2:$C$377,MATCH($A192&amp;"|"&amp;$B192,Gini!$E$2:$E$377,0))),"")</f>
        <v/>
      </c>
      <c r="F192" s="19">
        <f>IFERROR(IF(INDEX(Corrupcion!$E$2:$E$377,MATCH($A192&amp;"|"&amp;$B192,Corrupcion!$H$2:$H$377,0))="","",INDEX(Corrupcion!$E$2:$E$377,MATCH($A192&amp;"|"&amp;$B192,Corrupcion!$H$2:$H$377,0))),"")</f>
        <v/>
      </c>
      <c r="G192" s="20">
        <f>IFERROR(IF(INDEX(Corrupcion!$F$2:$F$377,MATCH($A192&amp;"|"&amp;$B192,Corrupcion!$H$2:$H$377,0))="","",INDEX(Corrupcion!$F$2:$F$377,MATCH($A192&amp;"|"&amp;$B192,Corrupcion!$H$2:$H$377,0))),"")</f>
        <v/>
      </c>
      <c r="H192" s="17">
        <f>IFERROR(IF(INDEX(Corrupcion!$G$2:$G$377,MATCH($A192&amp;"|"&amp;$B192,Corrupcion!$H$2:$H$377,0))="","",INDEX(Corrupcion!$G$2:$G$377,MATCH($A192&amp;"|"&amp;$B192,Corrupcion!$H$2:$H$377,0))),"")</f>
        <v/>
      </c>
      <c r="I192" s="8">
        <f>IF(COUNTBLANK(C192:E192)+COUNTBLANK(F192)=0,1,0)</f>
        <v/>
      </c>
      <c r="J192" s="8">
        <f>IF(COUNTBLANK(C192:E192)+COUNTBLANK(G192)=0,1,0)</f>
        <v/>
      </c>
      <c r="K192" s="8">
        <f>IF(COUNTBLANK(C192:E192)+COUNTBLANK(H192)=0,1,0)</f>
        <v/>
      </c>
    </row>
    <row r="193">
      <c r="A193" s="8" t="inlineStr">
        <is>
          <t>Guatemala</t>
        </is>
      </c>
      <c r="B193" s="8" t="n">
        <v>2010</v>
      </c>
      <c r="C193" s="18">
        <f>IF(Categorias!C194="","",Categorias!C194/(N(Categorias!C194)+N(Categorias!D194)+N(Categorias!E194)))</f>
        <v/>
      </c>
      <c r="D193" s="18">
        <f>IF(Categorias!H194="","",Categorias!H194/(N(Categorias!H194)+N(Categorias!I194)))</f>
        <v/>
      </c>
      <c r="E193" s="17">
        <f>IFERROR(IF(INDEX(Gini!$C$2:$C$377,MATCH($A193&amp;"|"&amp;$B193,Gini!$E$2:$E$377,0))="","",INDEX(Gini!$C$2:$C$377,MATCH($A193&amp;"|"&amp;$B193,Gini!$E$2:$E$377,0))),"")</f>
        <v/>
      </c>
      <c r="F193" s="19">
        <f>IFERROR(IF(INDEX(Corrupcion!$E$2:$E$377,MATCH($A193&amp;"|"&amp;$B193,Corrupcion!$H$2:$H$377,0))="","",INDEX(Corrupcion!$E$2:$E$377,MATCH($A193&amp;"|"&amp;$B193,Corrupcion!$H$2:$H$377,0))),"")</f>
        <v/>
      </c>
      <c r="G193" s="20">
        <f>IFERROR(IF(INDEX(Corrupcion!$F$2:$F$377,MATCH($A193&amp;"|"&amp;$B193,Corrupcion!$H$2:$H$377,0))="","",INDEX(Corrupcion!$F$2:$F$377,MATCH($A193&amp;"|"&amp;$B193,Corrupcion!$H$2:$H$377,0))),"")</f>
        <v/>
      </c>
      <c r="H193" s="17">
        <f>IFERROR(IF(INDEX(Corrupcion!$G$2:$G$377,MATCH($A193&amp;"|"&amp;$B193,Corrupcion!$H$2:$H$377,0))="","",INDEX(Corrupcion!$G$2:$G$377,MATCH($A193&amp;"|"&amp;$B193,Corrupcion!$H$2:$H$377,0))),"")</f>
        <v/>
      </c>
      <c r="I193" s="8">
        <f>IF(COUNTBLANK(C193:E193)+COUNTBLANK(F193)=0,1,0)</f>
        <v/>
      </c>
      <c r="J193" s="8">
        <f>IF(COUNTBLANK(C193:E193)+COUNTBLANK(G193)=0,1,0)</f>
        <v/>
      </c>
      <c r="K193" s="8">
        <f>IF(COUNTBLANK(C193:E193)+COUNTBLANK(H193)=0,1,0)</f>
        <v/>
      </c>
    </row>
    <row r="194">
      <c r="A194" s="8" t="inlineStr">
        <is>
          <t>Guatemala</t>
        </is>
      </c>
      <c r="B194" s="8" t="n">
        <v>2011</v>
      </c>
      <c r="C194" s="18">
        <f>IF(Categorias!C195="","",Categorias!C195/(N(Categorias!C195)+N(Categorias!D195)+N(Categorias!E195)))</f>
        <v/>
      </c>
      <c r="D194" s="18">
        <f>IF(Categorias!H195="","",Categorias!H195/(N(Categorias!H195)+N(Categorias!I195)))</f>
        <v/>
      </c>
      <c r="E194" s="17">
        <f>IFERROR(IF(INDEX(Gini!$C$2:$C$377,MATCH($A194&amp;"|"&amp;$B194,Gini!$E$2:$E$377,0))="","",INDEX(Gini!$C$2:$C$377,MATCH($A194&amp;"|"&amp;$B194,Gini!$E$2:$E$377,0))),"")</f>
        <v/>
      </c>
      <c r="F194" s="19">
        <f>IFERROR(IF(INDEX(Corrupcion!$E$2:$E$377,MATCH($A194&amp;"|"&amp;$B194,Corrupcion!$H$2:$H$377,0))="","",INDEX(Corrupcion!$E$2:$E$377,MATCH($A194&amp;"|"&amp;$B194,Corrupcion!$H$2:$H$377,0))),"")</f>
        <v/>
      </c>
      <c r="G194" s="20">
        <f>IFERROR(IF(INDEX(Corrupcion!$F$2:$F$377,MATCH($A194&amp;"|"&amp;$B194,Corrupcion!$H$2:$H$377,0))="","",INDEX(Corrupcion!$F$2:$F$377,MATCH($A194&amp;"|"&amp;$B194,Corrupcion!$H$2:$H$377,0))),"")</f>
        <v/>
      </c>
      <c r="H194" s="17">
        <f>IFERROR(IF(INDEX(Corrupcion!$G$2:$G$377,MATCH($A194&amp;"|"&amp;$B194,Corrupcion!$H$2:$H$377,0))="","",INDEX(Corrupcion!$G$2:$G$377,MATCH($A194&amp;"|"&amp;$B194,Corrupcion!$H$2:$H$377,0))),"")</f>
        <v/>
      </c>
      <c r="I194" s="8">
        <f>IF(COUNTBLANK(C194:E194)+COUNTBLANK(F194)=0,1,0)</f>
        <v/>
      </c>
      <c r="J194" s="8">
        <f>IF(COUNTBLANK(C194:E194)+COUNTBLANK(G194)=0,1,0)</f>
        <v/>
      </c>
      <c r="K194" s="8">
        <f>IF(COUNTBLANK(C194:E194)+COUNTBLANK(H194)=0,1,0)</f>
        <v/>
      </c>
    </row>
    <row r="195">
      <c r="A195" s="8" t="inlineStr">
        <is>
          <t>Guatemala</t>
        </is>
      </c>
      <c r="B195" s="8" t="n">
        <v>2016</v>
      </c>
      <c r="C195" s="18">
        <f>IF(Categorias!C196="","",Categorias!C196/(N(Categorias!C196)+N(Categorias!D196)+N(Categorias!E196)))</f>
        <v/>
      </c>
      <c r="D195" s="18">
        <f>IF(Categorias!H196="","",Categorias!H196/(N(Categorias!H196)+N(Categorias!I196)))</f>
        <v/>
      </c>
      <c r="E195" s="17">
        <f>IFERROR(IF(INDEX(Gini!$C$2:$C$377,MATCH($A195&amp;"|"&amp;$B195,Gini!$E$2:$E$377,0))="","",INDEX(Gini!$C$2:$C$377,MATCH($A195&amp;"|"&amp;$B195,Gini!$E$2:$E$377,0))),"")</f>
        <v/>
      </c>
      <c r="F195" s="19">
        <f>IFERROR(IF(INDEX(Corrupcion!$E$2:$E$377,MATCH($A195&amp;"|"&amp;$B195,Corrupcion!$H$2:$H$377,0))="","",INDEX(Corrupcion!$E$2:$E$377,MATCH($A195&amp;"|"&amp;$B195,Corrupcion!$H$2:$H$377,0))),"")</f>
        <v/>
      </c>
      <c r="G195" s="20">
        <f>IFERROR(IF(INDEX(Corrupcion!$F$2:$F$377,MATCH($A195&amp;"|"&amp;$B195,Corrupcion!$H$2:$H$377,0))="","",INDEX(Corrupcion!$F$2:$F$377,MATCH($A195&amp;"|"&amp;$B195,Corrupcion!$H$2:$H$377,0))),"")</f>
        <v/>
      </c>
      <c r="H195" s="17">
        <f>IFERROR(IF(INDEX(Corrupcion!$G$2:$G$377,MATCH($A195&amp;"|"&amp;$B195,Corrupcion!$H$2:$H$377,0))="","",INDEX(Corrupcion!$G$2:$G$377,MATCH($A195&amp;"|"&amp;$B195,Corrupcion!$H$2:$H$377,0))),"")</f>
        <v/>
      </c>
      <c r="I195" s="8">
        <f>IF(COUNTBLANK(C195:E195)+COUNTBLANK(F195)=0,1,0)</f>
        <v/>
      </c>
      <c r="J195" s="8">
        <f>IF(COUNTBLANK(C195:E195)+COUNTBLANK(G195)=0,1,0)</f>
        <v/>
      </c>
      <c r="K195" s="8">
        <f>IF(COUNTBLANK(C195:E195)+COUNTBLANK(H195)=0,1,0)</f>
        <v/>
      </c>
    </row>
    <row r="196">
      <c r="A196" s="8" t="inlineStr">
        <is>
          <t>Guatemala</t>
        </is>
      </c>
      <c r="B196" s="8" t="n">
        <v>2017</v>
      </c>
      <c r="C196" s="18">
        <f>IF(Categorias!C197="","",Categorias!C197/(N(Categorias!C197)+N(Categorias!D197)+N(Categorias!E197)))</f>
        <v/>
      </c>
      <c r="D196" s="18">
        <f>IF(Categorias!H197="","",Categorias!H197/(N(Categorias!H197)+N(Categorias!I197)))</f>
        <v/>
      </c>
      <c r="E196" s="17">
        <f>IFERROR(IF(INDEX(Gini!$C$2:$C$377,MATCH($A196&amp;"|"&amp;$B196,Gini!$E$2:$E$377,0))="","",INDEX(Gini!$C$2:$C$377,MATCH($A196&amp;"|"&amp;$B196,Gini!$E$2:$E$377,0))),"")</f>
        <v/>
      </c>
      <c r="F196" s="19">
        <f>IFERROR(IF(INDEX(Corrupcion!$E$2:$E$377,MATCH($A196&amp;"|"&amp;$B196,Corrupcion!$H$2:$H$377,0))="","",INDEX(Corrupcion!$E$2:$E$377,MATCH($A196&amp;"|"&amp;$B196,Corrupcion!$H$2:$H$377,0))),"")</f>
        <v/>
      </c>
      <c r="G196" s="20">
        <f>IFERROR(IF(INDEX(Corrupcion!$F$2:$F$377,MATCH($A196&amp;"|"&amp;$B196,Corrupcion!$H$2:$H$377,0))="","",INDEX(Corrupcion!$F$2:$F$377,MATCH($A196&amp;"|"&amp;$B196,Corrupcion!$H$2:$H$377,0))),"")</f>
        <v/>
      </c>
      <c r="H196" s="17">
        <f>IFERROR(IF(INDEX(Corrupcion!$G$2:$G$377,MATCH($A196&amp;"|"&amp;$B196,Corrupcion!$H$2:$H$377,0))="","",INDEX(Corrupcion!$G$2:$G$377,MATCH($A196&amp;"|"&amp;$B196,Corrupcion!$H$2:$H$377,0))),"")</f>
        <v/>
      </c>
      <c r="I196" s="8">
        <f>IF(COUNTBLANK(C196:E196)+COUNTBLANK(F196)=0,1,0)</f>
        <v/>
      </c>
      <c r="J196" s="8">
        <f>IF(COUNTBLANK(C196:E196)+COUNTBLANK(G196)=0,1,0)</f>
        <v/>
      </c>
      <c r="K196" s="8">
        <f>IF(COUNTBLANK(C196:E196)+COUNTBLANK(H196)=0,1,0)</f>
        <v/>
      </c>
    </row>
    <row r="197">
      <c r="A197" s="8" t="inlineStr">
        <is>
          <t>Guatemala</t>
        </is>
      </c>
      <c r="B197" s="8" t="n">
        <v>2018</v>
      </c>
      <c r="C197" s="18">
        <f>IF(Categorias!C198="","",Categorias!C198/(N(Categorias!C198)+N(Categorias!D198)+N(Categorias!E198)))</f>
        <v/>
      </c>
      <c r="D197" s="18">
        <f>IF(Categorias!H198="","",Categorias!H198/(N(Categorias!H198)+N(Categorias!I198)))</f>
        <v/>
      </c>
      <c r="E197" s="17">
        <f>IFERROR(IF(INDEX(Gini!$C$2:$C$377,MATCH($A197&amp;"|"&amp;$B197,Gini!$E$2:$E$377,0))="","",INDEX(Gini!$C$2:$C$377,MATCH($A197&amp;"|"&amp;$B197,Gini!$E$2:$E$377,0))),"")</f>
        <v/>
      </c>
      <c r="F197" s="19">
        <f>IFERROR(IF(INDEX(Corrupcion!$E$2:$E$377,MATCH($A197&amp;"|"&amp;$B197,Corrupcion!$H$2:$H$377,0))="","",INDEX(Corrupcion!$E$2:$E$377,MATCH($A197&amp;"|"&amp;$B197,Corrupcion!$H$2:$H$377,0))),"")</f>
        <v/>
      </c>
      <c r="G197" s="20">
        <f>IFERROR(IF(INDEX(Corrupcion!$F$2:$F$377,MATCH($A197&amp;"|"&amp;$B197,Corrupcion!$H$2:$H$377,0))="","",INDEX(Corrupcion!$F$2:$F$377,MATCH($A197&amp;"|"&amp;$B197,Corrupcion!$H$2:$H$377,0))),"")</f>
        <v/>
      </c>
      <c r="H197" s="17">
        <f>IFERROR(IF(INDEX(Corrupcion!$G$2:$G$377,MATCH($A197&amp;"|"&amp;$B197,Corrupcion!$H$2:$H$377,0))="","",INDEX(Corrupcion!$G$2:$G$377,MATCH($A197&amp;"|"&amp;$B197,Corrupcion!$H$2:$H$377,0))),"")</f>
        <v/>
      </c>
      <c r="I197" s="8">
        <f>IF(COUNTBLANK(C197:E197)+COUNTBLANK(F197)=0,1,0)</f>
        <v/>
      </c>
      <c r="J197" s="8">
        <f>IF(COUNTBLANK(C197:E197)+COUNTBLANK(G197)=0,1,0)</f>
        <v/>
      </c>
      <c r="K197" s="8">
        <f>IF(COUNTBLANK(C197:E197)+COUNTBLANK(H197)=0,1,0)</f>
        <v/>
      </c>
    </row>
    <row r="198">
      <c r="A198" s="8" t="inlineStr">
        <is>
          <t>Guatemala</t>
        </is>
      </c>
      <c r="B198" s="8" t="n">
        <v>2020</v>
      </c>
      <c r="C198" s="18">
        <f>IF(Categorias!C199="","",Categorias!C199/(N(Categorias!C199)+N(Categorias!D199)+N(Categorias!E199)))</f>
        <v/>
      </c>
      <c r="D198" s="18">
        <f>IF(Categorias!H199="","",Categorias!H199/(N(Categorias!H199)+N(Categorias!I199)))</f>
        <v/>
      </c>
      <c r="E198" s="17">
        <f>IFERROR(IF(INDEX(Gini!$C$2:$C$377,MATCH($A198&amp;"|"&amp;$B198,Gini!$E$2:$E$377,0))="","",INDEX(Gini!$C$2:$C$377,MATCH($A198&amp;"|"&amp;$B198,Gini!$E$2:$E$377,0))),"")</f>
        <v/>
      </c>
      <c r="F198" s="19">
        <f>IFERROR(IF(INDEX(Corrupcion!$E$2:$E$377,MATCH($A198&amp;"|"&amp;$B198,Corrupcion!$H$2:$H$377,0))="","",INDEX(Corrupcion!$E$2:$E$377,MATCH($A198&amp;"|"&amp;$B198,Corrupcion!$H$2:$H$377,0))),"")</f>
        <v/>
      </c>
      <c r="G198" s="20">
        <f>IFERROR(IF(INDEX(Corrupcion!$F$2:$F$377,MATCH($A198&amp;"|"&amp;$B198,Corrupcion!$H$2:$H$377,0))="","",INDEX(Corrupcion!$F$2:$F$377,MATCH($A198&amp;"|"&amp;$B198,Corrupcion!$H$2:$H$377,0))),"")</f>
        <v/>
      </c>
      <c r="H198" s="17">
        <f>IFERROR(IF(INDEX(Corrupcion!$G$2:$G$377,MATCH($A198&amp;"|"&amp;$B198,Corrupcion!$H$2:$H$377,0))="","",INDEX(Corrupcion!$G$2:$G$377,MATCH($A198&amp;"|"&amp;$B198,Corrupcion!$H$2:$H$377,0))),"")</f>
        <v/>
      </c>
      <c r="I198" s="8">
        <f>IF(COUNTBLANK(C198:E198)+COUNTBLANK(F198)=0,1,0)</f>
        <v/>
      </c>
      <c r="J198" s="8">
        <f>IF(COUNTBLANK(C198:E198)+COUNTBLANK(G198)=0,1,0)</f>
        <v/>
      </c>
      <c r="K198" s="8">
        <f>IF(COUNTBLANK(C198:E198)+COUNTBLANK(H198)=0,1,0)</f>
        <v/>
      </c>
    </row>
    <row r="199">
      <c r="A199" s="8" t="inlineStr">
        <is>
          <t>Guatemala</t>
        </is>
      </c>
      <c r="B199" s="8" t="n">
        <v>2024</v>
      </c>
      <c r="C199" s="18">
        <f>IF(Categorias!C200="","",Categorias!C200/(N(Categorias!C200)+N(Categorias!D200)+N(Categorias!E200)))</f>
        <v/>
      </c>
      <c r="D199" s="18">
        <f>IF(Categorias!H200="","",Categorias!H200/(N(Categorias!H200)+N(Categorias!I200)))</f>
        <v/>
      </c>
      <c r="E199" s="17">
        <f>IFERROR(IF(INDEX(Gini!$C$2:$C$377,MATCH($A199&amp;"|"&amp;$B199,Gini!$E$2:$E$377,0))="","",INDEX(Gini!$C$2:$C$377,MATCH($A199&amp;"|"&amp;$B199,Gini!$E$2:$E$377,0))),"")</f>
        <v/>
      </c>
      <c r="F199" s="19">
        <f>IFERROR(IF(INDEX(Corrupcion!$E$2:$E$377,MATCH($A199&amp;"|"&amp;$B199,Corrupcion!$H$2:$H$377,0))="","",INDEX(Corrupcion!$E$2:$E$377,MATCH($A199&amp;"|"&amp;$B199,Corrupcion!$H$2:$H$377,0))),"")</f>
        <v/>
      </c>
      <c r="G199" s="20">
        <f>IFERROR(IF(INDEX(Corrupcion!$F$2:$F$377,MATCH($A199&amp;"|"&amp;$B199,Corrupcion!$H$2:$H$377,0))="","",INDEX(Corrupcion!$F$2:$F$377,MATCH($A199&amp;"|"&amp;$B199,Corrupcion!$H$2:$H$377,0))),"")</f>
        <v/>
      </c>
      <c r="H199" s="17">
        <f>IFERROR(IF(INDEX(Corrupcion!$G$2:$G$377,MATCH($A199&amp;"|"&amp;$B199,Corrupcion!$H$2:$H$377,0))="","",INDEX(Corrupcion!$G$2:$G$377,MATCH($A199&amp;"|"&amp;$B199,Corrupcion!$H$2:$H$377,0))),"")</f>
        <v/>
      </c>
      <c r="I199" s="8">
        <f>IF(COUNTBLANK(C199:E199)+COUNTBLANK(F199)=0,1,0)</f>
        <v/>
      </c>
      <c r="J199" s="8">
        <f>IF(COUNTBLANK(C199:E199)+COUNTBLANK(G199)=0,1,0)</f>
        <v/>
      </c>
      <c r="K199" s="8">
        <f>IF(COUNTBLANK(C199:E199)+COUNTBLANK(H199)=0,1,0)</f>
        <v/>
      </c>
    </row>
    <row r="200">
      <c r="A200" s="8" t="inlineStr">
        <is>
          <t>Honduras</t>
        </is>
      </c>
      <c r="B200" s="8" t="n">
        <v>1996</v>
      </c>
      <c r="C200" s="18">
        <f>IF(Categorias!C201="","",Categorias!C201/(N(Categorias!C201)+N(Categorias!D201)+N(Categorias!E201)))</f>
        <v/>
      </c>
      <c r="D200" s="18">
        <f>IF(Categorias!H201="","",Categorias!H201/(N(Categorias!H201)+N(Categorias!I201)))</f>
        <v/>
      </c>
      <c r="E200" s="17">
        <f>IFERROR(IF(INDEX(Gini!$C$2:$C$377,MATCH($A200&amp;"|"&amp;$B200,Gini!$E$2:$E$377,0))="","",INDEX(Gini!$C$2:$C$377,MATCH($A200&amp;"|"&amp;$B200,Gini!$E$2:$E$377,0))),"")</f>
        <v/>
      </c>
      <c r="F200" s="19">
        <f>IFERROR(IF(INDEX(Corrupcion!$E$2:$E$377,MATCH($A200&amp;"|"&amp;$B200,Corrupcion!$H$2:$H$377,0))="","",INDEX(Corrupcion!$E$2:$E$377,MATCH($A200&amp;"|"&amp;$B200,Corrupcion!$H$2:$H$377,0))),"")</f>
        <v/>
      </c>
      <c r="G200" s="20">
        <f>IFERROR(IF(INDEX(Corrupcion!$F$2:$F$377,MATCH($A200&amp;"|"&amp;$B200,Corrupcion!$H$2:$H$377,0))="","",INDEX(Corrupcion!$F$2:$F$377,MATCH($A200&amp;"|"&amp;$B200,Corrupcion!$H$2:$H$377,0))),"")</f>
        <v/>
      </c>
      <c r="H200" s="17">
        <f>IFERROR(IF(INDEX(Corrupcion!$G$2:$G$377,MATCH($A200&amp;"|"&amp;$B200,Corrupcion!$H$2:$H$377,0))="","",INDEX(Corrupcion!$G$2:$G$377,MATCH($A200&amp;"|"&amp;$B200,Corrupcion!$H$2:$H$377,0))),"")</f>
        <v/>
      </c>
      <c r="I200" s="8">
        <f>IF(COUNTBLANK(C200:E200)+COUNTBLANK(F200)=0,1,0)</f>
        <v/>
      </c>
      <c r="J200" s="8">
        <f>IF(COUNTBLANK(C200:E200)+COUNTBLANK(G200)=0,1,0)</f>
        <v/>
      </c>
      <c r="K200" s="8">
        <f>IF(COUNTBLANK(C200:E200)+COUNTBLANK(H200)=0,1,0)</f>
        <v/>
      </c>
    </row>
    <row r="201">
      <c r="A201" s="8" t="inlineStr">
        <is>
          <t>Honduras</t>
        </is>
      </c>
      <c r="B201" s="8" t="n">
        <v>1997</v>
      </c>
      <c r="C201" s="18">
        <f>IF(Categorias!C202="","",Categorias!C202/(N(Categorias!C202)+N(Categorias!D202)+N(Categorias!E202)))</f>
        <v/>
      </c>
      <c r="D201" s="18">
        <f>IF(Categorias!H202="","",Categorias!H202/(N(Categorias!H202)+N(Categorias!I202)))</f>
        <v/>
      </c>
      <c r="E201" s="17">
        <f>IFERROR(IF(INDEX(Gini!$C$2:$C$377,MATCH($A201&amp;"|"&amp;$B201,Gini!$E$2:$E$377,0))="","",INDEX(Gini!$C$2:$C$377,MATCH($A201&amp;"|"&amp;$B201,Gini!$E$2:$E$377,0))),"")</f>
        <v/>
      </c>
      <c r="F201" s="19">
        <f>IFERROR(IF(INDEX(Corrupcion!$E$2:$E$377,MATCH($A201&amp;"|"&amp;$B201,Corrupcion!$H$2:$H$377,0))="","",INDEX(Corrupcion!$E$2:$E$377,MATCH($A201&amp;"|"&amp;$B201,Corrupcion!$H$2:$H$377,0))),"")</f>
        <v/>
      </c>
      <c r="G201" s="20">
        <f>IFERROR(IF(INDEX(Corrupcion!$F$2:$F$377,MATCH($A201&amp;"|"&amp;$B201,Corrupcion!$H$2:$H$377,0))="","",INDEX(Corrupcion!$F$2:$F$377,MATCH($A201&amp;"|"&amp;$B201,Corrupcion!$H$2:$H$377,0))),"")</f>
        <v/>
      </c>
      <c r="H201" s="17">
        <f>IFERROR(IF(INDEX(Corrupcion!$G$2:$G$377,MATCH($A201&amp;"|"&amp;$B201,Corrupcion!$H$2:$H$377,0))="","",INDEX(Corrupcion!$G$2:$G$377,MATCH($A201&amp;"|"&amp;$B201,Corrupcion!$H$2:$H$377,0))),"")</f>
        <v/>
      </c>
      <c r="I201" s="8">
        <f>IF(COUNTBLANK(C201:E201)+COUNTBLANK(F201)=0,1,0)</f>
        <v/>
      </c>
      <c r="J201" s="8">
        <f>IF(COUNTBLANK(C201:E201)+COUNTBLANK(G201)=0,1,0)</f>
        <v/>
      </c>
      <c r="K201" s="8">
        <f>IF(COUNTBLANK(C201:E201)+COUNTBLANK(H201)=0,1,0)</f>
        <v/>
      </c>
    </row>
    <row r="202">
      <c r="A202" s="8" t="inlineStr">
        <is>
          <t>Honduras</t>
        </is>
      </c>
      <c r="B202" s="8" t="n">
        <v>1998</v>
      </c>
      <c r="C202" s="18">
        <f>IF(Categorias!C203="","",Categorias!C203/(N(Categorias!C203)+N(Categorias!D203)+N(Categorias!E203)))</f>
        <v/>
      </c>
      <c r="D202" s="18">
        <f>IF(Categorias!H203="","",Categorias!H203/(N(Categorias!H203)+N(Categorias!I203)))</f>
        <v/>
      </c>
      <c r="E202" s="17">
        <f>IFERROR(IF(INDEX(Gini!$C$2:$C$377,MATCH($A202&amp;"|"&amp;$B202,Gini!$E$2:$E$377,0))="","",INDEX(Gini!$C$2:$C$377,MATCH($A202&amp;"|"&amp;$B202,Gini!$E$2:$E$377,0))),"")</f>
        <v/>
      </c>
      <c r="F202" s="19">
        <f>IFERROR(IF(INDEX(Corrupcion!$E$2:$E$377,MATCH($A202&amp;"|"&amp;$B202,Corrupcion!$H$2:$H$377,0))="","",INDEX(Corrupcion!$E$2:$E$377,MATCH($A202&amp;"|"&amp;$B202,Corrupcion!$H$2:$H$377,0))),"")</f>
        <v/>
      </c>
      <c r="G202" s="20">
        <f>IFERROR(IF(INDEX(Corrupcion!$F$2:$F$377,MATCH($A202&amp;"|"&amp;$B202,Corrupcion!$H$2:$H$377,0))="","",INDEX(Corrupcion!$F$2:$F$377,MATCH($A202&amp;"|"&amp;$B202,Corrupcion!$H$2:$H$377,0))),"")</f>
        <v/>
      </c>
      <c r="H202" s="17">
        <f>IFERROR(IF(INDEX(Corrupcion!$G$2:$G$377,MATCH($A202&amp;"|"&amp;$B202,Corrupcion!$H$2:$H$377,0))="","",INDEX(Corrupcion!$G$2:$G$377,MATCH($A202&amp;"|"&amp;$B202,Corrupcion!$H$2:$H$377,0))),"")</f>
        <v/>
      </c>
      <c r="I202" s="8">
        <f>IF(COUNTBLANK(C202:E202)+COUNTBLANK(F202)=0,1,0)</f>
        <v/>
      </c>
      <c r="J202" s="8">
        <f>IF(COUNTBLANK(C202:E202)+COUNTBLANK(G202)=0,1,0)</f>
        <v/>
      </c>
      <c r="K202" s="8">
        <f>IF(COUNTBLANK(C202:E202)+COUNTBLANK(H202)=0,1,0)</f>
        <v/>
      </c>
    </row>
    <row r="203">
      <c r="A203" s="8" t="inlineStr">
        <is>
          <t>Honduras</t>
        </is>
      </c>
      <c r="B203" s="8" t="n">
        <v>2000</v>
      </c>
      <c r="C203" s="18">
        <f>IF(Categorias!C204="","",Categorias!C204/(N(Categorias!C204)+N(Categorias!D204)+N(Categorias!E204)))</f>
        <v/>
      </c>
      <c r="D203" s="18">
        <f>IF(Categorias!H204="","",Categorias!H204/(N(Categorias!H204)+N(Categorias!I204)))</f>
        <v/>
      </c>
      <c r="E203" s="17">
        <f>IFERROR(IF(INDEX(Gini!$C$2:$C$377,MATCH($A203&amp;"|"&amp;$B203,Gini!$E$2:$E$377,0))="","",INDEX(Gini!$C$2:$C$377,MATCH($A203&amp;"|"&amp;$B203,Gini!$E$2:$E$377,0))),"")</f>
        <v/>
      </c>
      <c r="F203" s="19">
        <f>IFERROR(IF(INDEX(Corrupcion!$E$2:$E$377,MATCH($A203&amp;"|"&amp;$B203,Corrupcion!$H$2:$H$377,0))="","",INDEX(Corrupcion!$E$2:$E$377,MATCH($A203&amp;"|"&amp;$B203,Corrupcion!$H$2:$H$377,0))),"")</f>
        <v/>
      </c>
      <c r="G203" s="20">
        <f>IFERROR(IF(INDEX(Corrupcion!$F$2:$F$377,MATCH($A203&amp;"|"&amp;$B203,Corrupcion!$H$2:$H$377,0))="","",INDEX(Corrupcion!$F$2:$F$377,MATCH($A203&amp;"|"&amp;$B203,Corrupcion!$H$2:$H$377,0))),"")</f>
        <v/>
      </c>
      <c r="H203" s="17">
        <f>IFERROR(IF(INDEX(Corrupcion!$G$2:$G$377,MATCH($A203&amp;"|"&amp;$B203,Corrupcion!$H$2:$H$377,0))="","",INDEX(Corrupcion!$G$2:$G$377,MATCH($A203&amp;"|"&amp;$B203,Corrupcion!$H$2:$H$377,0))),"")</f>
        <v/>
      </c>
      <c r="I203" s="8">
        <f>IF(COUNTBLANK(C203:E203)+COUNTBLANK(F203)=0,1,0)</f>
        <v/>
      </c>
      <c r="J203" s="8">
        <f>IF(COUNTBLANK(C203:E203)+COUNTBLANK(G203)=0,1,0)</f>
        <v/>
      </c>
      <c r="K203" s="8">
        <f>IF(COUNTBLANK(C203:E203)+COUNTBLANK(H203)=0,1,0)</f>
        <v/>
      </c>
    </row>
    <row r="204">
      <c r="A204" s="8" t="inlineStr">
        <is>
          <t>Honduras</t>
        </is>
      </c>
      <c r="B204" s="8" t="n">
        <v>2001</v>
      </c>
      <c r="C204" s="18">
        <f>IF(Categorias!C205="","",Categorias!C205/(N(Categorias!C205)+N(Categorias!D205)+N(Categorias!E205)))</f>
        <v/>
      </c>
      <c r="D204" s="18">
        <f>IF(Categorias!H205="","",Categorias!H205/(N(Categorias!H205)+N(Categorias!I205)))</f>
        <v/>
      </c>
      <c r="E204" s="17">
        <f>IFERROR(IF(INDEX(Gini!$C$2:$C$377,MATCH($A204&amp;"|"&amp;$B204,Gini!$E$2:$E$377,0))="","",INDEX(Gini!$C$2:$C$377,MATCH($A204&amp;"|"&amp;$B204,Gini!$E$2:$E$377,0))),"")</f>
        <v/>
      </c>
      <c r="F204" s="19">
        <f>IFERROR(IF(INDEX(Corrupcion!$E$2:$E$377,MATCH($A204&amp;"|"&amp;$B204,Corrupcion!$H$2:$H$377,0))="","",INDEX(Corrupcion!$E$2:$E$377,MATCH($A204&amp;"|"&amp;$B204,Corrupcion!$H$2:$H$377,0))),"")</f>
        <v/>
      </c>
      <c r="G204" s="20">
        <f>IFERROR(IF(INDEX(Corrupcion!$F$2:$F$377,MATCH($A204&amp;"|"&amp;$B204,Corrupcion!$H$2:$H$377,0))="","",INDEX(Corrupcion!$F$2:$F$377,MATCH($A204&amp;"|"&amp;$B204,Corrupcion!$H$2:$H$377,0))),"")</f>
        <v/>
      </c>
      <c r="H204" s="17">
        <f>IFERROR(IF(INDEX(Corrupcion!$G$2:$G$377,MATCH($A204&amp;"|"&amp;$B204,Corrupcion!$H$2:$H$377,0))="","",INDEX(Corrupcion!$G$2:$G$377,MATCH($A204&amp;"|"&amp;$B204,Corrupcion!$H$2:$H$377,0))),"")</f>
        <v/>
      </c>
      <c r="I204" s="8">
        <f>IF(COUNTBLANK(C204:E204)+COUNTBLANK(F204)=0,1,0)</f>
        <v/>
      </c>
      <c r="J204" s="8">
        <f>IF(COUNTBLANK(C204:E204)+COUNTBLANK(G204)=0,1,0)</f>
        <v/>
      </c>
      <c r="K204" s="8">
        <f>IF(COUNTBLANK(C204:E204)+COUNTBLANK(H204)=0,1,0)</f>
        <v/>
      </c>
    </row>
    <row r="205">
      <c r="A205" s="8" t="inlineStr">
        <is>
          <t>Honduras</t>
        </is>
      </c>
      <c r="B205" s="8" t="n">
        <v>2002</v>
      </c>
      <c r="C205" s="18">
        <f>IF(Categorias!C206="","",Categorias!C206/(N(Categorias!C206)+N(Categorias!D206)+N(Categorias!E206)))</f>
        <v/>
      </c>
      <c r="D205" s="18">
        <f>IF(Categorias!H206="","",Categorias!H206/(N(Categorias!H206)+N(Categorias!I206)))</f>
        <v/>
      </c>
      <c r="E205" s="17">
        <f>IFERROR(IF(INDEX(Gini!$C$2:$C$377,MATCH($A205&amp;"|"&amp;$B205,Gini!$E$2:$E$377,0))="","",INDEX(Gini!$C$2:$C$377,MATCH($A205&amp;"|"&amp;$B205,Gini!$E$2:$E$377,0))),"")</f>
        <v/>
      </c>
      <c r="F205" s="19">
        <f>IFERROR(IF(INDEX(Corrupcion!$E$2:$E$377,MATCH($A205&amp;"|"&amp;$B205,Corrupcion!$H$2:$H$377,0))="","",INDEX(Corrupcion!$E$2:$E$377,MATCH($A205&amp;"|"&amp;$B205,Corrupcion!$H$2:$H$377,0))),"")</f>
        <v/>
      </c>
      <c r="G205" s="20">
        <f>IFERROR(IF(INDEX(Corrupcion!$F$2:$F$377,MATCH($A205&amp;"|"&amp;$B205,Corrupcion!$H$2:$H$377,0))="","",INDEX(Corrupcion!$F$2:$F$377,MATCH($A205&amp;"|"&amp;$B205,Corrupcion!$H$2:$H$377,0))),"")</f>
        <v/>
      </c>
      <c r="H205" s="17">
        <f>IFERROR(IF(INDEX(Corrupcion!$G$2:$G$377,MATCH($A205&amp;"|"&amp;$B205,Corrupcion!$H$2:$H$377,0))="","",INDEX(Corrupcion!$G$2:$G$377,MATCH($A205&amp;"|"&amp;$B205,Corrupcion!$H$2:$H$377,0))),"")</f>
        <v/>
      </c>
      <c r="I205" s="8">
        <f>IF(COUNTBLANK(C205:E205)+COUNTBLANK(F205)=0,1,0)</f>
        <v/>
      </c>
      <c r="J205" s="8">
        <f>IF(COUNTBLANK(C205:E205)+COUNTBLANK(G205)=0,1,0)</f>
        <v/>
      </c>
      <c r="K205" s="8">
        <f>IF(COUNTBLANK(C205:E205)+COUNTBLANK(H205)=0,1,0)</f>
        <v/>
      </c>
    </row>
    <row r="206">
      <c r="A206" s="8" t="inlineStr">
        <is>
          <t>Honduras</t>
        </is>
      </c>
      <c r="B206" s="8" t="n">
        <v>2003</v>
      </c>
      <c r="C206" s="18">
        <f>IF(Categorias!C207="","",Categorias!C207/(N(Categorias!C207)+N(Categorias!D207)+N(Categorias!E207)))</f>
        <v/>
      </c>
      <c r="D206" s="18">
        <f>IF(Categorias!H207="","",Categorias!H207/(N(Categorias!H207)+N(Categorias!I207)))</f>
        <v/>
      </c>
      <c r="E206" s="17">
        <f>IFERROR(IF(INDEX(Gini!$C$2:$C$377,MATCH($A206&amp;"|"&amp;$B206,Gini!$E$2:$E$377,0))="","",INDEX(Gini!$C$2:$C$377,MATCH($A206&amp;"|"&amp;$B206,Gini!$E$2:$E$377,0))),"")</f>
        <v/>
      </c>
      <c r="F206" s="19">
        <f>IFERROR(IF(INDEX(Corrupcion!$E$2:$E$377,MATCH($A206&amp;"|"&amp;$B206,Corrupcion!$H$2:$H$377,0))="","",INDEX(Corrupcion!$E$2:$E$377,MATCH($A206&amp;"|"&amp;$B206,Corrupcion!$H$2:$H$377,0))),"")</f>
        <v/>
      </c>
      <c r="G206" s="20">
        <f>IFERROR(IF(INDEX(Corrupcion!$F$2:$F$377,MATCH($A206&amp;"|"&amp;$B206,Corrupcion!$H$2:$H$377,0))="","",INDEX(Corrupcion!$F$2:$F$377,MATCH($A206&amp;"|"&amp;$B206,Corrupcion!$H$2:$H$377,0))),"")</f>
        <v/>
      </c>
      <c r="H206" s="17">
        <f>IFERROR(IF(INDEX(Corrupcion!$G$2:$G$377,MATCH($A206&amp;"|"&amp;$B206,Corrupcion!$H$2:$H$377,0))="","",INDEX(Corrupcion!$G$2:$G$377,MATCH($A206&amp;"|"&amp;$B206,Corrupcion!$H$2:$H$377,0))),"")</f>
        <v/>
      </c>
      <c r="I206" s="8">
        <f>IF(COUNTBLANK(C206:E206)+COUNTBLANK(F206)=0,1,0)</f>
        <v/>
      </c>
      <c r="J206" s="8">
        <f>IF(COUNTBLANK(C206:E206)+COUNTBLANK(G206)=0,1,0)</f>
        <v/>
      </c>
      <c r="K206" s="8">
        <f>IF(COUNTBLANK(C206:E206)+COUNTBLANK(H206)=0,1,0)</f>
        <v/>
      </c>
    </row>
    <row r="207">
      <c r="A207" s="8" t="inlineStr">
        <is>
          <t>Honduras</t>
        </is>
      </c>
      <c r="B207" s="8" t="n">
        <v>2004</v>
      </c>
      <c r="C207" s="18">
        <f>IF(Categorias!C208="","",Categorias!C208/(N(Categorias!C208)+N(Categorias!D208)+N(Categorias!E208)))</f>
        <v/>
      </c>
      <c r="D207" s="18">
        <f>IF(Categorias!H208="","",Categorias!H208/(N(Categorias!H208)+N(Categorias!I208)))</f>
        <v/>
      </c>
      <c r="E207" s="17">
        <f>IFERROR(IF(INDEX(Gini!$C$2:$C$377,MATCH($A207&amp;"|"&amp;$B207,Gini!$E$2:$E$377,0))="","",INDEX(Gini!$C$2:$C$377,MATCH($A207&amp;"|"&amp;$B207,Gini!$E$2:$E$377,0))),"")</f>
        <v/>
      </c>
      <c r="F207" s="19">
        <f>IFERROR(IF(INDEX(Corrupcion!$E$2:$E$377,MATCH($A207&amp;"|"&amp;$B207,Corrupcion!$H$2:$H$377,0))="","",INDEX(Corrupcion!$E$2:$E$377,MATCH($A207&amp;"|"&amp;$B207,Corrupcion!$H$2:$H$377,0))),"")</f>
        <v/>
      </c>
      <c r="G207" s="20">
        <f>IFERROR(IF(INDEX(Corrupcion!$F$2:$F$377,MATCH($A207&amp;"|"&amp;$B207,Corrupcion!$H$2:$H$377,0))="","",INDEX(Corrupcion!$F$2:$F$377,MATCH($A207&amp;"|"&amp;$B207,Corrupcion!$H$2:$H$377,0))),"")</f>
        <v/>
      </c>
      <c r="H207" s="17">
        <f>IFERROR(IF(INDEX(Corrupcion!$G$2:$G$377,MATCH($A207&amp;"|"&amp;$B207,Corrupcion!$H$2:$H$377,0))="","",INDEX(Corrupcion!$G$2:$G$377,MATCH($A207&amp;"|"&amp;$B207,Corrupcion!$H$2:$H$377,0))),"")</f>
        <v/>
      </c>
      <c r="I207" s="8">
        <f>IF(COUNTBLANK(C207:E207)+COUNTBLANK(F207)=0,1,0)</f>
        <v/>
      </c>
      <c r="J207" s="8">
        <f>IF(COUNTBLANK(C207:E207)+COUNTBLANK(G207)=0,1,0)</f>
        <v/>
      </c>
      <c r="K207" s="8">
        <f>IF(COUNTBLANK(C207:E207)+COUNTBLANK(H207)=0,1,0)</f>
        <v/>
      </c>
    </row>
    <row r="208">
      <c r="A208" s="8" t="inlineStr">
        <is>
          <t>Honduras</t>
        </is>
      </c>
      <c r="B208" s="8" t="n">
        <v>2005</v>
      </c>
      <c r="C208" s="18">
        <f>IF(Categorias!C209="","",Categorias!C209/(N(Categorias!C209)+N(Categorias!D209)+N(Categorias!E209)))</f>
        <v/>
      </c>
      <c r="D208" s="18">
        <f>IF(Categorias!H209="","",Categorias!H209/(N(Categorias!H209)+N(Categorias!I209)))</f>
        <v/>
      </c>
      <c r="E208" s="17">
        <f>IFERROR(IF(INDEX(Gini!$C$2:$C$377,MATCH($A208&amp;"|"&amp;$B208,Gini!$E$2:$E$377,0))="","",INDEX(Gini!$C$2:$C$377,MATCH($A208&amp;"|"&amp;$B208,Gini!$E$2:$E$377,0))),"")</f>
        <v/>
      </c>
      <c r="F208" s="19">
        <f>IFERROR(IF(INDEX(Corrupcion!$E$2:$E$377,MATCH($A208&amp;"|"&amp;$B208,Corrupcion!$H$2:$H$377,0))="","",INDEX(Corrupcion!$E$2:$E$377,MATCH($A208&amp;"|"&amp;$B208,Corrupcion!$H$2:$H$377,0))),"")</f>
        <v/>
      </c>
      <c r="G208" s="20">
        <f>IFERROR(IF(INDEX(Corrupcion!$F$2:$F$377,MATCH($A208&amp;"|"&amp;$B208,Corrupcion!$H$2:$H$377,0))="","",INDEX(Corrupcion!$F$2:$F$377,MATCH($A208&amp;"|"&amp;$B208,Corrupcion!$H$2:$H$377,0))),"")</f>
        <v/>
      </c>
      <c r="H208" s="17">
        <f>IFERROR(IF(INDEX(Corrupcion!$G$2:$G$377,MATCH($A208&amp;"|"&amp;$B208,Corrupcion!$H$2:$H$377,0))="","",INDEX(Corrupcion!$G$2:$G$377,MATCH($A208&amp;"|"&amp;$B208,Corrupcion!$H$2:$H$377,0))),"")</f>
        <v/>
      </c>
      <c r="I208" s="8">
        <f>IF(COUNTBLANK(C208:E208)+COUNTBLANK(F208)=0,1,0)</f>
        <v/>
      </c>
      <c r="J208" s="8">
        <f>IF(COUNTBLANK(C208:E208)+COUNTBLANK(G208)=0,1,0)</f>
        <v/>
      </c>
      <c r="K208" s="8">
        <f>IF(COUNTBLANK(C208:E208)+COUNTBLANK(H208)=0,1,0)</f>
        <v/>
      </c>
    </row>
    <row r="209">
      <c r="A209" s="8" t="inlineStr">
        <is>
          <t>Honduras</t>
        </is>
      </c>
      <c r="B209" s="8" t="n">
        <v>2006</v>
      </c>
      <c r="C209" s="18">
        <f>IF(Categorias!C210="","",Categorias!C210/(N(Categorias!C210)+N(Categorias!D210)+N(Categorias!E210)))</f>
        <v/>
      </c>
      <c r="D209" s="18">
        <f>IF(Categorias!H210="","",Categorias!H210/(N(Categorias!H210)+N(Categorias!I210)))</f>
        <v/>
      </c>
      <c r="E209" s="17">
        <f>IFERROR(IF(INDEX(Gini!$C$2:$C$377,MATCH($A209&amp;"|"&amp;$B209,Gini!$E$2:$E$377,0))="","",INDEX(Gini!$C$2:$C$377,MATCH($A209&amp;"|"&amp;$B209,Gini!$E$2:$E$377,0))),"")</f>
        <v/>
      </c>
      <c r="F209" s="19">
        <f>IFERROR(IF(INDEX(Corrupcion!$E$2:$E$377,MATCH($A209&amp;"|"&amp;$B209,Corrupcion!$H$2:$H$377,0))="","",INDEX(Corrupcion!$E$2:$E$377,MATCH($A209&amp;"|"&amp;$B209,Corrupcion!$H$2:$H$377,0))),"")</f>
        <v/>
      </c>
      <c r="G209" s="20">
        <f>IFERROR(IF(INDEX(Corrupcion!$F$2:$F$377,MATCH($A209&amp;"|"&amp;$B209,Corrupcion!$H$2:$H$377,0))="","",INDEX(Corrupcion!$F$2:$F$377,MATCH($A209&amp;"|"&amp;$B209,Corrupcion!$H$2:$H$377,0))),"")</f>
        <v/>
      </c>
      <c r="H209" s="17">
        <f>IFERROR(IF(INDEX(Corrupcion!$G$2:$G$377,MATCH($A209&amp;"|"&amp;$B209,Corrupcion!$H$2:$H$377,0))="","",INDEX(Corrupcion!$G$2:$G$377,MATCH($A209&amp;"|"&amp;$B209,Corrupcion!$H$2:$H$377,0))),"")</f>
        <v/>
      </c>
      <c r="I209" s="8">
        <f>IF(COUNTBLANK(C209:E209)+COUNTBLANK(F209)=0,1,0)</f>
        <v/>
      </c>
      <c r="J209" s="8">
        <f>IF(COUNTBLANK(C209:E209)+COUNTBLANK(G209)=0,1,0)</f>
        <v/>
      </c>
      <c r="K209" s="8">
        <f>IF(COUNTBLANK(C209:E209)+COUNTBLANK(H209)=0,1,0)</f>
        <v/>
      </c>
    </row>
    <row r="210">
      <c r="A210" s="8" t="inlineStr">
        <is>
          <t>Honduras</t>
        </is>
      </c>
      <c r="B210" s="8" t="n">
        <v>2007</v>
      </c>
      <c r="C210" s="18">
        <f>IF(Categorias!C211="","",Categorias!C211/(N(Categorias!C211)+N(Categorias!D211)+N(Categorias!E211)))</f>
        <v/>
      </c>
      <c r="D210" s="18">
        <f>IF(Categorias!H211="","",Categorias!H211/(N(Categorias!H211)+N(Categorias!I211)))</f>
        <v/>
      </c>
      <c r="E210" s="17">
        <f>IFERROR(IF(INDEX(Gini!$C$2:$C$377,MATCH($A210&amp;"|"&amp;$B210,Gini!$E$2:$E$377,0))="","",INDEX(Gini!$C$2:$C$377,MATCH($A210&amp;"|"&amp;$B210,Gini!$E$2:$E$377,0))),"")</f>
        <v/>
      </c>
      <c r="F210" s="19">
        <f>IFERROR(IF(INDEX(Corrupcion!$E$2:$E$377,MATCH($A210&amp;"|"&amp;$B210,Corrupcion!$H$2:$H$377,0))="","",INDEX(Corrupcion!$E$2:$E$377,MATCH($A210&amp;"|"&amp;$B210,Corrupcion!$H$2:$H$377,0))),"")</f>
        <v/>
      </c>
      <c r="G210" s="20">
        <f>IFERROR(IF(INDEX(Corrupcion!$F$2:$F$377,MATCH($A210&amp;"|"&amp;$B210,Corrupcion!$H$2:$H$377,0))="","",INDEX(Corrupcion!$F$2:$F$377,MATCH($A210&amp;"|"&amp;$B210,Corrupcion!$H$2:$H$377,0))),"")</f>
        <v/>
      </c>
      <c r="H210" s="17">
        <f>IFERROR(IF(INDEX(Corrupcion!$G$2:$G$377,MATCH($A210&amp;"|"&amp;$B210,Corrupcion!$H$2:$H$377,0))="","",INDEX(Corrupcion!$G$2:$G$377,MATCH($A210&amp;"|"&amp;$B210,Corrupcion!$H$2:$H$377,0))),"")</f>
        <v/>
      </c>
      <c r="I210" s="8">
        <f>IF(COUNTBLANK(C210:E210)+COUNTBLANK(F210)=0,1,0)</f>
        <v/>
      </c>
      <c r="J210" s="8">
        <f>IF(COUNTBLANK(C210:E210)+COUNTBLANK(G210)=0,1,0)</f>
        <v/>
      </c>
      <c r="K210" s="8">
        <f>IF(COUNTBLANK(C210:E210)+COUNTBLANK(H210)=0,1,0)</f>
        <v/>
      </c>
    </row>
    <row r="211">
      <c r="A211" s="8" t="inlineStr">
        <is>
          <t>Honduras</t>
        </is>
      </c>
      <c r="B211" s="8" t="n">
        <v>2008</v>
      </c>
      <c r="C211" s="18">
        <f>IF(Categorias!C212="","",Categorias!C212/(N(Categorias!C212)+N(Categorias!D212)+N(Categorias!E212)))</f>
        <v/>
      </c>
      <c r="D211" s="18">
        <f>IF(Categorias!H212="","",Categorias!H212/(N(Categorias!H212)+N(Categorias!I212)))</f>
        <v/>
      </c>
      <c r="E211" s="17">
        <f>IFERROR(IF(INDEX(Gini!$C$2:$C$377,MATCH($A211&amp;"|"&amp;$B211,Gini!$E$2:$E$377,0))="","",INDEX(Gini!$C$2:$C$377,MATCH($A211&amp;"|"&amp;$B211,Gini!$E$2:$E$377,0))),"")</f>
        <v/>
      </c>
      <c r="F211" s="19">
        <f>IFERROR(IF(INDEX(Corrupcion!$E$2:$E$377,MATCH($A211&amp;"|"&amp;$B211,Corrupcion!$H$2:$H$377,0))="","",INDEX(Corrupcion!$E$2:$E$377,MATCH($A211&amp;"|"&amp;$B211,Corrupcion!$H$2:$H$377,0))),"")</f>
        <v/>
      </c>
      <c r="G211" s="20">
        <f>IFERROR(IF(INDEX(Corrupcion!$F$2:$F$377,MATCH($A211&amp;"|"&amp;$B211,Corrupcion!$H$2:$H$377,0))="","",INDEX(Corrupcion!$F$2:$F$377,MATCH($A211&amp;"|"&amp;$B211,Corrupcion!$H$2:$H$377,0))),"")</f>
        <v/>
      </c>
      <c r="H211" s="17">
        <f>IFERROR(IF(INDEX(Corrupcion!$G$2:$G$377,MATCH($A211&amp;"|"&amp;$B211,Corrupcion!$H$2:$H$377,0))="","",INDEX(Corrupcion!$G$2:$G$377,MATCH($A211&amp;"|"&amp;$B211,Corrupcion!$H$2:$H$377,0))),"")</f>
        <v/>
      </c>
      <c r="I211" s="8">
        <f>IF(COUNTBLANK(C211:E211)+COUNTBLANK(F211)=0,1,0)</f>
        <v/>
      </c>
      <c r="J211" s="8">
        <f>IF(COUNTBLANK(C211:E211)+COUNTBLANK(G211)=0,1,0)</f>
        <v/>
      </c>
      <c r="K211" s="8">
        <f>IF(COUNTBLANK(C211:E211)+COUNTBLANK(H211)=0,1,0)</f>
        <v/>
      </c>
    </row>
    <row r="212">
      <c r="A212" s="8" t="inlineStr">
        <is>
          <t>Honduras</t>
        </is>
      </c>
      <c r="B212" s="8" t="n">
        <v>2009</v>
      </c>
      <c r="C212" s="18">
        <f>IF(Categorias!C213="","",Categorias!C213/(N(Categorias!C213)+N(Categorias!D213)+N(Categorias!E213)))</f>
        <v/>
      </c>
      <c r="D212" s="18">
        <f>IF(Categorias!H213="","",Categorias!H213/(N(Categorias!H213)+N(Categorias!I213)))</f>
        <v/>
      </c>
      <c r="E212" s="17">
        <f>IFERROR(IF(INDEX(Gini!$C$2:$C$377,MATCH($A212&amp;"|"&amp;$B212,Gini!$E$2:$E$377,0))="","",INDEX(Gini!$C$2:$C$377,MATCH($A212&amp;"|"&amp;$B212,Gini!$E$2:$E$377,0))),"")</f>
        <v/>
      </c>
      <c r="F212" s="19">
        <f>IFERROR(IF(INDEX(Corrupcion!$E$2:$E$377,MATCH($A212&amp;"|"&amp;$B212,Corrupcion!$H$2:$H$377,0))="","",INDEX(Corrupcion!$E$2:$E$377,MATCH($A212&amp;"|"&amp;$B212,Corrupcion!$H$2:$H$377,0))),"")</f>
        <v/>
      </c>
      <c r="G212" s="20">
        <f>IFERROR(IF(INDEX(Corrupcion!$F$2:$F$377,MATCH($A212&amp;"|"&amp;$B212,Corrupcion!$H$2:$H$377,0))="","",INDEX(Corrupcion!$F$2:$F$377,MATCH($A212&amp;"|"&amp;$B212,Corrupcion!$H$2:$H$377,0))),"")</f>
        <v/>
      </c>
      <c r="H212" s="17">
        <f>IFERROR(IF(INDEX(Corrupcion!$G$2:$G$377,MATCH($A212&amp;"|"&amp;$B212,Corrupcion!$H$2:$H$377,0))="","",INDEX(Corrupcion!$G$2:$G$377,MATCH($A212&amp;"|"&amp;$B212,Corrupcion!$H$2:$H$377,0))),"")</f>
        <v/>
      </c>
      <c r="I212" s="8">
        <f>IF(COUNTBLANK(C212:E212)+COUNTBLANK(F212)=0,1,0)</f>
        <v/>
      </c>
      <c r="J212" s="8">
        <f>IF(COUNTBLANK(C212:E212)+COUNTBLANK(G212)=0,1,0)</f>
        <v/>
      </c>
      <c r="K212" s="8">
        <f>IF(COUNTBLANK(C212:E212)+COUNTBLANK(H212)=0,1,0)</f>
        <v/>
      </c>
    </row>
    <row r="213">
      <c r="A213" s="8" t="inlineStr">
        <is>
          <t>Honduras</t>
        </is>
      </c>
      <c r="B213" s="8" t="n">
        <v>2010</v>
      </c>
      <c r="C213" s="18">
        <f>IF(Categorias!C214="","",Categorias!C214/(N(Categorias!C214)+N(Categorias!D214)+N(Categorias!E214)))</f>
        <v/>
      </c>
      <c r="D213" s="18">
        <f>IF(Categorias!H214="","",Categorias!H214/(N(Categorias!H214)+N(Categorias!I214)))</f>
        <v/>
      </c>
      <c r="E213" s="17">
        <f>IFERROR(IF(INDEX(Gini!$C$2:$C$377,MATCH($A213&amp;"|"&amp;$B213,Gini!$E$2:$E$377,0))="","",INDEX(Gini!$C$2:$C$377,MATCH($A213&amp;"|"&amp;$B213,Gini!$E$2:$E$377,0))),"")</f>
        <v/>
      </c>
      <c r="F213" s="19">
        <f>IFERROR(IF(INDEX(Corrupcion!$E$2:$E$377,MATCH($A213&amp;"|"&amp;$B213,Corrupcion!$H$2:$H$377,0))="","",INDEX(Corrupcion!$E$2:$E$377,MATCH($A213&amp;"|"&amp;$B213,Corrupcion!$H$2:$H$377,0))),"")</f>
        <v/>
      </c>
      <c r="G213" s="20">
        <f>IFERROR(IF(INDEX(Corrupcion!$F$2:$F$377,MATCH($A213&amp;"|"&amp;$B213,Corrupcion!$H$2:$H$377,0))="","",INDEX(Corrupcion!$F$2:$F$377,MATCH($A213&amp;"|"&amp;$B213,Corrupcion!$H$2:$H$377,0))),"")</f>
        <v/>
      </c>
      <c r="H213" s="17">
        <f>IFERROR(IF(INDEX(Corrupcion!$G$2:$G$377,MATCH($A213&amp;"|"&amp;$B213,Corrupcion!$H$2:$H$377,0))="","",INDEX(Corrupcion!$G$2:$G$377,MATCH($A213&amp;"|"&amp;$B213,Corrupcion!$H$2:$H$377,0))),"")</f>
        <v/>
      </c>
      <c r="I213" s="8">
        <f>IF(COUNTBLANK(C213:E213)+COUNTBLANK(F213)=0,1,0)</f>
        <v/>
      </c>
      <c r="J213" s="8">
        <f>IF(COUNTBLANK(C213:E213)+COUNTBLANK(G213)=0,1,0)</f>
        <v/>
      </c>
      <c r="K213" s="8">
        <f>IF(COUNTBLANK(C213:E213)+COUNTBLANK(H213)=0,1,0)</f>
        <v/>
      </c>
    </row>
    <row r="214">
      <c r="A214" s="8" t="inlineStr">
        <is>
          <t>Honduras</t>
        </is>
      </c>
      <c r="B214" s="8" t="n">
        <v>2011</v>
      </c>
      <c r="C214" s="18">
        <f>IF(Categorias!C215="","",Categorias!C215/(N(Categorias!C215)+N(Categorias!D215)+N(Categorias!E215)))</f>
        <v/>
      </c>
      <c r="D214" s="18">
        <f>IF(Categorias!H215="","",Categorias!H215/(N(Categorias!H215)+N(Categorias!I215)))</f>
        <v/>
      </c>
      <c r="E214" s="17">
        <f>IFERROR(IF(INDEX(Gini!$C$2:$C$377,MATCH($A214&amp;"|"&amp;$B214,Gini!$E$2:$E$377,0))="","",INDEX(Gini!$C$2:$C$377,MATCH($A214&amp;"|"&amp;$B214,Gini!$E$2:$E$377,0))),"")</f>
        <v/>
      </c>
      <c r="F214" s="19">
        <f>IFERROR(IF(INDEX(Corrupcion!$E$2:$E$377,MATCH($A214&amp;"|"&amp;$B214,Corrupcion!$H$2:$H$377,0))="","",INDEX(Corrupcion!$E$2:$E$377,MATCH($A214&amp;"|"&amp;$B214,Corrupcion!$H$2:$H$377,0))),"")</f>
        <v/>
      </c>
      <c r="G214" s="20">
        <f>IFERROR(IF(INDEX(Corrupcion!$F$2:$F$377,MATCH($A214&amp;"|"&amp;$B214,Corrupcion!$H$2:$H$377,0))="","",INDEX(Corrupcion!$F$2:$F$377,MATCH($A214&amp;"|"&amp;$B214,Corrupcion!$H$2:$H$377,0))),"")</f>
        <v/>
      </c>
      <c r="H214" s="17">
        <f>IFERROR(IF(INDEX(Corrupcion!$G$2:$G$377,MATCH($A214&amp;"|"&amp;$B214,Corrupcion!$H$2:$H$377,0))="","",INDEX(Corrupcion!$G$2:$G$377,MATCH($A214&amp;"|"&amp;$B214,Corrupcion!$H$2:$H$377,0))),"")</f>
        <v/>
      </c>
      <c r="I214" s="8">
        <f>IF(COUNTBLANK(C214:E214)+COUNTBLANK(F214)=0,1,0)</f>
        <v/>
      </c>
      <c r="J214" s="8">
        <f>IF(COUNTBLANK(C214:E214)+COUNTBLANK(G214)=0,1,0)</f>
        <v/>
      </c>
      <c r="K214" s="8">
        <f>IF(COUNTBLANK(C214:E214)+COUNTBLANK(H214)=0,1,0)</f>
        <v/>
      </c>
    </row>
    <row r="215">
      <c r="A215" s="8" t="inlineStr">
        <is>
          <t>Honduras</t>
        </is>
      </c>
      <c r="B215" s="8" t="n">
        <v>2016</v>
      </c>
      <c r="C215" s="18">
        <f>IF(Categorias!C216="","",Categorias!C216/(N(Categorias!C216)+N(Categorias!D216)+N(Categorias!E216)))</f>
        <v/>
      </c>
      <c r="D215" s="18">
        <f>IF(Categorias!H216="","",Categorias!H216/(N(Categorias!H216)+N(Categorias!I216)))</f>
        <v/>
      </c>
      <c r="E215" s="17">
        <f>IFERROR(IF(INDEX(Gini!$C$2:$C$377,MATCH($A215&amp;"|"&amp;$B215,Gini!$E$2:$E$377,0))="","",INDEX(Gini!$C$2:$C$377,MATCH($A215&amp;"|"&amp;$B215,Gini!$E$2:$E$377,0))),"")</f>
        <v/>
      </c>
      <c r="F215" s="19">
        <f>IFERROR(IF(INDEX(Corrupcion!$E$2:$E$377,MATCH($A215&amp;"|"&amp;$B215,Corrupcion!$H$2:$H$377,0))="","",INDEX(Corrupcion!$E$2:$E$377,MATCH($A215&amp;"|"&amp;$B215,Corrupcion!$H$2:$H$377,0))),"")</f>
        <v/>
      </c>
      <c r="G215" s="20">
        <f>IFERROR(IF(INDEX(Corrupcion!$F$2:$F$377,MATCH($A215&amp;"|"&amp;$B215,Corrupcion!$H$2:$H$377,0))="","",INDEX(Corrupcion!$F$2:$F$377,MATCH($A215&amp;"|"&amp;$B215,Corrupcion!$H$2:$H$377,0))),"")</f>
        <v/>
      </c>
      <c r="H215" s="17">
        <f>IFERROR(IF(INDEX(Corrupcion!$G$2:$G$377,MATCH($A215&amp;"|"&amp;$B215,Corrupcion!$H$2:$H$377,0))="","",INDEX(Corrupcion!$G$2:$G$377,MATCH($A215&amp;"|"&amp;$B215,Corrupcion!$H$2:$H$377,0))),"")</f>
        <v/>
      </c>
      <c r="I215" s="8">
        <f>IF(COUNTBLANK(C215:E215)+COUNTBLANK(F215)=0,1,0)</f>
        <v/>
      </c>
      <c r="J215" s="8">
        <f>IF(COUNTBLANK(C215:E215)+COUNTBLANK(G215)=0,1,0)</f>
        <v/>
      </c>
      <c r="K215" s="8">
        <f>IF(COUNTBLANK(C215:E215)+COUNTBLANK(H215)=0,1,0)</f>
        <v/>
      </c>
    </row>
    <row r="216">
      <c r="A216" s="8" t="inlineStr">
        <is>
          <t>Honduras</t>
        </is>
      </c>
      <c r="B216" s="8" t="n">
        <v>2017</v>
      </c>
      <c r="C216" s="18">
        <f>IF(Categorias!C217="","",Categorias!C217/(N(Categorias!C217)+N(Categorias!D217)+N(Categorias!E217)))</f>
        <v/>
      </c>
      <c r="D216" s="18">
        <f>IF(Categorias!H217="","",Categorias!H217/(N(Categorias!H217)+N(Categorias!I217)))</f>
        <v/>
      </c>
      <c r="E216" s="17">
        <f>IFERROR(IF(INDEX(Gini!$C$2:$C$377,MATCH($A216&amp;"|"&amp;$B216,Gini!$E$2:$E$377,0))="","",INDEX(Gini!$C$2:$C$377,MATCH($A216&amp;"|"&amp;$B216,Gini!$E$2:$E$377,0))),"")</f>
        <v/>
      </c>
      <c r="F216" s="19">
        <f>IFERROR(IF(INDEX(Corrupcion!$E$2:$E$377,MATCH($A216&amp;"|"&amp;$B216,Corrupcion!$H$2:$H$377,0))="","",INDEX(Corrupcion!$E$2:$E$377,MATCH($A216&amp;"|"&amp;$B216,Corrupcion!$H$2:$H$377,0))),"")</f>
        <v/>
      </c>
      <c r="G216" s="20">
        <f>IFERROR(IF(INDEX(Corrupcion!$F$2:$F$377,MATCH($A216&amp;"|"&amp;$B216,Corrupcion!$H$2:$H$377,0))="","",INDEX(Corrupcion!$F$2:$F$377,MATCH($A216&amp;"|"&amp;$B216,Corrupcion!$H$2:$H$377,0))),"")</f>
        <v/>
      </c>
      <c r="H216" s="17">
        <f>IFERROR(IF(INDEX(Corrupcion!$G$2:$G$377,MATCH($A216&amp;"|"&amp;$B216,Corrupcion!$H$2:$H$377,0))="","",INDEX(Corrupcion!$G$2:$G$377,MATCH($A216&amp;"|"&amp;$B216,Corrupcion!$H$2:$H$377,0))),"")</f>
        <v/>
      </c>
      <c r="I216" s="8">
        <f>IF(COUNTBLANK(C216:E216)+COUNTBLANK(F216)=0,1,0)</f>
        <v/>
      </c>
      <c r="J216" s="8">
        <f>IF(COUNTBLANK(C216:E216)+COUNTBLANK(G216)=0,1,0)</f>
        <v/>
      </c>
      <c r="K216" s="8">
        <f>IF(COUNTBLANK(C216:E216)+COUNTBLANK(H216)=0,1,0)</f>
        <v/>
      </c>
    </row>
    <row r="217">
      <c r="A217" s="8" t="inlineStr">
        <is>
          <t>Honduras</t>
        </is>
      </c>
      <c r="B217" s="8" t="n">
        <v>2018</v>
      </c>
      <c r="C217" s="18">
        <f>IF(Categorias!C218="","",Categorias!C218/(N(Categorias!C218)+N(Categorias!D218)+N(Categorias!E218)))</f>
        <v/>
      </c>
      <c r="D217" s="18">
        <f>IF(Categorias!H218="","",Categorias!H218/(N(Categorias!H218)+N(Categorias!I218)))</f>
        <v/>
      </c>
      <c r="E217" s="17">
        <f>IFERROR(IF(INDEX(Gini!$C$2:$C$377,MATCH($A217&amp;"|"&amp;$B217,Gini!$E$2:$E$377,0))="","",INDEX(Gini!$C$2:$C$377,MATCH($A217&amp;"|"&amp;$B217,Gini!$E$2:$E$377,0))),"")</f>
        <v/>
      </c>
      <c r="F217" s="19">
        <f>IFERROR(IF(INDEX(Corrupcion!$E$2:$E$377,MATCH($A217&amp;"|"&amp;$B217,Corrupcion!$H$2:$H$377,0))="","",INDEX(Corrupcion!$E$2:$E$377,MATCH($A217&amp;"|"&amp;$B217,Corrupcion!$H$2:$H$377,0))),"")</f>
        <v/>
      </c>
      <c r="G217" s="20">
        <f>IFERROR(IF(INDEX(Corrupcion!$F$2:$F$377,MATCH($A217&amp;"|"&amp;$B217,Corrupcion!$H$2:$H$377,0))="","",INDEX(Corrupcion!$F$2:$F$377,MATCH($A217&amp;"|"&amp;$B217,Corrupcion!$H$2:$H$377,0))),"")</f>
        <v/>
      </c>
      <c r="H217" s="17">
        <f>IFERROR(IF(INDEX(Corrupcion!$G$2:$G$377,MATCH($A217&amp;"|"&amp;$B217,Corrupcion!$H$2:$H$377,0))="","",INDEX(Corrupcion!$G$2:$G$377,MATCH($A217&amp;"|"&amp;$B217,Corrupcion!$H$2:$H$377,0))),"")</f>
        <v/>
      </c>
      <c r="I217" s="8">
        <f>IF(COUNTBLANK(C217:E217)+COUNTBLANK(F217)=0,1,0)</f>
        <v/>
      </c>
      <c r="J217" s="8">
        <f>IF(COUNTBLANK(C217:E217)+COUNTBLANK(G217)=0,1,0)</f>
        <v/>
      </c>
      <c r="K217" s="8">
        <f>IF(COUNTBLANK(C217:E217)+COUNTBLANK(H217)=0,1,0)</f>
        <v/>
      </c>
    </row>
    <row r="218">
      <c r="A218" s="8" t="inlineStr">
        <is>
          <t>Honduras</t>
        </is>
      </c>
      <c r="B218" s="8" t="n">
        <v>2020</v>
      </c>
      <c r="C218" s="18">
        <f>IF(Categorias!C219="","",Categorias!C219/(N(Categorias!C219)+N(Categorias!D219)+N(Categorias!E219)))</f>
        <v/>
      </c>
      <c r="D218" s="18">
        <f>IF(Categorias!H219="","",Categorias!H219/(N(Categorias!H219)+N(Categorias!I219)))</f>
        <v/>
      </c>
      <c r="E218" s="17">
        <f>IFERROR(IF(INDEX(Gini!$C$2:$C$377,MATCH($A218&amp;"|"&amp;$B218,Gini!$E$2:$E$377,0))="","",INDEX(Gini!$C$2:$C$377,MATCH($A218&amp;"|"&amp;$B218,Gini!$E$2:$E$377,0))),"")</f>
        <v/>
      </c>
      <c r="F218" s="19">
        <f>IFERROR(IF(INDEX(Corrupcion!$E$2:$E$377,MATCH($A218&amp;"|"&amp;$B218,Corrupcion!$H$2:$H$377,0))="","",INDEX(Corrupcion!$E$2:$E$377,MATCH($A218&amp;"|"&amp;$B218,Corrupcion!$H$2:$H$377,0))),"")</f>
        <v/>
      </c>
      <c r="G218" s="20">
        <f>IFERROR(IF(INDEX(Corrupcion!$F$2:$F$377,MATCH($A218&amp;"|"&amp;$B218,Corrupcion!$H$2:$H$377,0))="","",INDEX(Corrupcion!$F$2:$F$377,MATCH($A218&amp;"|"&amp;$B218,Corrupcion!$H$2:$H$377,0))),"")</f>
        <v/>
      </c>
      <c r="H218" s="17">
        <f>IFERROR(IF(INDEX(Corrupcion!$G$2:$G$377,MATCH($A218&amp;"|"&amp;$B218,Corrupcion!$H$2:$H$377,0))="","",INDEX(Corrupcion!$G$2:$G$377,MATCH($A218&amp;"|"&amp;$B218,Corrupcion!$H$2:$H$377,0))),"")</f>
        <v/>
      </c>
      <c r="I218" s="8">
        <f>IF(COUNTBLANK(C218:E218)+COUNTBLANK(F218)=0,1,0)</f>
        <v/>
      </c>
      <c r="J218" s="8">
        <f>IF(COUNTBLANK(C218:E218)+COUNTBLANK(G218)=0,1,0)</f>
        <v/>
      </c>
      <c r="K218" s="8">
        <f>IF(COUNTBLANK(C218:E218)+COUNTBLANK(H218)=0,1,0)</f>
        <v/>
      </c>
    </row>
    <row r="219">
      <c r="A219" s="8" t="inlineStr">
        <is>
          <t>Honduras</t>
        </is>
      </c>
      <c r="B219" s="8" t="n">
        <v>2024</v>
      </c>
      <c r="C219" s="18">
        <f>IF(Categorias!C220="","",Categorias!C220/(N(Categorias!C220)+N(Categorias!D220)+N(Categorias!E220)))</f>
        <v/>
      </c>
      <c r="D219" s="18">
        <f>IF(Categorias!H220="","",Categorias!H220/(N(Categorias!H220)+N(Categorias!I220)))</f>
        <v/>
      </c>
      <c r="E219" s="17">
        <f>IFERROR(IF(INDEX(Gini!$C$2:$C$377,MATCH($A219&amp;"|"&amp;$B219,Gini!$E$2:$E$377,0))="","",INDEX(Gini!$C$2:$C$377,MATCH($A219&amp;"|"&amp;$B219,Gini!$E$2:$E$377,0))),"")</f>
        <v/>
      </c>
      <c r="F219" s="19">
        <f>IFERROR(IF(INDEX(Corrupcion!$E$2:$E$377,MATCH($A219&amp;"|"&amp;$B219,Corrupcion!$H$2:$H$377,0))="","",INDEX(Corrupcion!$E$2:$E$377,MATCH($A219&amp;"|"&amp;$B219,Corrupcion!$H$2:$H$377,0))),"")</f>
        <v/>
      </c>
      <c r="G219" s="20">
        <f>IFERROR(IF(INDEX(Corrupcion!$F$2:$F$377,MATCH($A219&amp;"|"&amp;$B219,Corrupcion!$H$2:$H$377,0))="","",INDEX(Corrupcion!$F$2:$F$377,MATCH($A219&amp;"|"&amp;$B219,Corrupcion!$H$2:$H$377,0))),"")</f>
        <v/>
      </c>
      <c r="H219" s="17">
        <f>IFERROR(IF(INDEX(Corrupcion!$G$2:$G$377,MATCH($A219&amp;"|"&amp;$B219,Corrupcion!$H$2:$H$377,0))="","",INDEX(Corrupcion!$G$2:$G$377,MATCH($A219&amp;"|"&amp;$B219,Corrupcion!$H$2:$H$377,0))),"")</f>
        <v/>
      </c>
      <c r="I219" s="8">
        <f>IF(COUNTBLANK(C219:E219)+COUNTBLANK(F219)=0,1,0)</f>
        <v/>
      </c>
      <c r="J219" s="8">
        <f>IF(COUNTBLANK(C219:E219)+COUNTBLANK(G219)=0,1,0)</f>
        <v/>
      </c>
      <c r="K219" s="8">
        <f>IF(COUNTBLANK(C219:E219)+COUNTBLANK(H219)=0,1,0)</f>
        <v/>
      </c>
    </row>
    <row r="220">
      <c r="A220" s="8" t="inlineStr">
        <is>
          <t>México</t>
        </is>
      </c>
      <c r="B220" s="8" t="n">
        <v>1995</v>
      </c>
      <c r="C220" s="18">
        <f>IF(Categorias!C221="","",Categorias!C221/(N(Categorias!C221)+N(Categorias!D221)+N(Categorias!E221)))</f>
        <v/>
      </c>
      <c r="D220" s="18">
        <f>IF(Categorias!H221="","",Categorias!H221/(N(Categorias!H221)+N(Categorias!I221)))</f>
        <v/>
      </c>
      <c r="E220" s="17">
        <f>IFERROR(IF(INDEX(Gini!$C$2:$C$377,MATCH($A220&amp;"|"&amp;$B220,Gini!$E$2:$E$377,0))="","",INDEX(Gini!$C$2:$C$377,MATCH($A220&amp;"|"&amp;$B220,Gini!$E$2:$E$377,0))),"")</f>
        <v/>
      </c>
      <c r="F220" s="19">
        <f>IFERROR(IF(INDEX(Corrupcion!$E$2:$E$377,MATCH($A220&amp;"|"&amp;$B220,Corrupcion!$H$2:$H$377,0))="","",INDEX(Corrupcion!$E$2:$E$377,MATCH($A220&amp;"|"&amp;$B220,Corrupcion!$H$2:$H$377,0))),"")</f>
        <v/>
      </c>
      <c r="G220" s="20">
        <f>IFERROR(IF(INDEX(Corrupcion!$F$2:$F$377,MATCH($A220&amp;"|"&amp;$B220,Corrupcion!$H$2:$H$377,0))="","",INDEX(Corrupcion!$F$2:$F$377,MATCH($A220&amp;"|"&amp;$B220,Corrupcion!$H$2:$H$377,0))),"")</f>
        <v/>
      </c>
      <c r="H220" s="17">
        <f>IFERROR(IF(INDEX(Corrupcion!$G$2:$G$377,MATCH($A220&amp;"|"&amp;$B220,Corrupcion!$H$2:$H$377,0))="","",INDEX(Corrupcion!$G$2:$G$377,MATCH($A220&amp;"|"&amp;$B220,Corrupcion!$H$2:$H$377,0))),"")</f>
        <v/>
      </c>
      <c r="I220" s="8">
        <f>IF(COUNTBLANK(C220:E220)+COUNTBLANK(F220)=0,1,0)</f>
        <v/>
      </c>
      <c r="J220" s="8">
        <f>IF(COUNTBLANK(C220:E220)+COUNTBLANK(G220)=0,1,0)</f>
        <v/>
      </c>
      <c r="K220" s="8">
        <f>IF(COUNTBLANK(C220:E220)+COUNTBLANK(H220)=0,1,0)</f>
        <v/>
      </c>
    </row>
    <row r="221">
      <c r="A221" s="8" t="inlineStr">
        <is>
          <t>México</t>
        </is>
      </c>
      <c r="B221" s="8" t="n">
        <v>1996</v>
      </c>
      <c r="C221" s="18">
        <f>IF(Categorias!C222="","",Categorias!C222/(N(Categorias!C222)+N(Categorias!D222)+N(Categorias!E222)))</f>
        <v/>
      </c>
      <c r="D221" s="18">
        <f>IF(Categorias!H222="","",Categorias!H222/(N(Categorias!H222)+N(Categorias!I222)))</f>
        <v/>
      </c>
      <c r="E221" s="17">
        <f>IFERROR(IF(INDEX(Gini!$C$2:$C$377,MATCH($A221&amp;"|"&amp;$B221,Gini!$E$2:$E$377,0))="","",INDEX(Gini!$C$2:$C$377,MATCH($A221&amp;"|"&amp;$B221,Gini!$E$2:$E$377,0))),"")</f>
        <v/>
      </c>
      <c r="F221" s="19">
        <f>IFERROR(IF(INDEX(Corrupcion!$E$2:$E$377,MATCH($A221&amp;"|"&amp;$B221,Corrupcion!$H$2:$H$377,0))="","",INDEX(Corrupcion!$E$2:$E$377,MATCH($A221&amp;"|"&amp;$B221,Corrupcion!$H$2:$H$377,0))),"")</f>
        <v/>
      </c>
      <c r="G221" s="20">
        <f>IFERROR(IF(INDEX(Corrupcion!$F$2:$F$377,MATCH($A221&amp;"|"&amp;$B221,Corrupcion!$H$2:$H$377,0))="","",INDEX(Corrupcion!$F$2:$F$377,MATCH($A221&amp;"|"&amp;$B221,Corrupcion!$H$2:$H$377,0))),"")</f>
        <v/>
      </c>
      <c r="H221" s="17">
        <f>IFERROR(IF(INDEX(Corrupcion!$G$2:$G$377,MATCH($A221&amp;"|"&amp;$B221,Corrupcion!$H$2:$H$377,0))="","",INDEX(Corrupcion!$G$2:$G$377,MATCH($A221&amp;"|"&amp;$B221,Corrupcion!$H$2:$H$377,0))),"")</f>
        <v/>
      </c>
      <c r="I221" s="8">
        <f>IF(COUNTBLANK(C221:E221)+COUNTBLANK(F221)=0,1,0)</f>
        <v/>
      </c>
      <c r="J221" s="8">
        <f>IF(COUNTBLANK(C221:E221)+COUNTBLANK(G221)=0,1,0)</f>
        <v/>
      </c>
      <c r="K221" s="8">
        <f>IF(COUNTBLANK(C221:E221)+COUNTBLANK(H221)=0,1,0)</f>
        <v/>
      </c>
    </row>
    <row r="222">
      <c r="A222" s="8" t="inlineStr">
        <is>
          <t>México</t>
        </is>
      </c>
      <c r="B222" s="8" t="n">
        <v>1997</v>
      </c>
      <c r="C222" s="18">
        <f>IF(Categorias!C223="","",Categorias!C223/(N(Categorias!C223)+N(Categorias!D223)+N(Categorias!E223)))</f>
        <v/>
      </c>
      <c r="D222" s="18">
        <f>IF(Categorias!H223="","",Categorias!H223/(N(Categorias!H223)+N(Categorias!I223)))</f>
        <v/>
      </c>
      <c r="E222" s="17">
        <f>IFERROR(IF(INDEX(Gini!$C$2:$C$377,MATCH($A222&amp;"|"&amp;$B222,Gini!$E$2:$E$377,0))="","",INDEX(Gini!$C$2:$C$377,MATCH($A222&amp;"|"&amp;$B222,Gini!$E$2:$E$377,0))),"")</f>
        <v/>
      </c>
      <c r="F222" s="19">
        <f>IFERROR(IF(INDEX(Corrupcion!$E$2:$E$377,MATCH($A222&amp;"|"&amp;$B222,Corrupcion!$H$2:$H$377,0))="","",INDEX(Corrupcion!$E$2:$E$377,MATCH($A222&amp;"|"&amp;$B222,Corrupcion!$H$2:$H$377,0))),"")</f>
        <v/>
      </c>
      <c r="G222" s="20">
        <f>IFERROR(IF(INDEX(Corrupcion!$F$2:$F$377,MATCH($A222&amp;"|"&amp;$B222,Corrupcion!$H$2:$H$377,0))="","",INDEX(Corrupcion!$F$2:$F$377,MATCH($A222&amp;"|"&amp;$B222,Corrupcion!$H$2:$H$377,0))),"")</f>
        <v/>
      </c>
      <c r="H222" s="17">
        <f>IFERROR(IF(INDEX(Corrupcion!$G$2:$G$377,MATCH($A222&amp;"|"&amp;$B222,Corrupcion!$H$2:$H$377,0))="","",INDEX(Corrupcion!$G$2:$G$377,MATCH($A222&amp;"|"&amp;$B222,Corrupcion!$H$2:$H$377,0))),"")</f>
        <v/>
      </c>
      <c r="I222" s="8">
        <f>IF(COUNTBLANK(C222:E222)+COUNTBLANK(F222)=0,1,0)</f>
        <v/>
      </c>
      <c r="J222" s="8">
        <f>IF(COUNTBLANK(C222:E222)+COUNTBLANK(G222)=0,1,0)</f>
        <v/>
      </c>
      <c r="K222" s="8">
        <f>IF(COUNTBLANK(C222:E222)+COUNTBLANK(H222)=0,1,0)</f>
        <v/>
      </c>
    </row>
    <row r="223">
      <c r="A223" s="8" t="inlineStr">
        <is>
          <t>México</t>
        </is>
      </c>
      <c r="B223" s="8" t="n">
        <v>1998</v>
      </c>
      <c r="C223" s="18">
        <f>IF(Categorias!C224="","",Categorias!C224/(N(Categorias!C224)+N(Categorias!D224)+N(Categorias!E224)))</f>
        <v/>
      </c>
      <c r="D223" s="18">
        <f>IF(Categorias!H224="","",Categorias!H224/(N(Categorias!H224)+N(Categorias!I224)))</f>
        <v/>
      </c>
      <c r="E223" s="17">
        <f>IFERROR(IF(INDEX(Gini!$C$2:$C$377,MATCH($A223&amp;"|"&amp;$B223,Gini!$E$2:$E$377,0))="","",INDEX(Gini!$C$2:$C$377,MATCH($A223&amp;"|"&amp;$B223,Gini!$E$2:$E$377,0))),"")</f>
        <v/>
      </c>
      <c r="F223" s="19">
        <f>IFERROR(IF(INDEX(Corrupcion!$E$2:$E$377,MATCH($A223&amp;"|"&amp;$B223,Corrupcion!$H$2:$H$377,0))="","",INDEX(Corrupcion!$E$2:$E$377,MATCH($A223&amp;"|"&amp;$B223,Corrupcion!$H$2:$H$377,0))),"")</f>
        <v/>
      </c>
      <c r="G223" s="20">
        <f>IFERROR(IF(INDEX(Corrupcion!$F$2:$F$377,MATCH($A223&amp;"|"&amp;$B223,Corrupcion!$H$2:$H$377,0))="","",INDEX(Corrupcion!$F$2:$F$377,MATCH($A223&amp;"|"&amp;$B223,Corrupcion!$H$2:$H$377,0))),"")</f>
        <v/>
      </c>
      <c r="H223" s="17">
        <f>IFERROR(IF(INDEX(Corrupcion!$G$2:$G$377,MATCH($A223&amp;"|"&amp;$B223,Corrupcion!$H$2:$H$377,0))="","",INDEX(Corrupcion!$G$2:$G$377,MATCH($A223&amp;"|"&amp;$B223,Corrupcion!$H$2:$H$377,0))),"")</f>
        <v/>
      </c>
      <c r="I223" s="8">
        <f>IF(COUNTBLANK(C223:E223)+COUNTBLANK(F223)=0,1,0)</f>
        <v/>
      </c>
      <c r="J223" s="8">
        <f>IF(COUNTBLANK(C223:E223)+COUNTBLANK(G223)=0,1,0)</f>
        <v/>
      </c>
      <c r="K223" s="8">
        <f>IF(COUNTBLANK(C223:E223)+COUNTBLANK(H223)=0,1,0)</f>
        <v/>
      </c>
    </row>
    <row r="224">
      <c r="A224" s="8" t="inlineStr">
        <is>
          <t>México</t>
        </is>
      </c>
      <c r="B224" s="8" t="n">
        <v>2000</v>
      </c>
      <c r="C224" s="18">
        <f>IF(Categorias!C225="","",Categorias!C225/(N(Categorias!C225)+N(Categorias!D225)+N(Categorias!E225)))</f>
        <v/>
      </c>
      <c r="D224" s="18">
        <f>IF(Categorias!H225="","",Categorias!H225/(N(Categorias!H225)+N(Categorias!I225)))</f>
        <v/>
      </c>
      <c r="E224" s="17">
        <f>IFERROR(IF(INDEX(Gini!$C$2:$C$377,MATCH($A224&amp;"|"&amp;$B224,Gini!$E$2:$E$377,0))="","",INDEX(Gini!$C$2:$C$377,MATCH($A224&amp;"|"&amp;$B224,Gini!$E$2:$E$377,0))),"")</f>
        <v/>
      </c>
      <c r="F224" s="19">
        <f>IFERROR(IF(INDEX(Corrupcion!$E$2:$E$377,MATCH($A224&amp;"|"&amp;$B224,Corrupcion!$H$2:$H$377,0))="","",INDEX(Corrupcion!$E$2:$E$377,MATCH($A224&amp;"|"&amp;$B224,Corrupcion!$H$2:$H$377,0))),"")</f>
        <v/>
      </c>
      <c r="G224" s="20">
        <f>IFERROR(IF(INDEX(Corrupcion!$F$2:$F$377,MATCH($A224&amp;"|"&amp;$B224,Corrupcion!$H$2:$H$377,0))="","",INDEX(Corrupcion!$F$2:$F$377,MATCH($A224&amp;"|"&amp;$B224,Corrupcion!$H$2:$H$377,0))),"")</f>
        <v/>
      </c>
      <c r="H224" s="17">
        <f>IFERROR(IF(INDEX(Corrupcion!$G$2:$G$377,MATCH($A224&amp;"|"&amp;$B224,Corrupcion!$H$2:$H$377,0))="","",INDEX(Corrupcion!$G$2:$G$377,MATCH($A224&amp;"|"&amp;$B224,Corrupcion!$H$2:$H$377,0))),"")</f>
        <v/>
      </c>
      <c r="I224" s="8">
        <f>IF(COUNTBLANK(C224:E224)+COUNTBLANK(F224)=0,1,0)</f>
        <v/>
      </c>
      <c r="J224" s="8">
        <f>IF(COUNTBLANK(C224:E224)+COUNTBLANK(G224)=0,1,0)</f>
        <v/>
      </c>
      <c r="K224" s="8">
        <f>IF(COUNTBLANK(C224:E224)+COUNTBLANK(H224)=0,1,0)</f>
        <v/>
      </c>
    </row>
    <row r="225">
      <c r="A225" s="8" t="inlineStr">
        <is>
          <t>México</t>
        </is>
      </c>
      <c r="B225" s="8" t="n">
        <v>2001</v>
      </c>
      <c r="C225" s="18">
        <f>IF(Categorias!C226="","",Categorias!C226/(N(Categorias!C226)+N(Categorias!D226)+N(Categorias!E226)))</f>
        <v/>
      </c>
      <c r="D225" s="18">
        <f>IF(Categorias!H226="","",Categorias!H226/(N(Categorias!H226)+N(Categorias!I226)))</f>
        <v/>
      </c>
      <c r="E225" s="17">
        <f>IFERROR(IF(INDEX(Gini!$C$2:$C$377,MATCH($A225&amp;"|"&amp;$B225,Gini!$E$2:$E$377,0))="","",INDEX(Gini!$C$2:$C$377,MATCH($A225&amp;"|"&amp;$B225,Gini!$E$2:$E$377,0))),"")</f>
        <v/>
      </c>
      <c r="F225" s="19">
        <f>IFERROR(IF(INDEX(Corrupcion!$E$2:$E$377,MATCH($A225&amp;"|"&amp;$B225,Corrupcion!$H$2:$H$377,0))="","",INDEX(Corrupcion!$E$2:$E$377,MATCH($A225&amp;"|"&amp;$B225,Corrupcion!$H$2:$H$377,0))),"")</f>
        <v/>
      </c>
      <c r="G225" s="20">
        <f>IFERROR(IF(INDEX(Corrupcion!$F$2:$F$377,MATCH($A225&amp;"|"&amp;$B225,Corrupcion!$H$2:$H$377,0))="","",INDEX(Corrupcion!$F$2:$F$377,MATCH($A225&amp;"|"&amp;$B225,Corrupcion!$H$2:$H$377,0))),"")</f>
        <v/>
      </c>
      <c r="H225" s="17">
        <f>IFERROR(IF(INDEX(Corrupcion!$G$2:$G$377,MATCH($A225&amp;"|"&amp;$B225,Corrupcion!$H$2:$H$377,0))="","",INDEX(Corrupcion!$G$2:$G$377,MATCH($A225&amp;"|"&amp;$B225,Corrupcion!$H$2:$H$377,0))),"")</f>
        <v/>
      </c>
      <c r="I225" s="8">
        <f>IF(COUNTBLANK(C225:E225)+COUNTBLANK(F225)=0,1,0)</f>
        <v/>
      </c>
      <c r="J225" s="8">
        <f>IF(COUNTBLANK(C225:E225)+COUNTBLANK(G225)=0,1,0)</f>
        <v/>
      </c>
      <c r="K225" s="8">
        <f>IF(COUNTBLANK(C225:E225)+COUNTBLANK(H225)=0,1,0)</f>
        <v/>
      </c>
    </row>
    <row r="226">
      <c r="A226" s="8" t="inlineStr">
        <is>
          <t>México</t>
        </is>
      </c>
      <c r="B226" s="8" t="n">
        <v>2002</v>
      </c>
      <c r="C226" s="18">
        <f>IF(Categorias!C227="","",Categorias!C227/(N(Categorias!C227)+N(Categorias!D227)+N(Categorias!E227)))</f>
        <v/>
      </c>
      <c r="D226" s="18">
        <f>IF(Categorias!H227="","",Categorias!H227/(N(Categorias!H227)+N(Categorias!I227)))</f>
        <v/>
      </c>
      <c r="E226" s="17">
        <f>IFERROR(IF(INDEX(Gini!$C$2:$C$377,MATCH($A226&amp;"|"&amp;$B226,Gini!$E$2:$E$377,0))="","",INDEX(Gini!$C$2:$C$377,MATCH($A226&amp;"|"&amp;$B226,Gini!$E$2:$E$377,0))),"")</f>
        <v/>
      </c>
      <c r="F226" s="19">
        <f>IFERROR(IF(INDEX(Corrupcion!$E$2:$E$377,MATCH($A226&amp;"|"&amp;$B226,Corrupcion!$H$2:$H$377,0))="","",INDEX(Corrupcion!$E$2:$E$377,MATCH($A226&amp;"|"&amp;$B226,Corrupcion!$H$2:$H$377,0))),"")</f>
        <v/>
      </c>
      <c r="G226" s="20">
        <f>IFERROR(IF(INDEX(Corrupcion!$F$2:$F$377,MATCH($A226&amp;"|"&amp;$B226,Corrupcion!$H$2:$H$377,0))="","",INDEX(Corrupcion!$F$2:$F$377,MATCH($A226&amp;"|"&amp;$B226,Corrupcion!$H$2:$H$377,0))),"")</f>
        <v/>
      </c>
      <c r="H226" s="17">
        <f>IFERROR(IF(INDEX(Corrupcion!$G$2:$G$377,MATCH($A226&amp;"|"&amp;$B226,Corrupcion!$H$2:$H$377,0))="","",INDEX(Corrupcion!$G$2:$G$377,MATCH($A226&amp;"|"&amp;$B226,Corrupcion!$H$2:$H$377,0))),"")</f>
        <v/>
      </c>
      <c r="I226" s="8">
        <f>IF(COUNTBLANK(C226:E226)+COUNTBLANK(F226)=0,1,0)</f>
        <v/>
      </c>
      <c r="J226" s="8">
        <f>IF(COUNTBLANK(C226:E226)+COUNTBLANK(G226)=0,1,0)</f>
        <v/>
      </c>
      <c r="K226" s="8">
        <f>IF(COUNTBLANK(C226:E226)+COUNTBLANK(H226)=0,1,0)</f>
        <v/>
      </c>
    </row>
    <row r="227">
      <c r="A227" s="8" t="inlineStr">
        <is>
          <t>México</t>
        </is>
      </c>
      <c r="B227" s="8" t="n">
        <v>2003</v>
      </c>
      <c r="C227" s="18">
        <f>IF(Categorias!C228="","",Categorias!C228/(N(Categorias!C228)+N(Categorias!D228)+N(Categorias!E228)))</f>
        <v/>
      </c>
      <c r="D227" s="18">
        <f>IF(Categorias!H228="","",Categorias!H228/(N(Categorias!H228)+N(Categorias!I228)))</f>
        <v/>
      </c>
      <c r="E227" s="17">
        <f>IFERROR(IF(INDEX(Gini!$C$2:$C$377,MATCH($A227&amp;"|"&amp;$B227,Gini!$E$2:$E$377,0))="","",INDEX(Gini!$C$2:$C$377,MATCH($A227&amp;"|"&amp;$B227,Gini!$E$2:$E$377,0))),"")</f>
        <v/>
      </c>
      <c r="F227" s="19">
        <f>IFERROR(IF(INDEX(Corrupcion!$E$2:$E$377,MATCH($A227&amp;"|"&amp;$B227,Corrupcion!$H$2:$H$377,0))="","",INDEX(Corrupcion!$E$2:$E$377,MATCH($A227&amp;"|"&amp;$B227,Corrupcion!$H$2:$H$377,0))),"")</f>
        <v/>
      </c>
      <c r="G227" s="20">
        <f>IFERROR(IF(INDEX(Corrupcion!$F$2:$F$377,MATCH($A227&amp;"|"&amp;$B227,Corrupcion!$H$2:$H$377,0))="","",INDEX(Corrupcion!$F$2:$F$377,MATCH($A227&amp;"|"&amp;$B227,Corrupcion!$H$2:$H$377,0))),"")</f>
        <v/>
      </c>
      <c r="H227" s="17">
        <f>IFERROR(IF(INDEX(Corrupcion!$G$2:$G$377,MATCH($A227&amp;"|"&amp;$B227,Corrupcion!$H$2:$H$377,0))="","",INDEX(Corrupcion!$G$2:$G$377,MATCH($A227&amp;"|"&amp;$B227,Corrupcion!$H$2:$H$377,0))),"")</f>
        <v/>
      </c>
      <c r="I227" s="8">
        <f>IF(COUNTBLANK(C227:E227)+COUNTBLANK(F227)=0,1,0)</f>
        <v/>
      </c>
      <c r="J227" s="8">
        <f>IF(COUNTBLANK(C227:E227)+COUNTBLANK(G227)=0,1,0)</f>
        <v/>
      </c>
      <c r="K227" s="8">
        <f>IF(COUNTBLANK(C227:E227)+COUNTBLANK(H227)=0,1,0)</f>
        <v/>
      </c>
    </row>
    <row r="228">
      <c r="A228" s="8" t="inlineStr">
        <is>
          <t>México</t>
        </is>
      </c>
      <c r="B228" s="8" t="n">
        <v>2004</v>
      </c>
      <c r="C228" s="18">
        <f>IF(Categorias!C229="","",Categorias!C229/(N(Categorias!C229)+N(Categorias!D229)+N(Categorias!E229)))</f>
        <v/>
      </c>
      <c r="D228" s="18">
        <f>IF(Categorias!H229="","",Categorias!H229/(N(Categorias!H229)+N(Categorias!I229)))</f>
        <v/>
      </c>
      <c r="E228" s="17">
        <f>IFERROR(IF(INDEX(Gini!$C$2:$C$377,MATCH($A228&amp;"|"&amp;$B228,Gini!$E$2:$E$377,0))="","",INDEX(Gini!$C$2:$C$377,MATCH($A228&amp;"|"&amp;$B228,Gini!$E$2:$E$377,0))),"")</f>
        <v/>
      </c>
      <c r="F228" s="19">
        <f>IFERROR(IF(INDEX(Corrupcion!$E$2:$E$377,MATCH($A228&amp;"|"&amp;$B228,Corrupcion!$H$2:$H$377,0))="","",INDEX(Corrupcion!$E$2:$E$377,MATCH($A228&amp;"|"&amp;$B228,Corrupcion!$H$2:$H$377,0))),"")</f>
        <v/>
      </c>
      <c r="G228" s="20">
        <f>IFERROR(IF(INDEX(Corrupcion!$F$2:$F$377,MATCH($A228&amp;"|"&amp;$B228,Corrupcion!$H$2:$H$377,0))="","",INDEX(Corrupcion!$F$2:$F$377,MATCH($A228&amp;"|"&amp;$B228,Corrupcion!$H$2:$H$377,0))),"")</f>
        <v/>
      </c>
      <c r="H228" s="17">
        <f>IFERROR(IF(INDEX(Corrupcion!$G$2:$G$377,MATCH($A228&amp;"|"&amp;$B228,Corrupcion!$H$2:$H$377,0))="","",INDEX(Corrupcion!$G$2:$G$377,MATCH($A228&amp;"|"&amp;$B228,Corrupcion!$H$2:$H$377,0))),"")</f>
        <v/>
      </c>
      <c r="I228" s="8">
        <f>IF(COUNTBLANK(C228:E228)+COUNTBLANK(F228)=0,1,0)</f>
        <v/>
      </c>
      <c r="J228" s="8">
        <f>IF(COUNTBLANK(C228:E228)+COUNTBLANK(G228)=0,1,0)</f>
        <v/>
      </c>
      <c r="K228" s="8">
        <f>IF(COUNTBLANK(C228:E228)+COUNTBLANK(H228)=0,1,0)</f>
        <v/>
      </c>
    </row>
    <row r="229">
      <c r="A229" s="8" t="inlineStr">
        <is>
          <t>México</t>
        </is>
      </c>
      <c r="B229" s="8" t="n">
        <v>2005</v>
      </c>
      <c r="C229" s="18">
        <f>IF(Categorias!C230="","",Categorias!C230/(N(Categorias!C230)+N(Categorias!D230)+N(Categorias!E230)))</f>
        <v/>
      </c>
      <c r="D229" s="18">
        <f>IF(Categorias!H230="","",Categorias!H230/(N(Categorias!H230)+N(Categorias!I230)))</f>
        <v/>
      </c>
      <c r="E229" s="17">
        <f>IFERROR(IF(INDEX(Gini!$C$2:$C$377,MATCH($A229&amp;"|"&amp;$B229,Gini!$E$2:$E$377,0))="","",INDEX(Gini!$C$2:$C$377,MATCH($A229&amp;"|"&amp;$B229,Gini!$E$2:$E$377,0))),"")</f>
        <v/>
      </c>
      <c r="F229" s="19">
        <f>IFERROR(IF(INDEX(Corrupcion!$E$2:$E$377,MATCH($A229&amp;"|"&amp;$B229,Corrupcion!$H$2:$H$377,0))="","",INDEX(Corrupcion!$E$2:$E$377,MATCH($A229&amp;"|"&amp;$B229,Corrupcion!$H$2:$H$377,0))),"")</f>
        <v/>
      </c>
      <c r="G229" s="20">
        <f>IFERROR(IF(INDEX(Corrupcion!$F$2:$F$377,MATCH($A229&amp;"|"&amp;$B229,Corrupcion!$H$2:$H$377,0))="","",INDEX(Corrupcion!$F$2:$F$377,MATCH($A229&amp;"|"&amp;$B229,Corrupcion!$H$2:$H$377,0))),"")</f>
        <v/>
      </c>
      <c r="H229" s="17">
        <f>IFERROR(IF(INDEX(Corrupcion!$G$2:$G$377,MATCH($A229&amp;"|"&amp;$B229,Corrupcion!$H$2:$H$377,0))="","",INDEX(Corrupcion!$G$2:$G$377,MATCH($A229&amp;"|"&amp;$B229,Corrupcion!$H$2:$H$377,0))),"")</f>
        <v/>
      </c>
      <c r="I229" s="8">
        <f>IF(COUNTBLANK(C229:E229)+COUNTBLANK(F229)=0,1,0)</f>
        <v/>
      </c>
      <c r="J229" s="8">
        <f>IF(COUNTBLANK(C229:E229)+COUNTBLANK(G229)=0,1,0)</f>
        <v/>
      </c>
      <c r="K229" s="8">
        <f>IF(COUNTBLANK(C229:E229)+COUNTBLANK(H229)=0,1,0)</f>
        <v/>
      </c>
    </row>
    <row r="230">
      <c r="A230" s="8" t="inlineStr">
        <is>
          <t>México</t>
        </is>
      </c>
      <c r="B230" s="8" t="n">
        <v>2006</v>
      </c>
      <c r="C230" s="18">
        <f>IF(Categorias!C231="","",Categorias!C231/(N(Categorias!C231)+N(Categorias!D231)+N(Categorias!E231)))</f>
        <v/>
      </c>
      <c r="D230" s="18">
        <f>IF(Categorias!H231="","",Categorias!H231/(N(Categorias!H231)+N(Categorias!I231)))</f>
        <v/>
      </c>
      <c r="E230" s="17">
        <f>IFERROR(IF(INDEX(Gini!$C$2:$C$377,MATCH($A230&amp;"|"&amp;$B230,Gini!$E$2:$E$377,0))="","",INDEX(Gini!$C$2:$C$377,MATCH($A230&amp;"|"&amp;$B230,Gini!$E$2:$E$377,0))),"")</f>
        <v/>
      </c>
      <c r="F230" s="19">
        <f>IFERROR(IF(INDEX(Corrupcion!$E$2:$E$377,MATCH($A230&amp;"|"&amp;$B230,Corrupcion!$H$2:$H$377,0))="","",INDEX(Corrupcion!$E$2:$E$377,MATCH($A230&amp;"|"&amp;$B230,Corrupcion!$H$2:$H$377,0))),"")</f>
        <v/>
      </c>
      <c r="G230" s="20">
        <f>IFERROR(IF(INDEX(Corrupcion!$F$2:$F$377,MATCH($A230&amp;"|"&amp;$B230,Corrupcion!$H$2:$H$377,0))="","",INDEX(Corrupcion!$F$2:$F$377,MATCH($A230&amp;"|"&amp;$B230,Corrupcion!$H$2:$H$377,0))),"")</f>
        <v/>
      </c>
      <c r="H230" s="17">
        <f>IFERROR(IF(INDEX(Corrupcion!$G$2:$G$377,MATCH($A230&amp;"|"&amp;$B230,Corrupcion!$H$2:$H$377,0))="","",INDEX(Corrupcion!$G$2:$G$377,MATCH($A230&amp;"|"&amp;$B230,Corrupcion!$H$2:$H$377,0))),"")</f>
        <v/>
      </c>
      <c r="I230" s="8">
        <f>IF(COUNTBLANK(C230:E230)+COUNTBLANK(F230)=0,1,0)</f>
        <v/>
      </c>
      <c r="J230" s="8">
        <f>IF(COUNTBLANK(C230:E230)+COUNTBLANK(G230)=0,1,0)</f>
        <v/>
      </c>
      <c r="K230" s="8">
        <f>IF(COUNTBLANK(C230:E230)+COUNTBLANK(H230)=0,1,0)</f>
        <v/>
      </c>
    </row>
    <row r="231">
      <c r="A231" s="8" t="inlineStr">
        <is>
          <t>México</t>
        </is>
      </c>
      <c r="B231" s="8" t="n">
        <v>2007</v>
      </c>
      <c r="C231" s="18">
        <f>IF(Categorias!C232="","",Categorias!C232/(N(Categorias!C232)+N(Categorias!D232)+N(Categorias!E232)))</f>
        <v/>
      </c>
      <c r="D231" s="18">
        <f>IF(Categorias!H232="","",Categorias!H232/(N(Categorias!H232)+N(Categorias!I232)))</f>
        <v/>
      </c>
      <c r="E231" s="17">
        <f>IFERROR(IF(INDEX(Gini!$C$2:$C$377,MATCH($A231&amp;"|"&amp;$B231,Gini!$E$2:$E$377,0))="","",INDEX(Gini!$C$2:$C$377,MATCH($A231&amp;"|"&amp;$B231,Gini!$E$2:$E$377,0))),"")</f>
        <v/>
      </c>
      <c r="F231" s="19">
        <f>IFERROR(IF(INDEX(Corrupcion!$E$2:$E$377,MATCH($A231&amp;"|"&amp;$B231,Corrupcion!$H$2:$H$377,0))="","",INDEX(Corrupcion!$E$2:$E$377,MATCH($A231&amp;"|"&amp;$B231,Corrupcion!$H$2:$H$377,0))),"")</f>
        <v/>
      </c>
      <c r="G231" s="20">
        <f>IFERROR(IF(INDEX(Corrupcion!$F$2:$F$377,MATCH($A231&amp;"|"&amp;$B231,Corrupcion!$H$2:$H$377,0))="","",INDEX(Corrupcion!$F$2:$F$377,MATCH($A231&amp;"|"&amp;$B231,Corrupcion!$H$2:$H$377,0))),"")</f>
        <v/>
      </c>
      <c r="H231" s="17">
        <f>IFERROR(IF(INDEX(Corrupcion!$G$2:$G$377,MATCH($A231&amp;"|"&amp;$B231,Corrupcion!$H$2:$H$377,0))="","",INDEX(Corrupcion!$G$2:$G$377,MATCH($A231&amp;"|"&amp;$B231,Corrupcion!$H$2:$H$377,0))),"")</f>
        <v/>
      </c>
      <c r="I231" s="8">
        <f>IF(COUNTBLANK(C231:E231)+COUNTBLANK(F231)=0,1,0)</f>
        <v/>
      </c>
      <c r="J231" s="8">
        <f>IF(COUNTBLANK(C231:E231)+COUNTBLANK(G231)=0,1,0)</f>
        <v/>
      </c>
      <c r="K231" s="8">
        <f>IF(COUNTBLANK(C231:E231)+COUNTBLANK(H231)=0,1,0)</f>
        <v/>
      </c>
    </row>
    <row r="232">
      <c r="A232" s="8" t="inlineStr">
        <is>
          <t>México</t>
        </is>
      </c>
      <c r="B232" s="8" t="n">
        <v>2008</v>
      </c>
      <c r="C232" s="18">
        <f>IF(Categorias!C233="","",Categorias!C233/(N(Categorias!C233)+N(Categorias!D233)+N(Categorias!E233)))</f>
        <v/>
      </c>
      <c r="D232" s="18">
        <f>IF(Categorias!H233="","",Categorias!H233/(N(Categorias!H233)+N(Categorias!I233)))</f>
        <v/>
      </c>
      <c r="E232" s="17">
        <f>IFERROR(IF(INDEX(Gini!$C$2:$C$377,MATCH($A232&amp;"|"&amp;$B232,Gini!$E$2:$E$377,0))="","",INDEX(Gini!$C$2:$C$377,MATCH($A232&amp;"|"&amp;$B232,Gini!$E$2:$E$377,0))),"")</f>
        <v/>
      </c>
      <c r="F232" s="19">
        <f>IFERROR(IF(INDEX(Corrupcion!$E$2:$E$377,MATCH($A232&amp;"|"&amp;$B232,Corrupcion!$H$2:$H$377,0))="","",INDEX(Corrupcion!$E$2:$E$377,MATCH($A232&amp;"|"&amp;$B232,Corrupcion!$H$2:$H$377,0))),"")</f>
        <v/>
      </c>
      <c r="G232" s="20">
        <f>IFERROR(IF(INDEX(Corrupcion!$F$2:$F$377,MATCH($A232&amp;"|"&amp;$B232,Corrupcion!$H$2:$H$377,0))="","",INDEX(Corrupcion!$F$2:$F$377,MATCH($A232&amp;"|"&amp;$B232,Corrupcion!$H$2:$H$377,0))),"")</f>
        <v/>
      </c>
      <c r="H232" s="17">
        <f>IFERROR(IF(INDEX(Corrupcion!$G$2:$G$377,MATCH($A232&amp;"|"&amp;$B232,Corrupcion!$H$2:$H$377,0))="","",INDEX(Corrupcion!$G$2:$G$377,MATCH($A232&amp;"|"&amp;$B232,Corrupcion!$H$2:$H$377,0))),"")</f>
        <v/>
      </c>
      <c r="I232" s="8">
        <f>IF(COUNTBLANK(C232:E232)+COUNTBLANK(F232)=0,1,0)</f>
        <v/>
      </c>
      <c r="J232" s="8">
        <f>IF(COUNTBLANK(C232:E232)+COUNTBLANK(G232)=0,1,0)</f>
        <v/>
      </c>
      <c r="K232" s="8">
        <f>IF(COUNTBLANK(C232:E232)+COUNTBLANK(H232)=0,1,0)</f>
        <v/>
      </c>
    </row>
    <row r="233">
      <c r="A233" s="8" t="inlineStr">
        <is>
          <t>México</t>
        </is>
      </c>
      <c r="B233" s="8" t="n">
        <v>2009</v>
      </c>
      <c r="C233" s="18">
        <f>IF(Categorias!C234="","",Categorias!C234/(N(Categorias!C234)+N(Categorias!D234)+N(Categorias!E234)))</f>
        <v/>
      </c>
      <c r="D233" s="18">
        <f>IF(Categorias!H234="","",Categorias!H234/(N(Categorias!H234)+N(Categorias!I234)))</f>
        <v/>
      </c>
      <c r="E233" s="17">
        <f>IFERROR(IF(INDEX(Gini!$C$2:$C$377,MATCH($A233&amp;"|"&amp;$B233,Gini!$E$2:$E$377,0))="","",INDEX(Gini!$C$2:$C$377,MATCH($A233&amp;"|"&amp;$B233,Gini!$E$2:$E$377,0))),"")</f>
        <v/>
      </c>
      <c r="F233" s="19">
        <f>IFERROR(IF(INDEX(Corrupcion!$E$2:$E$377,MATCH($A233&amp;"|"&amp;$B233,Corrupcion!$H$2:$H$377,0))="","",INDEX(Corrupcion!$E$2:$E$377,MATCH($A233&amp;"|"&amp;$B233,Corrupcion!$H$2:$H$377,0))),"")</f>
        <v/>
      </c>
      <c r="G233" s="20">
        <f>IFERROR(IF(INDEX(Corrupcion!$F$2:$F$377,MATCH($A233&amp;"|"&amp;$B233,Corrupcion!$H$2:$H$377,0))="","",INDEX(Corrupcion!$F$2:$F$377,MATCH($A233&amp;"|"&amp;$B233,Corrupcion!$H$2:$H$377,0))),"")</f>
        <v/>
      </c>
      <c r="H233" s="17">
        <f>IFERROR(IF(INDEX(Corrupcion!$G$2:$G$377,MATCH($A233&amp;"|"&amp;$B233,Corrupcion!$H$2:$H$377,0))="","",INDEX(Corrupcion!$G$2:$G$377,MATCH($A233&amp;"|"&amp;$B233,Corrupcion!$H$2:$H$377,0))),"")</f>
        <v/>
      </c>
      <c r="I233" s="8">
        <f>IF(COUNTBLANK(C233:E233)+COUNTBLANK(F233)=0,1,0)</f>
        <v/>
      </c>
      <c r="J233" s="8">
        <f>IF(COUNTBLANK(C233:E233)+COUNTBLANK(G233)=0,1,0)</f>
        <v/>
      </c>
      <c r="K233" s="8">
        <f>IF(COUNTBLANK(C233:E233)+COUNTBLANK(H233)=0,1,0)</f>
        <v/>
      </c>
    </row>
    <row r="234">
      <c r="A234" s="8" t="inlineStr">
        <is>
          <t>México</t>
        </is>
      </c>
      <c r="B234" s="8" t="n">
        <v>2010</v>
      </c>
      <c r="C234" s="18">
        <f>IF(Categorias!C235="","",Categorias!C235/(N(Categorias!C235)+N(Categorias!D235)+N(Categorias!E235)))</f>
        <v/>
      </c>
      <c r="D234" s="18">
        <f>IF(Categorias!H235="","",Categorias!H235/(N(Categorias!H235)+N(Categorias!I235)))</f>
        <v/>
      </c>
      <c r="E234" s="17">
        <f>IFERROR(IF(INDEX(Gini!$C$2:$C$377,MATCH($A234&amp;"|"&amp;$B234,Gini!$E$2:$E$377,0))="","",INDEX(Gini!$C$2:$C$377,MATCH($A234&amp;"|"&amp;$B234,Gini!$E$2:$E$377,0))),"")</f>
        <v/>
      </c>
      <c r="F234" s="19">
        <f>IFERROR(IF(INDEX(Corrupcion!$E$2:$E$377,MATCH($A234&amp;"|"&amp;$B234,Corrupcion!$H$2:$H$377,0))="","",INDEX(Corrupcion!$E$2:$E$377,MATCH($A234&amp;"|"&amp;$B234,Corrupcion!$H$2:$H$377,0))),"")</f>
        <v/>
      </c>
      <c r="G234" s="20">
        <f>IFERROR(IF(INDEX(Corrupcion!$F$2:$F$377,MATCH($A234&amp;"|"&amp;$B234,Corrupcion!$H$2:$H$377,0))="","",INDEX(Corrupcion!$F$2:$F$377,MATCH($A234&amp;"|"&amp;$B234,Corrupcion!$H$2:$H$377,0))),"")</f>
        <v/>
      </c>
      <c r="H234" s="17">
        <f>IFERROR(IF(INDEX(Corrupcion!$G$2:$G$377,MATCH($A234&amp;"|"&amp;$B234,Corrupcion!$H$2:$H$377,0))="","",INDEX(Corrupcion!$G$2:$G$377,MATCH($A234&amp;"|"&amp;$B234,Corrupcion!$H$2:$H$377,0))),"")</f>
        <v/>
      </c>
      <c r="I234" s="8">
        <f>IF(COUNTBLANK(C234:E234)+COUNTBLANK(F234)=0,1,0)</f>
        <v/>
      </c>
      <c r="J234" s="8">
        <f>IF(COUNTBLANK(C234:E234)+COUNTBLANK(G234)=0,1,0)</f>
        <v/>
      </c>
      <c r="K234" s="8">
        <f>IF(COUNTBLANK(C234:E234)+COUNTBLANK(H234)=0,1,0)</f>
        <v/>
      </c>
    </row>
    <row r="235">
      <c r="A235" s="8" t="inlineStr">
        <is>
          <t>México</t>
        </is>
      </c>
      <c r="B235" s="8" t="n">
        <v>2011</v>
      </c>
      <c r="C235" s="18">
        <f>IF(Categorias!C236="","",Categorias!C236/(N(Categorias!C236)+N(Categorias!D236)+N(Categorias!E236)))</f>
        <v/>
      </c>
      <c r="D235" s="18">
        <f>IF(Categorias!H236="","",Categorias!H236/(N(Categorias!H236)+N(Categorias!I236)))</f>
        <v/>
      </c>
      <c r="E235" s="17">
        <f>IFERROR(IF(INDEX(Gini!$C$2:$C$377,MATCH($A235&amp;"|"&amp;$B235,Gini!$E$2:$E$377,0))="","",INDEX(Gini!$C$2:$C$377,MATCH($A235&amp;"|"&amp;$B235,Gini!$E$2:$E$377,0))),"")</f>
        <v/>
      </c>
      <c r="F235" s="19">
        <f>IFERROR(IF(INDEX(Corrupcion!$E$2:$E$377,MATCH($A235&amp;"|"&amp;$B235,Corrupcion!$H$2:$H$377,0))="","",INDEX(Corrupcion!$E$2:$E$377,MATCH($A235&amp;"|"&amp;$B235,Corrupcion!$H$2:$H$377,0))),"")</f>
        <v/>
      </c>
      <c r="G235" s="20">
        <f>IFERROR(IF(INDEX(Corrupcion!$F$2:$F$377,MATCH($A235&amp;"|"&amp;$B235,Corrupcion!$H$2:$H$377,0))="","",INDEX(Corrupcion!$F$2:$F$377,MATCH($A235&amp;"|"&amp;$B235,Corrupcion!$H$2:$H$377,0))),"")</f>
        <v/>
      </c>
      <c r="H235" s="17">
        <f>IFERROR(IF(INDEX(Corrupcion!$G$2:$G$377,MATCH($A235&amp;"|"&amp;$B235,Corrupcion!$H$2:$H$377,0))="","",INDEX(Corrupcion!$G$2:$G$377,MATCH($A235&amp;"|"&amp;$B235,Corrupcion!$H$2:$H$377,0))),"")</f>
        <v/>
      </c>
      <c r="I235" s="8">
        <f>IF(COUNTBLANK(C235:E235)+COUNTBLANK(F235)=0,1,0)</f>
        <v/>
      </c>
      <c r="J235" s="8">
        <f>IF(COUNTBLANK(C235:E235)+COUNTBLANK(G235)=0,1,0)</f>
        <v/>
      </c>
      <c r="K235" s="8">
        <f>IF(COUNTBLANK(C235:E235)+COUNTBLANK(H235)=0,1,0)</f>
        <v/>
      </c>
    </row>
    <row r="236">
      <c r="A236" s="8" t="inlineStr">
        <is>
          <t>México</t>
        </is>
      </c>
      <c r="B236" s="8" t="n">
        <v>2015</v>
      </c>
      <c r="C236" s="18">
        <f>IF(Categorias!C237="","",Categorias!C237/(N(Categorias!C237)+N(Categorias!D237)+N(Categorias!E237)))</f>
        <v/>
      </c>
      <c r="D236" s="18">
        <f>IF(Categorias!H237="","",Categorias!H237/(N(Categorias!H237)+N(Categorias!I237)))</f>
        <v/>
      </c>
      <c r="E236" s="17">
        <f>IFERROR(IF(INDEX(Gini!$C$2:$C$377,MATCH($A236&amp;"|"&amp;$B236,Gini!$E$2:$E$377,0))="","",INDEX(Gini!$C$2:$C$377,MATCH($A236&amp;"|"&amp;$B236,Gini!$E$2:$E$377,0))),"")</f>
        <v/>
      </c>
      <c r="F236" s="19">
        <f>IFERROR(IF(INDEX(Corrupcion!$E$2:$E$377,MATCH($A236&amp;"|"&amp;$B236,Corrupcion!$H$2:$H$377,0))="","",INDEX(Corrupcion!$E$2:$E$377,MATCH($A236&amp;"|"&amp;$B236,Corrupcion!$H$2:$H$377,0))),"")</f>
        <v/>
      </c>
      <c r="G236" s="20">
        <f>IFERROR(IF(INDEX(Corrupcion!$F$2:$F$377,MATCH($A236&amp;"|"&amp;$B236,Corrupcion!$H$2:$H$377,0))="","",INDEX(Corrupcion!$F$2:$F$377,MATCH($A236&amp;"|"&amp;$B236,Corrupcion!$H$2:$H$377,0))),"")</f>
        <v/>
      </c>
      <c r="H236" s="17">
        <f>IFERROR(IF(INDEX(Corrupcion!$G$2:$G$377,MATCH($A236&amp;"|"&amp;$B236,Corrupcion!$H$2:$H$377,0))="","",INDEX(Corrupcion!$G$2:$G$377,MATCH($A236&amp;"|"&amp;$B236,Corrupcion!$H$2:$H$377,0))),"")</f>
        <v/>
      </c>
      <c r="I236" s="8">
        <f>IF(COUNTBLANK(C236:E236)+COUNTBLANK(F236)=0,1,0)</f>
        <v/>
      </c>
      <c r="J236" s="8">
        <f>IF(COUNTBLANK(C236:E236)+COUNTBLANK(G236)=0,1,0)</f>
        <v/>
      </c>
      <c r="K236" s="8">
        <f>IF(COUNTBLANK(C236:E236)+COUNTBLANK(H236)=0,1,0)</f>
        <v/>
      </c>
    </row>
    <row r="237">
      <c r="A237" s="8" t="inlineStr">
        <is>
          <t>México</t>
        </is>
      </c>
      <c r="B237" s="8" t="n">
        <v>2016</v>
      </c>
      <c r="C237" s="18">
        <f>IF(Categorias!C238="","",Categorias!C238/(N(Categorias!C238)+N(Categorias!D238)+N(Categorias!E238)))</f>
        <v/>
      </c>
      <c r="D237" s="18">
        <f>IF(Categorias!H238="","",Categorias!H238/(N(Categorias!H238)+N(Categorias!I238)))</f>
        <v/>
      </c>
      <c r="E237" s="17">
        <f>IFERROR(IF(INDEX(Gini!$C$2:$C$377,MATCH($A237&amp;"|"&amp;$B237,Gini!$E$2:$E$377,0))="","",INDEX(Gini!$C$2:$C$377,MATCH($A237&amp;"|"&amp;$B237,Gini!$E$2:$E$377,0))),"")</f>
        <v/>
      </c>
      <c r="F237" s="19">
        <f>IFERROR(IF(INDEX(Corrupcion!$E$2:$E$377,MATCH($A237&amp;"|"&amp;$B237,Corrupcion!$H$2:$H$377,0))="","",INDEX(Corrupcion!$E$2:$E$377,MATCH($A237&amp;"|"&amp;$B237,Corrupcion!$H$2:$H$377,0))),"")</f>
        <v/>
      </c>
      <c r="G237" s="20">
        <f>IFERROR(IF(INDEX(Corrupcion!$F$2:$F$377,MATCH($A237&amp;"|"&amp;$B237,Corrupcion!$H$2:$H$377,0))="","",INDEX(Corrupcion!$F$2:$F$377,MATCH($A237&amp;"|"&amp;$B237,Corrupcion!$H$2:$H$377,0))),"")</f>
        <v/>
      </c>
      <c r="H237" s="17">
        <f>IFERROR(IF(INDEX(Corrupcion!$G$2:$G$377,MATCH($A237&amp;"|"&amp;$B237,Corrupcion!$H$2:$H$377,0))="","",INDEX(Corrupcion!$G$2:$G$377,MATCH($A237&amp;"|"&amp;$B237,Corrupcion!$H$2:$H$377,0))),"")</f>
        <v/>
      </c>
      <c r="I237" s="8">
        <f>IF(COUNTBLANK(C237:E237)+COUNTBLANK(F237)=0,1,0)</f>
        <v/>
      </c>
      <c r="J237" s="8">
        <f>IF(COUNTBLANK(C237:E237)+COUNTBLANK(G237)=0,1,0)</f>
        <v/>
      </c>
      <c r="K237" s="8">
        <f>IF(COUNTBLANK(C237:E237)+COUNTBLANK(H237)=0,1,0)</f>
        <v/>
      </c>
    </row>
    <row r="238">
      <c r="A238" s="8" t="inlineStr">
        <is>
          <t>México</t>
        </is>
      </c>
      <c r="B238" s="8" t="n">
        <v>2017</v>
      </c>
      <c r="C238" s="18">
        <f>IF(Categorias!C239="","",Categorias!C239/(N(Categorias!C239)+N(Categorias!D239)+N(Categorias!E239)))</f>
        <v/>
      </c>
      <c r="D238" s="18">
        <f>IF(Categorias!H239="","",Categorias!H239/(N(Categorias!H239)+N(Categorias!I239)))</f>
        <v/>
      </c>
      <c r="E238" s="17">
        <f>IFERROR(IF(INDEX(Gini!$C$2:$C$377,MATCH($A238&amp;"|"&amp;$B238,Gini!$E$2:$E$377,0))="","",INDEX(Gini!$C$2:$C$377,MATCH($A238&amp;"|"&amp;$B238,Gini!$E$2:$E$377,0))),"")</f>
        <v/>
      </c>
      <c r="F238" s="19">
        <f>IFERROR(IF(INDEX(Corrupcion!$E$2:$E$377,MATCH($A238&amp;"|"&amp;$B238,Corrupcion!$H$2:$H$377,0))="","",INDEX(Corrupcion!$E$2:$E$377,MATCH($A238&amp;"|"&amp;$B238,Corrupcion!$H$2:$H$377,0))),"")</f>
        <v/>
      </c>
      <c r="G238" s="20">
        <f>IFERROR(IF(INDEX(Corrupcion!$F$2:$F$377,MATCH($A238&amp;"|"&amp;$B238,Corrupcion!$H$2:$H$377,0))="","",INDEX(Corrupcion!$F$2:$F$377,MATCH($A238&amp;"|"&amp;$B238,Corrupcion!$H$2:$H$377,0))),"")</f>
        <v/>
      </c>
      <c r="H238" s="17">
        <f>IFERROR(IF(INDEX(Corrupcion!$G$2:$G$377,MATCH($A238&amp;"|"&amp;$B238,Corrupcion!$H$2:$H$377,0))="","",INDEX(Corrupcion!$G$2:$G$377,MATCH($A238&amp;"|"&amp;$B238,Corrupcion!$H$2:$H$377,0))),"")</f>
        <v/>
      </c>
      <c r="I238" s="8">
        <f>IF(COUNTBLANK(C238:E238)+COUNTBLANK(F238)=0,1,0)</f>
        <v/>
      </c>
      <c r="J238" s="8">
        <f>IF(COUNTBLANK(C238:E238)+COUNTBLANK(G238)=0,1,0)</f>
        <v/>
      </c>
      <c r="K238" s="8">
        <f>IF(COUNTBLANK(C238:E238)+COUNTBLANK(H238)=0,1,0)</f>
        <v/>
      </c>
    </row>
    <row r="239">
      <c r="A239" s="8" t="inlineStr">
        <is>
          <t>México</t>
        </is>
      </c>
      <c r="B239" s="8" t="n">
        <v>2018</v>
      </c>
      <c r="C239" s="18">
        <f>IF(Categorias!C240="","",Categorias!C240/(N(Categorias!C240)+N(Categorias!D240)+N(Categorias!E240)))</f>
        <v/>
      </c>
      <c r="D239" s="18">
        <f>IF(Categorias!H240="","",Categorias!H240/(N(Categorias!H240)+N(Categorias!I240)))</f>
        <v/>
      </c>
      <c r="E239" s="17">
        <f>IFERROR(IF(INDEX(Gini!$C$2:$C$377,MATCH($A239&amp;"|"&amp;$B239,Gini!$E$2:$E$377,0))="","",INDEX(Gini!$C$2:$C$377,MATCH($A239&amp;"|"&amp;$B239,Gini!$E$2:$E$377,0))),"")</f>
        <v/>
      </c>
      <c r="F239" s="19">
        <f>IFERROR(IF(INDEX(Corrupcion!$E$2:$E$377,MATCH($A239&amp;"|"&amp;$B239,Corrupcion!$H$2:$H$377,0))="","",INDEX(Corrupcion!$E$2:$E$377,MATCH($A239&amp;"|"&amp;$B239,Corrupcion!$H$2:$H$377,0))),"")</f>
        <v/>
      </c>
      <c r="G239" s="20">
        <f>IFERROR(IF(INDEX(Corrupcion!$F$2:$F$377,MATCH($A239&amp;"|"&amp;$B239,Corrupcion!$H$2:$H$377,0))="","",INDEX(Corrupcion!$F$2:$F$377,MATCH($A239&amp;"|"&amp;$B239,Corrupcion!$H$2:$H$377,0))),"")</f>
        <v/>
      </c>
      <c r="H239" s="17">
        <f>IFERROR(IF(INDEX(Corrupcion!$G$2:$G$377,MATCH($A239&amp;"|"&amp;$B239,Corrupcion!$H$2:$H$377,0))="","",INDEX(Corrupcion!$G$2:$G$377,MATCH($A239&amp;"|"&amp;$B239,Corrupcion!$H$2:$H$377,0))),"")</f>
        <v/>
      </c>
      <c r="I239" s="8">
        <f>IF(COUNTBLANK(C239:E239)+COUNTBLANK(F239)=0,1,0)</f>
        <v/>
      </c>
      <c r="J239" s="8">
        <f>IF(COUNTBLANK(C239:E239)+COUNTBLANK(G239)=0,1,0)</f>
        <v/>
      </c>
      <c r="K239" s="8">
        <f>IF(COUNTBLANK(C239:E239)+COUNTBLANK(H239)=0,1,0)</f>
        <v/>
      </c>
    </row>
    <row r="240">
      <c r="A240" s="8" t="inlineStr">
        <is>
          <t>México</t>
        </is>
      </c>
      <c r="B240" s="8" t="n">
        <v>2020</v>
      </c>
      <c r="C240" s="18">
        <f>IF(Categorias!C241="","",Categorias!C241/(N(Categorias!C241)+N(Categorias!D241)+N(Categorias!E241)))</f>
        <v/>
      </c>
      <c r="D240" s="18">
        <f>IF(Categorias!H241="","",Categorias!H241/(N(Categorias!H241)+N(Categorias!I241)))</f>
        <v/>
      </c>
      <c r="E240" s="17">
        <f>IFERROR(IF(INDEX(Gini!$C$2:$C$377,MATCH($A240&amp;"|"&amp;$B240,Gini!$E$2:$E$377,0))="","",INDEX(Gini!$C$2:$C$377,MATCH($A240&amp;"|"&amp;$B240,Gini!$E$2:$E$377,0))),"")</f>
        <v/>
      </c>
      <c r="F240" s="19">
        <f>IFERROR(IF(INDEX(Corrupcion!$E$2:$E$377,MATCH($A240&amp;"|"&amp;$B240,Corrupcion!$H$2:$H$377,0))="","",INDEX(Corrupcion!$E$2:$E$377,MATCH($A240&amp;"|"&amp;$B240,Corrupcion!$H$2:$H$377,0))),"")</f>
        <v/>
      </c>
      <c r="G240" s="20">
        <f>IFERROR(IF(INDEX(Corrupcion!$F$2:$F$377,MATCH($A240&amp;"|"&amp;$B240,Corrupcion!$H$2:$H$377,0))="","",INDEX(Corrupcion!$F$2:$F$377,MATCH($A240&amp;"|"&amp;$B240,Corrupcion!$H$2:$H$377,0))),"")</f>
        <v/>
      </c>
      <c r="H240" s="17">
        <f>IFERROR(IF(INDEX(Corrupcion!$G$2:$G$377,MATCH($A240&amp;"|"&amp;$B240,Corrupcion!$H$2:$H$377,0))="","",INDEX(Corrupcion!$G$2:$G$377,MATCH($A240&amp;"|"&amp;$B240,Corrupcion!$H$2:$H$377,0))),"")</f>
        <v/>
      </c>
      <c r="I240" s="8">
        <f>IF(COUNTBLANK(C240:E240)+COUNTBLANK(F240)=0,1,0)</f>
        <v/>
      </c>
      <c r="J240" s="8">
        <f>IF(COUNTBLANK(C240:E240)+COUNTBLANK(G240)=0,1,0)</f>
        <v/>
      </c>
      <c r="K240" s="8">
        <f>IF(COUNTBLANK(C240:E240)+COUNTBLANK(H240)=0,1,0)</f>
        <v/>
      </c>
    </row>
    <row r="241">
      <c r="A241" s="8" t="inlineStr">
        <is>
          <t>México</t>
        </is>
      </c>
      <c r="B241" s="8" t="n">
        <v>2024</v>
      </c>
      <c r="C241" s="18">
        <f>IF(Categorias!C242="","",Categorias!C242/(N(Categorias!C242)+N(Categorias!D242)+N(Categorias!E242)))</f>
        <v/>
      </c>
      <c r="D241" s="18">
        <f>IF(Categorias!H242="","",Categorias!H242/(N(Categorias!H242)+N(Categorias!I242)))</f>
        <v/>
      </c>
      <c r="E241" s="17">
        <f>IFERROR(IF(INDEX(Gini!$C$2:$C$377,MATCH($A241&amp;"|"&amp;$B241,Gini!$E$2:$E$377,0))="","",INDEX(Gini!$C$2:$C$377,MATCH($A241&amp;"|"&amp;$B241,Gini!$E$2:$E$377,0))),"")</f>
        <v/>
      </c>
      <c r="F241" s="19">
        <f>IFERROR(IF(INDEX(Corrupcion!$E$2:$E$377,MATCH($A241&amp;"|"&amp;$B241,Corrupcion!$H$2:$H$377,0))="","",INDEX(Corrupcion!$E$2:$E$377,MATCH($A241&amp;"|"&amp;$B241,Corrupcion!$H$2:$H$377,0))),"")</f>
        <v/>
      </c>
      <c r="G241" s="20">
        <f>IFERROR(IF(INDEX(Corrupcion!$F$2:$F$377,MATCH($A241&amp;"|"&amp;$B241,Corrupcion!$H$2:$H$377,0))="","",INDEX(Corrupcion!$F$2:$F$377,MATCH($A241&amp;"|"&amp;$B241,Corrupcion!$H$2:$H$377,0))),"")</f>
        <v/>
      </c>
      <c r="H241" s="17">
        <f>IFERROR(IF(INDEX(Corrupcion!$G$2:$G$377,MATCH($A241&amp;"|"&amp;$B241,Corrupcion!$H$2:$H$377,0))="","",INDEX(Corrupcion!$G$2:$G$377,MATCH($A241&amp;"|"&amp;$B241,Corrupcion!$H$2:$H$377,0))),"")</f>
        <v/>
      </c>
      <c r="I241" s="8">
        <f>IF(COUNTBLANK(C241:E241)+COUNTBLANK(F241)=0,1,0)</f>
        <v/>
      </c>
      <c r="J241" s="8">
        <f>IF(COUNTBLANK(C241:E241)+COUNTBLANK(G241)=0,1,0)</f>
        <v/>
      </c>
      <c r="K241" s="8">
        <f>IF(COUNTBLANK(C241:E241)+COUNTBLANK(H241)=0,1,0)</f>
        <v/>
      </c>
    </row>
    <row r="242">
      <c r="A242" s="8" t="inlineStr">
        <is>
          <t>Nicaragua</t>
        </is>
      </c>
      <c r="B242" s="8" t="n">
        <v>1996</v>
      </c>
      <c r="C242" s="18">
        <f>IF(Categorias!C243="","",Categorias!C243/(N(Categorias!C243)+N(Categorias!D243)+N(Categorias!E243)))</f>
        <v/>
      </c>
      <c r="D242" s="18">
        <f>IF(Categorias!H243="","",Categorias!H243/(N(Categorias!H243)+N(Categorias!I243)))</f>
        <v/>
      </c>
      <c r="E242" s="17">
        <f>IFERROR(IF(INDEX(Gini!$C$2:$C$377,MATCH($A242&amp;"|"&amp;$B242,Gini!$E$2:$E$377,0))="","",INDEX(Gini!$C$2:$C$377,MATCH($A242&amp;"|"&amp;$B242,Gini!$E$2:$E$377,0))),"")</f>
        <v/>
      </c>
      <c r="F242" s="19">
        <f>IFERROR(IF(INDEX(Corrupcion!$E$2:$E$377,MATCH($A242&amp;"|"&amp;$B242,Corrupcion!$H$2:$H$377,0))="","",INDEX(Corrupcion!$E$2:$E$377,MATCH($A242&amp;"|"&amp;$B242,Corrupcion!$H$2:$H$377,0))),"")</f>
        <v/>
      </c>
      <c r="G242" s="20">
        <f>IFERROR(IF(INDEX(Corrupcion!$F$2:$F$377,MATCH($A242&amp;"|"&amp;$B242,Corrupcion!$H$2:$H$377,0))="","",INDEX(Corrupcion!$F$2:$F$377,MATCH($A242&amp;"|"&amp;$B242,Corrupcion!$H$2:$H$377,0))),"")</f>
        <v/>
      </c>
      <c r="H242" s="17">
        <f>IFERROR(IF(INDEX(Corrupcion!$G$2:$G$377,MATCH($A242&amp;"|"&amp;$B242,Corrupcion!$H$2:$H$377,0))="","",INDEX(Corrupcion!$G$2:$G$377,MATCH($A242&amp;"|"&amp;$B242,Corrupcion!$H$2:$H$377,0))),"")</f>
        <v/>
      </c>
      <c r="I242" s="8">
        <f>IF(COUNTBLANK(C242:E242)+COUNTBLANK(F242)=0,1,0)</f>
        <v/>
      </c>
      <c r="J242" s="8">
        <f>IF(COUNTBLANK(C242:E242)+COUNTBLANK(G242)=0,1,0)</f>
        <v/>
      </c>
      <c r="K242" s="8">
        <f>IF(COUNTBLANK(C242:E242)+COUNTBLANK(H242)=0,1,0)</f>
        <v/>
      </c>
    </row>
    <row r="243">
      <c r="A243" s="8" t="inlineStr">
        <is>
          <t>Nicaragua</t>
        </is>
      </c>
      <c r="B243" s="8" t="n">
        <v>1997</v>
      </c>
      <c r="C243" s="18">
        <f>IF(Categorias!C244="","",Categorias!C244/(N(Categorias!C244)+N(Categorias!D244)+N(Categorias!E244)))</f>
        <v/>
      </c>
      <c r="D243" s="18">
        <f>IF(Categorias!H244="","",Categorias!H244/(N(Categorias!H244)+N(Categorias!I244)))</f>
        <v/>
      </c>
      <c r="E243" s="17">
        <f>IFERROR(IF(INDEX(Gini!$C$2:$C$377,MATCH($A243&amp;"|"&amp;$B243,Gini!$E$2:$E$377,0))="","",INDEX(Gini!$C$2:$C$377,MATCH($A243&amp;"|"&amp;$B243,Gini!$E$2:$E$377,0))),"")</f>
        <v/>
      </c>
      <c r="F243" s="19">
        <f>IFERROR(IF(INDEX(Corrupcion!$E$2:$E$377,MATCH($A243&amp;"|"&amp;$B243,Corrupcion!$H$2:$H$377,0))="","",INDEX(Corrupcion!$E$2:$E$377,MATCH($A243&amp;"|"&amp;$B243,Corrupcion!$H$2:$H$377,0))),"")</f>
        <v/>
      </c>
      <c r="G243" s="20">
        <f>IFERROR(IF(INDEX(Corrupcion!$F$2:$F$377,MATCH($A243&amp;"|"&amp;$B243,Corrupcion!$H$2:$H$377,0))="","",INDEX(Corrupcion!$F$2:$F$377,MATCH($A243&amp;"|"&amp;$B243,Corrupcion!$H$2:$H$377,0))),"")</f>
        <v/>
      </c>
      <c r="H243" s="17">
        <f>IFERROR(IF(INDEX(Corrupcion!$G$2:$G$377,MATCH($A243&amp;"|"&amp;$B243,Corrupcion!$H$2:$H$377,0))="","",INDEX(Corrupcion!$G$2:$G$377,MATCH($A243&amp;"|"&amp;$B243,Corrupcion!$H$2:$H$377,0))),"")</f>
        <v/>
      </c>
      <c r="I243" s="8">
        <f>IF(COUNTBLANK(C243:E243)+COUNTBLANK(F243)=0,1,0)</f>
        <v/>
      </c>
      <c r="J243" s="8">
        <f>IF(COUNTBLANK(C243:E243)+COUNTBLANK(G243)=0,1,0)</f>
        <v/>
      </c>
      <c r="K243" s="8">
        <f>IF(COUNTBLANK(C243:E243)+COUNTBLANK(H243)=0,1,0)</f>
        <v/>
      </c>
    </row>
    <row r="244">
      <c r="A244" s="8" t="inlineStr">
        <is>
          <t>Nicaragua</t>
        </is>
      </c>
      <c r="B244" s="8" t="n">
        <v>1998</v>
      </c>
      <c r="C244" s="18">
        <f>IF(Categorias!C245="","",Categorias!C245/(N(Categorias!C245)+N(Categorias!D245)+N(Categorias!E245)))</f>
        <v/>
      </c>
      <c r="D244" s="18">
        <f>IF(Categorias!H245="","",Categorias!H245/(N(Categorias!H245)+N(Categorias!I245)))</f>
        <v/>
      </c>
      <c r="E244" s="17">
        <f>IFERROR(IF(INDEX(Gini!$C$2:$C$377,MATCH($A244&amp;"|"&amp;$B244,Gini!$E$2:$E$377,0))="","",INDEX(Gini!$C$2:$C$377,MATCH($A244&amp;"|"&amp;$B244,Gini!$E$2:$E$377,0))),"")</f>
        <v/>
      </c>
      <c r="F244" s="19">
        <f>IFERROR(IF(INDEX(Corrupcion!$E$2:$E$377,MATCH($A244&amp;"|"&amp;$B244,Corrupcion!$H$2:$H$377,0))="","",INDEX(Corrupcion!$E$2:$E$377,MATCH($A244&amp;"|"&amp;$B244,Corrupcion!$H$2:$H$377,0))),"")</f>
        <v/>
      </c>
      <c r="G244" s="20">
        <f>IFERROR(IF(INDEX(Corrupcion!$F$2:$F$377,MATCH($A244&amp;"|"&amp;$B244,Corrupcion!$H$2:$H$377,0))="","",INDEX(Corrupcion!$F$2:$F$377,MATCH($A244&amp;"|"&amp;$B244,Corrupcion!$H$2:$H$377,0))),"")</f>
        <v/>
      </c>
      <c r="H244" s="17">
        <f>IFERROR(IF(INDEX(Corrupcion!$G$2:$G$377,MATCH($A244&amp;"|"&amp;$B244,Corrupcion!$H$2:$H$377,0))="","",INDEX(Corrupcion!$G$2:$G$377,MATCH($A244&amp;"|"&amp;$B244,Corrupcion!$H$2:$H$377,0))),"")</f>
        <v/>
      </c>
      <c r="I244" s="8">
        <f>IF(COUNTBLANK(C244:E244)+COUNTBLANK(F244)=0,1,0)</f>
        <v/>
      </c>
      <c r="J244" s="8">
        <f>IF(COUNTBLANK(C244:E244)+COUNTBLANK(G244)=0,1,0)</f>
        <v/>
      </c>
      <c r="K244" s="8">
        <f>IF(COUNTBLANK(C244:E244)+COUNTBLANK(H244)=0,1,0)</f>
        <v/>
      </c>
    </row>
    <row r="245">
      <c r="A245" s="8" t="inlineStr">
        <is>
          <t>Nicaragua</t>
        </is>
      </c>
      <c r="B245" s="8" t="n">
        <v>2000</v>
      </c>
      <c r="C245" s="18">
        <f>IF(Categorias!C246="","",Categorias!C246/(N(Categorias!C246)+N(Categorias!D246)+N(Categorias!E246)))</f>
        <v/>
      </c>
      <c r="D245" s="18">
        <f>IF(Categorias!H246="","",Categorias!H246/(N(Categorias!H246)+N(Categorias!I246)))</f>
        <v/>
      </c>
      <c r="E245" s="17">
        <f>IFERROR(IF(INDEX(Gini!$C$2:$C$377,MATCH($A245&amp;"|"&amp;$B245,Gini!$E$2:$E$377,0))="","",INDEX(Gini!$C$2:$C$377,MATCH($A245&amp;"|"&amp;$B245,Gini!$E$2:$E$377,0))),"")</f>
        <v/>
      </c>
      <c r="F245" s="19">
        <f>IFERROR(IF(INDEX(Corrupcion!$E$2:$E$377,MATCH($A245&amp;"|"&amp;$B245,Corrupcion!$H$2:$H$377,0))="","",INDEX(Corrupcion!$E$2:$E$377,MATCH($A245&amp;"|"&amp;$B245,Corrupcion!$H$2:$H$377,0))),"")</f>
        <v/>
      </c>
      <c r="G245" s="20">
        <f>IFERROR(IF(INDEX(Corrupcion!$F$2:$F$377,MATCH($A245&amp;"|"&amp;$B245,Corrupcion!$H$2:$H$377,0))="","",INDEX(Corrupcion!$F$2:$F$377,MATCH($A245&amp;"|"&amp;$B245,Corrupcion!$H$2:$H$377,0))),"")</f>
        <v/>
      </c>
      <c r="H245" s="17">
        <f>IFERROR(IF(INDEX(Corrupcion!$G$2:$G$377,MATCH($A245&amp;"|"&amp;$B245,Corrupcion!$H$2:$H$377,0))="","",INDEX(Corrupcion!$G$2:$G$377,MATCH($A245&amp;"|"&amp;$B245,Corrupcion!$H$2:$H$377,0))),"")</f>
        <v/>
      </c>
      <c r="I245" s="8">
        <f>IF(COUNTBLANK(C245:E245)+COUNTBLANK(F245)=0,1,0)</f>
        <v/>
      </c>
      <c r="J245" s="8">
        <f>IF(COUNTBLANK(C245:E245)+COUNTBLANK(G245)=0,1,0)</f>
        <v/>
      </c>
      <c r="K245" s="8">
        <f>IF(COUNTBLANK(C245:E245)+COUNTBLANK(H245)=0,1,0)</f>
        <v/>
      </c>
    </row>
    <row r="246">
      <c r="A246" s="8" t="inlineStr">
        <is>
          <t>Nicaragua</t>
        </is>
      </c>
      <c r="B246" s="8" t="n">
        <v>2001</v>
      </c>
      <c r="C246" s="18">
        <f>IF(Categorias!C247="","",Categorias!C247/(N(Categorias!C247)+N(Categorias!D247)+N(Categorias!E247)))</f>
        <v/>
      </c>
      <c r="D246" s="18">
        <f>IF(Categorias!H247="","",Categorias!H247/(N(Categorias!H247)+N(Categorias!I247)))</f>
        <v/>
      </c>
      <c r="E246" s="17">
        <f>IFERROR(IF(INDEX(Gini!$C$2:$C$377,MATCH($A246&amp;"|"&amp;$B246,Gini!$E$2:$E$377,0))="","",INDEX(Gini!$C$2:$C$377,MATCH($A246&amp;"|"&amp;$B246,Gini!$E$2:$E$377,0))),"")</f>
        <v/>
      </c>
      <c r="F246" s="19">
        <f>IFERROR(IF(INDEX(Corrupcion!$E$2:$E$377,MATCH($A246&amp;"|"&amp;$B246,Corrupcion!$H$2:$H$377,0))="","",INDEX(Corrupcion!$E$2:$E$377,MATCH($A246&amp;"|"&amp;$B246,Corrupcion!$H$2:$H$377,0))),"")</f>
        <v/>
      </c>
      <c r="G246" s="20">
        <f>IFERROR(IF(INDEX(Corrupcion!$F$2:$F$377,MATCH($A246&amp;"|"&amp;$B246,Corrupcion!$H$2:$H$377,0))="","",INDEX(Corrupcion!$F$2:$F$377,MATCH($A246&amp;"|"&amp;$B246,Corrupcion!$H$2:$H$377,0))),"")</f>
        <v/>
      </c>
      <c r="H246" s="17">
        <f>IFERROR(IF(INDEX(Corrupcion!$G$2:$G$377,MATCH($A246&amp;"|"&amp;$B246,Corrupcion!$H$2:$H$377,0))="","",INDEX(Corrupcion!$G$2:$G$377,MATCH($A246&amp;"|"&amp;$B246,Corrupcion!$H$2:$H$377,0))),"")</f>
        <v/>
      </c>
      <c r="I246" s="8">
        <f>IF(COUNTBLANK(C246:E246)+COUNTBLANK(F246)=0,1,0)</f>
        <v/>
      </c>
      <c r="J246" s="8">
        <f>IF(COUNTBLANK(C246:E246)+COUNTBLANK(G246)=0,1,0)</f>
        <v/>
      </c>
      <c r="K246" s="8">
        <f>IF(COUNTBLANK(C246:E246)+COUNTBLANK(H246)=0,1,0)</f>
        <v/>
      </c>
    </row>
    <row r="247">
      <c r="A247" s="8" t="inlineStr">
        <is>
          <t>Nicaragua</t>
        </is>
      </c>
      <c r="B247" s="8" t="n">
        <v>2002</v>
      </c>
      <c r="C247" s="18">
        <f>IF(Categorias!C248="","",Categorias!C248/(N(Categorias!C248)+N(Categorias!D248)+N(Categorias!E248)))</f>
        <v/>
      </c>
      <c r="D247" s="18">
        <f>IF(Categorias!H248="","",Categorias!H248/(N(Categorias!H248)+N(Categorias!I248)))</f>
        <v/>
      </c>
      <c r="E247" s="17">
        <f>IFERROR(IF(INDEX(Gini!$C$2:$C$377,MATCH($A247&amp;"|"&amp;$B247,Gini!$E$2:$E$377,0))="","",INDEX(Gini!$C$2:$C$377,MATCH($A247&amp;"|"&amp;$B247,Gini!$E$2:$E$377,0))),"")</f>
        <v/>
      </c>
      <c r="F247" s="19">
        <f>IFERROR(IF(INDEX(Corrupcion!$E$2:$E$377,MATCH($A247&amp;"|"&amp;$B247,Corrupcion!$H$2:$H$377,0))="","",INDEX(Corrupcion!$E$2:$E$377,MATCH($A247&amp;"|"&amp;$B247,Corrupcion!$H$2:$H$377,0))),"")</f>
        <v/>
      </c>
      <c r="G247" s="20">
        <f>IFERROR(IF(INDEX(Corrupcion!$F$2:$F$377,MATCH($A247&amp;"|"&amp;$B247,Corrupcion!$H$2:$H$377,0))="","",INDEX(Corrupcion!$F$2:$F$377,MATCH($A247&amp;"|"&amp;$B247,Corrupcion!$H$2:$H$377,0))),"")</f>
        <v/>
      </c>
      <c r="H247" s="17">
        <f>IFERROR(IF(INDEX(Corrupcion!$G$2:$G$377,MATCH($A247&amp;"|"&amp;$B247,Corrupcion!$H$2:$H$377,0))="","",INDEX(Corrupcion!$G$2:$G$377,MATCH($A247&amp;"|"&amp;$B247,Corrupcion!$H$2:$H$377,0))),"")</f>
        <v/>
      </c>
      <c r="I247" s="8">
        <f>IF(COUNTBLANK(C247:E247)+COUNTBLANK(F247)=0,1,0)</f>
        <v/>
      </c>
      <c r="J247" s="8">
        <f>IF(COUNTBLANK(C247:E247)+COUNTBLANK(G247)=0,1,0)</f>
        <v/>
      </c>
      <c r="K247" s="8">
        <f>IF(COUNTBLANK(C247:E247)+COUNTBLANK(H247)=0,1,0)</f>
        <v/>
      </c>
    </row>
    <row r="248">
      <c r="A248" s="8" t="inlineStr">
        <is>
          <t>Nicaragua</t>
        </is>
      </c>
      <c r="B248" s="8" t="n">
        <v>2003</v>
      </c>
      <c r="C248" s="18">
        <f>IF(Categorias!C249="","",Categorias!C249/(N(Categorias!C249)+N(Categorias!D249)+N(Categorias!E249)))</f>
        <v/>
      </c>
      <c r="D248" s="18">
        <f>IF(Categorias!H249="","",Categorias!H249/(N(Categorias!H249)+N(Categorias!I249)))</f>
        <v/>
      </c>
      <c r="E248" s="17">
        <f>IFERROR(IF(INDEX(Gini!$C$2:$C$377,MATCH($A248&amp;"|"&amp;$B248,Gini!$E$2:$E$377,0))="","",INDEX(Gini!$C$2:$C$377,MATCH($A248&amp;"|"&amp;$B248,Gini!$E$2:$E$377,0))),"")</f>
        <v/>
      </c>
      <c r="F248" s="19">
        <f>IFERROR(IF(INDEX(Corrupcion!$E$2:$E$377,MATCH($A248&amp;"|"&amp;$B248,Corrupcion!$H$2:$H$377,0))="","",INDEX(Corrupcion!$E$2:$E$377,MATCH($A248&amp;"|"&amp;$B248,Corrupcion!$H$2:$H$377,0))),"")</f>
        <v/>
      </c>
      <c r="G248" s="20">
        <f>IFERROR(IF(INDEX(Corrupcion!$F$2:$F$377,MATCH($A248&amp;"|"&amp;$B248,Corrupcion!$H$2:$H$377,0))="","",INDEX(Corrupcion!$F$2:$F$377,MATCH($A248&amp;"|"&amp;$B248,Corrupcion!$H$2:$H$377,0))),"")</f>
        <v/>
      </c>
      <c r="H248" s="17">
        <f>IFERROR(IF(INDEX(Corrupcion!$G$2:$G$377,MATCH($A248&amp;"|"&amp;$B248,Corrupcion!$H$2:$H$377,0))="","",INDEX(Corrupcion!$G$2:$G$377,MATCH($A248&amp;"|"&amp;$B248,Corrupcion!$H$2:$H$377,0))),"")</f>
        <v/>
      </c>
      <c r="I248" s="8">
        <f>IF(COUNTBLANK(C248:E248)+COUNTBLANK(F248)=0,1,0)</f>
        <v/>
      </c>
      <c r="J248" s="8">
        <f>IF(COUNTBLANK(C248:E248)+COUNTBLANK(G248)=0,1,0)</f>
        <v/>
      </c>
      <c r="K248" s="8">
        <f>IF(COUNTBLANK(C248:E248)+COUNTBLANK(H248)=0,1,0)</f>
        <v/>
      </c>
    </row>
    <row r="249">
      <c r="A249" s="8" t="inlineStr">
        <is>
          <t>Nicaragua</t>
        </is>
      </c>
      <c r="B249" s="8" t="n">
        <v>2004</v>
      </c>
      <c r="C249" s="18">
        <f>IF(Categorias!C250="","",Categorias!C250/(N(Categorias!C250)+N(Categorias!D250)+N(Categorias!E250)))</f>
        <v/>
      </c>
      <c r="D249" s="18">
        <f>IF(Categorias!H250="","",Categorias!H250/(N(Categorias!H250)+N(Categorias!I250)))</f>
        <v/>
      </c>
      <c r="E249" s="17">
        <f>IFERROR(IF(INDEX(Gini!$C$2:$C$377,MATCH($A249&amp;"|"&amp;$B249,Gini!$E$2:$E$377,0))="","",INDEX(Gini!$C$2:$C$377,MATCH($A249&amp;"|"&amp;$B249,Gini!$E$2:$E$377,0))),"")</f>
        <v/>
      </c>
      <c r="F249" s="19">
        <f>IFERROR(IF(INDEX(Corrupcion!$E$2:$E$377,MATCH($A249&amp;"|"&amp;$B249,Corrupcion!$H$2:$H$377,0))="","",INDEX(Corrupcion!$E$2:$E$377,MATCH($A249&amp;"|"&amp;$B249,Corrupcion!$H$2:$H$377,0))),"")</f>
        <v/>
      </c>
      <c r="G249" s="20">
        <f>IFERROR(IF(INDEX(Corrupcion!$F$2:$F$377,MATCH($A249&amp;"|"&amp;$B249,Corrupcion!$H$2:$H$377,0))="","",INDEX(Corrupcion!$F$2:$F$377,MATCH($A249&amp;"|"&amp;$B249,Corrupcion!$H$2:$H$377,0))),"")</f>
        <v/>
      </c>
      <c r="H249" s="17">
        <f>IFERROR(IF(INDEX(Corrupcion!$G$2:$G$377,MATCH($A249&amp;"|"&amp;$B249,Corrupcion!$H$2:$H$377,0))="","",INDEX(Corrupcion!$G$2:$G$377,MATCH($A249&amp;"|"&amp;$B249,Corrupcion!$H$2:$H$377,0))),"")</f>
        <v/>
      </c>
      <c r="I249" s="8">
        <f>IF(COUNTBLANK(C249:E249)+COUNTBLANK(F249)=0,1,0)</f>
        <v/>
      </c>
      <c r="J249" s="8">
        <f>IF(COUNTBLANK(C249:E249)+COUNTBLANK(G249)=0,1,0)</f>
        <v/>
      </c>
      <c r="K249" s="8">
        <f>IF(COUNTBLANK(C249:E249)+COUNTBLANK(H249)=0,1,0)</f>
        <v/>
      </c>
    </row>
    <row r="250">
      <c r="A250" s="8" t="inlineStr">
        <is>
          <t>Nicaragua</t>
        </is>
      </c>
      <c r="B250" s="8" t="n">
        <v>2005</v>
      </c>
      <c r="C250" s="18">
        <f>IF(Categorias!C251="","",Categorias!C251/(N(Categorias!C251)+N(Categorias!D251)+N(Categorias!E251)))</f>
        <v/>
      </c>
      <c r="D250" s="18">
        <f>IF(Categorias!H251="","",Categorias!H251/(N(Categorias!H251)+N(Categorias!I251)))</f>
        <v/>
      </c>
      <c r="E250" s="17">
        <f>IFERROR(IF(INDEX(Gini!$C$2:$C$377,MATCH($A250&amp;"|"&amp;$B250,Gini!$E$2:$E$377,0))="","",INDEX(Gini!$C$2:$C$377,MATCH($A250&amp;"|"&amp;$B250,Gini!$E$2:$E$377,0))),"")</f>
        <v/>
      </c>
      <c r="F250" s="19">
        <f>IFERROR(IF(INDEX(Corrupcion!$E$2:$E$377,MATCH($A250&amp;"|"&amp;$B250,Corrupcion!$H$2:$H$377,0))="","",INDEX(Corrupcion!$E$2:$E$377,MATCH($A250&amp;"|"&amp;$B250,Corrupcion!$H$2:$H$377,0))),"")</f>
        <v/>
      </c>
      <c r="G250" s="20">
        <f>IFERROR(IF(INDEX(Corrupcion!$F$2:$F$377,MATCH($A250&amp;"|"&amp;$B250,Corrupcion!$H$2:$H$377,0))="","",INDEX(Corrupcion!$F$2:$F$377,MATCH($A250&amp;"|"&amp;$B250,Corrupcion!$H$2:$H$377,0))),"")</f>
        <v/>
      </c>
      <c r="H250" s="17">
        <f>IFERROR(IF(INDEX(Corrupcion!$G$2:$G$377,MATCH($A250&amp;"|"&amp;$B250,Corrupcion!$H$2:$H$377,0))="","",INDEX(Corrupcion!$G$2:$G$377,MATCH($A250&amp;"|"&amp;$B250,Corrupcion!$H$2:$H$377,0))),"")</f>
        <v/>
      </c>
      <c r="I250" s="8">
        <f>IF(COUNTBLANK(C250:E250)+COUNTBLANK(F250)=0,1,0)</f>
        <v/>
      </c>
      <c r="J250" s="8">
        <f>IF(COUNTBLANK(C250:E250)+COUNTBLANK(G250)=0,1,0)</f>
        <v/>
      </c>
      <c r="K250" s="8">
        <f>IF(COUNTBLANK(C250:E250)+COUNTBLANK(H250)=0,1,0)</f>
        <v/>
      </c>
    </row>
    <row r="251">
      <c r="A251" s="8" t="inlineStr">
        <is>
          <t>Nicaragua</t>
        </is>
      </c>
      <c r="B251" s="8" t="n">
        <v>2006</v>
      </c>
      <c r="C251" s="18">
        <f>IF(Categorias!C252="","",Categorias!C252/(N(Categorias!C252)+N(Categorias!D252)+N(Categorias!E252)))</f>
        <v/>
      </c>
      <c r="D251" s="18">
        <f>IF(Categorias!H252="","",Categorias!H252/(N(Categorias!H252)+N(Categorias!I252)))</f>
        <v/>
      </c>
      <c r="E251" s="17">
        <f>IFERROR(IF(INDEX(Gini!$C$2:$C$377,MATCH($A251&amp;"|"&amp;$B251,Gini!$E$2:$E$377,0))="","",INDEX(Gini!$C$2:$C$377,MATCH($A251&amp;"|"&amp;$B251,Gini!$E$2:$E$377,0))),"")</f>
        <v/>
      </c>
      <c r="F251" s="19">
        <f>IFERROR(IF(INDEX(Corrupcion!$E$2:$E$377,MATCH($A251&amp;"|"&amp;$B251,Corrupcion!$H$2:$H$377,0))="","",INDEX(Corrupcion!$E$2:$E$377,MATCH($A251&amp;"|"&amp;$B251,Corrupcion!$H$2:$H$377,0))),"")</f>
        <v/>
      </c>
      <c r="G251" s="20">
        <f>IFERROR(IF(INDEX(Corrupcion!$F$2:$F$377,MATCH($A251&amp;"|"&amp;$B251,Corrupcion!$H$2:$H$377,0))="","",INDEX(Corrupcion!$F$2:$F$377,MATCH($A251&amp;"|"&amp;$B251,Corrupcion!$H$2:$H$377,0))),"")</f>
        <v/>
      </c>
      <c r="H251" s="17">
        <f>IFERROR(IF(INDEX(Corrupcion!$G$2:$G$377,MATCH($A251&amp;"|"&amp;$B251,Corrupcion!$H$2:$H$377,0))="","",INDEX(Corrupcion!$G$2:$G$377,MATCH($A251&amp;"|"&amp;$B251,Corrupcion!$H$2:$H$377,0))),"")</f>
        <v/>
      </c>
      <c r="I251" s="8">
        <f>IF(COUNTBLANK(C251:E251)+COUNTBLANK(F251)=0,1,0)</f>
        <v/>
      </c>
      <c r="J251" s="8">
        <f>IF(COUNTBLANK(C251:E251)+COUNTBLANK(G251)=0,1,0)</f>
        <v/>
      </c>
      <c r="K251" s="8">
        <f>IF(COUNTBLANK(C251:E251)+COUNTBLANK(H251)=0,1,0)</f>
        <v/>
      </c>
    </row>
    <row r="252">
      <c r="A252" s="8" t="inlineStr">
        <is>
          <t>Nicaragua</t>
        </is>
      </c>
      <c r="B252" s="8" t="n">
        <v>2007</v>
      </c>
      <c r="C252" s="18">
        <f>IF(Categorias!C253="","",Categorias!C253/(N(Categorias!C253)+N(Categorias!D253)+N(Categorias!E253)))</f>
        <v/>
      </c>
      <c r="D252" s="18">
        <f>IF(Categorias!H253="","",Categorias!H253/(N(Categorias!H253)+N(Categorias!I253)))</f>
        <v/>
      </c>
      <c r="E252" s="17">
        <f>IFERROR(IF(INDEX(Gini!$C$2:$C$377,MATCH($A252&amp;"|"&amp;$B252,Gini!$E$2:$E$377,0))="","",INDEX(Gini!$C$2:$C$377,MATCH($A252&amp;"|"&amp;$B252,Gini!$E$2:$E$377,0))),"")</f>
        <v/>
      </c>
      <c r="F252" s="19">
        <f>IFERROR(IF(INDEX(Corrupcion!$E$2:$E$377,MATCH($A252&amp;"|"&amp;$B252,Corrupcion!$H$2:$H$377,0))="","",INDEX(Corrupcion!$E$2:$E$377,MATCH($A252&amp;"|"&amp;$B252,Corrupcion!$H$2:$H$377,0))),"")</f>
        <v/>
      </c>
      <c r="G252" s="20">
        <f>IFERROR(IF(INDEX(Corrupcion!$F$2:$F$377,MATCH($A252&amp;"|"&amp;$B252,Corrupcion!$H$2:$H$377,0))="","",INDEX(Corrupcion!$F$2:$F$377,MATCH($A252&amp;"|"&amp;$B252,Corrupcion!$H$2:$H$377,0))),"")</f>
        <v/>
      </c>
      <c r="H252" s="17">
        <f>IFERROR(IF(INDEX(Corrupcion!$G$2:$G$377,MATCH($A252&amp;"|"&amp;$B252,Corrupcion!$H$2:$H$377,0))="","",INDEX(Corrupcion!$G$2:$G$377,MATCH($A252&amp;"|"&amp;$B252,Corrupcion!$H$2:$H$377,0))),"")</f>
        <v/>
      </c>
      <c r="I252" s="8">
        <f>IF(COUNTBLANK(C252:E252)+COUNTBLANK(F252)=0,1,0)</f>
        <v/>
      </c>
      <c r="J252" s="8">
        <f>IF(COUNTBLANK(C252:E252)+COUNTBLANK(G252)=0,1,0)</f>
        <v/>
      </c>
      <c r="K252" s="8">
        <f>IF(COUNTBLANK(C252:E252)+COUNTBLANK(H252)=0,1,0)</f>
        <v/>
      </c>
    </row>
    <row r="253">
      <c r="A253" s="8" t="inlineStr">
        <is>
          <t>Nicaragua</t>
        </is>
      </c>
      <c r="B253" s="8" t="n">
        <v>2008</v>
      </c>
      <c r="C253" s="18">
        <f>IF(Categorias!C254="","",Categorias!C254/(N(Categorias!C254)+N(Categorias!D254)+N(Categorias!E254)))</f>
        <v/>
      </c>
      <c r="D253" s="18">
        <f>IF(Categorias!H254="","",Categorias!H254/(N(Categorias!H254)+N(Categorias!I254)))</f>
        <v/>
      </c>
      <c r="E253" s="17">
        <f>IFERROR(IF(INDEX(Gini!$C$2:$C$377,MATCH($A253&amp;"|"&amp;$B253,Gini!$E$2:$E$377,0))="","",INDEX(Gini!$C$2:$C$377,MATCH($A253&amp;"|"&amp;$B253,Gini!$E$2:$E$377,0))),"")</f>
        <v/>
      </c>
      <c r="F253" s="19">
        <f>IFERROR(IF(INDEX(Corrupcion!$E$2:$E$377,MATCH($A253&amp;"|"&amp;$B253,Corrupcion!$H$2:$H$377,0))="","",INDEX(Corrupcion!$E$2:$E$377,MATCH($A253&amp;"|"&amp;$B253,Corrupcion!$H$2:$H$377,0))),"")</f>
        <v/>
      </c>
      <c r="G253" s="20">
        <f>IFERROR(IF(INDEX(Corrupcion!$F$2:$F$377,MATCH($A253&amp;"|"&amp;$B253,Corrupcion!$H$2:$H$377,0))="","",INDEX(Corrupcion!$F$2:$F$377,MATCH($A253&amp;"|"&amp;$B253,Corrupcion!$H$2:$H$377,0))),"")</f>
        <v/>
      </c>
      <c r="H253" s="17">
        <f>IFERROR(IF(INDEX(Corrupcion!$G$2:$G$377,MATCH($A253&amp;"|"&amp;$B253,Corrupcion!$H$2:$H$377,0))="","",INDEX(Corrupcion!$G$2:$G$377,MATCH($A253&amp;"|"&amp;$B253,Corrupcion!$H$2:$H$377,0))),"")</f>
        <v/>
      </c>
      <c r="I253" s="8">
        <f>IF(COUNTBLANK(C253:E253)+COUNTBLANK(F253)=0,1,0)</f>
        <v/>
      </c>
      <c r="J253" s="8">
        <f>IF(COUNTBLANK(C253:E253)+COUNTBLANK(G253)=0,1,0)</f>
        <v/>
      </c>
      <c r="K253" s="8">
        <f>IF(COUNTBLANK(C253:E253)+COUNTBLANK(H253)=0,1,0)</f>
        <v/>
      </c>
    </row>
    <row r="254">
      <c r="A254" s="8" t="inlineStr">
        <is>
          <t>Nicaragua</t>
        </is>
      </c>
      <c r="B254" s="8" t="n">
        <v>2009</v>
      </c>
      <c r="C254" s="18">
        <f>IF(Categorias!C255="","",Categorias!C255/(N(Categorias!C255)+N(Categorias!D255)+N(Categorias!E255)))</f>
        <v/>
      </c>
      <c r="D254" s="18">
        <f>IF(Categorias!H255="","",Categorias!H255/(N(Categorias!H255)+N(Categorias!I255)))</f>
        <v/>
      </c>
      <c r="E254" s="17">
        <f>IFERROR(IF(INDEX(Gini!$C$2:$C$377,MATCH($A254&amp;"|"&amp;$B254,Gini!$E$2:$E$377,0))="","",INDEX(Gini!$C$2:$C$377,MATCH($A254&amp;"|"&amp;$B254,Gini!$E$2:$E$377,0))),"")</f>
        <v/>
      </c>
      <c r="F254" s="19">
        <f>IFERROR(IF(INDEX(Corrupcion!$E$2:$E$377,MATCH($A254&amp;"|"&amp;$B254,Corrupcion!$H$2:$H$377,0))="","",INDEX(Corrupcion!$E$2:$E$377,MATCH($A254&amp;"|"&amp;$B254,Corrupcion!$H$2:$H$377,0))),"")</f>
        <v/>
      </c>
      <c r="G254" s="20">
        <f>IFERROR(IF(INDEX(Corrupcion!$F$2:$F$377,MATCH($A254&amp;"|"&amp;$B254,Corrupcion!$H$2:$H$377,0))="","",INDEX(Corrupcion!$F$2:$F$377,MATCH($A254&amp;"|"&amp;$B254,Corrupcion!$H$2:$H$377,0))),"")</f>
        <v/>
      </c>
      <c r="H254" s="17">
        <f>IFERROR(IF(INDEX(Corrupcion!$G$2:$G$377,MATCH($A254&amp;"|"&amp;$B254,Corrupcion!$H$2:$H$377,0))="","",INDEX(Corrupcion!$G$2:$G$377,MATCH($A254&amp;"|"&amp;$B254,Corrupcion!$H$2:$H$377,0))),"")</f>
        <v/>
      </c>
      <c r="I254" s="8">
        <f>IF(COUNTBLANK(C254:E254)+COUNTBLANK(F254)=0,1,0)</f>
        <v/>
      </c>
      <c r="J254" s="8">
        <f>IF(COUNTBLANK(C254:E254)+COUNTBLANK(G254)=0,1,0)</f>
        <v/>
      </c>
      <c r="K254" s="8">
        <f>IF(COUNTBLANK(C254:E254)+COUNTBLANK(H254)=0,1,0)</f>
        <v/>
      </c>
    </row>
    <row r="255">
      <c r="A255" s="8" t="inlineStr">
        <is>
          <t>Nicaragua</t>
        </is>
      </c>
      <c r="B255" s="8" t="n">
        <v>2010</v>
      </c>
      <c r="C255" s="18">
        <f>IF(Categorias!C256="","",Categorias!C256/(N(Categorias!C256)+N(Categorias!D256)+N(Categorias!E256)))</f>
        <v/>
      </c>
      <c r="D255" s="18">
        <f>IF(Categorias!H256="","",Categorias!H256/(N(Categorias!H256)+N(Categorias!I256)))</f>
        <v/>
      </c>
      <c r="E255" s="17">
        <f>IFERROR(IF(INDEX(Gini!$C$2:$C$377,MATCH($A255&amp;"|"&amp;$B255,Gini!$E$2:$E$377,0))="","",INDEX(Gini!$C$2:$C$377,MATCH($A255&amp;"|"&amp;$B255,Gini!$E$2:$E$377,0))),"")</f>
        <v/>
      </c>
      <c r="F255" s="19">
        <f>IFERROR(IF(INDEX(Corrupcion!$E$2:$E$377,MATCH($A255&amp;"|"&amp;$B255,Corrupcion!$H$2:$H$377,0))="","",INDEX(Corrupcion!$E$2:$E$377,MATCH($A255&amp;"|"&amp;$B255,Corrupcion!$H$2:$H$377,0))),"")</f>
        <v/>
      </c>
      <c r="G255" s="20">
        <f>IFERROR(IF(INDEX(Corrupcion!$F$2:$F$377,MATCH($A255&amp;"|"&amp;$B255,Corrupcion!$H$2:$H$377,0))="","",INDEX(Corrupcion!$F$2:$F$377,MATCH($A255&amp;"|"&amp;$B255,Corrupcion!$H$2:$H$377,0))),"")</f>
        <v/>
      </c>
      <c r="H255" s="17">
        <f>IFERROR(IF(INDEX(Corrupcion!$G$2:$G$377,MATCH($A255&amp;"|"&amp;$B255,Corrupcion!$H$2:$H$377,0))="","",INDEX(Corrupcion!$G$2:$G$377,MATCH($A255&amp;"|"&amp;$B255,Corrupcion!$H$2:$H$377,0))),"")</f>
        <v/>
      </c>
      <c r="I255" s="8">
        <f>IF(COUNTBLANK(C255:E255)+COUNTBLANK(F255)=0,1,0)</f>
        <v/>
      </c>
      <c r="J255" s="8">
        <f>IF(COUNTBLANK(C255:E255)+COUNTBLANK(G255)=0,1,0)</f>
        <v/>
      </c>
      <c r="K255" s="8">
        <f>IF(COUNTBLANK(C255:E255)+COUNTBLANK(H255)=0,1,0)</f>
        <v/>
      </c>
    </row>
    <row r="256">
      <c r="A256" s="8" t="inlineStr">
        <is>
          <t>Nicaragua</t>
        </is>
      </c>
      <c r="B256" s="8" t="n">
        <v>2011</v>
      </c>
      <c r="C256" s="18">
        <f>IF(Categorias!C257="","",Categorias!C257/(N(Categorias!C257)+N(Categorias!D257)+N(Categorias!E257)))</f>
        <v/>
      </c>
      <c r="D256" s="18">
        <f>IF(Categorias!H257="","",Categorias!H257/(N(Categorias!H257)+N(Categorias!I257)))</f>
        <v/>
      </c>
      <c r="E256" s="17">
        <f>IFERROR(IF(INDEX(Gini!$C$2:$C$377,MATCH($A256&amp;"|"&amp;$B256,Gini!$E$2:$E$377,0))="","",INDEX(Gini!$C$2:$C$377,MATCH($A256&amp;"|"&amp;$B256,Gini!$E$2:$E$377,0))),"")</f>
        <v/>
      </c>
      <c r="F256" s="19">
        <f>IFERROR(IF(INDEX(Corrupcion!$E$2:$E$377,MATCH($A256&amp;"|"&amp;$B256,Corrupcion!$H$2:$H$377,0))="","",INDEX(Corrupcion!$E$2:$E$377,MATCH($A256&amp;"|"&amp;$B256,Corrupcion!$H$2:$H$377,0))),"")</f>
        <v/>
      </c>
      <c r="G256" s="20">
        <f>IFERROR(IF(INDEX(Corrupcion!$F$2:$F$377,MATCH($A256&amp;"|"&amp;$B256,Corrupcion!$H$2:$H$377,0))="","",INDEX(Corrupcion!$F$2:$F$377,MATCH($A256&amp;"|"&amp;$B256,Corrupcion!$H$2:$H$377,0))),"")</f>
        <v/>
      </c>
      <c r="H256" s="17">
        <f>IFERROR(IF(INDEX(Corrupcion!$G$2:$G$377,MATCH($A256&amp;"|"&amp;$B256,Corrupcion!$H$2:$H$377,0))="","",INDEX(Corrupcion!$G$2:$G$377,MATCH($A256&amp;"|"&amp;$B256,Corrupcion!$H$2:$H$377,0))),"")</f>
        <v/>
      </c>
      <c r="I256" s="8">
        <f>IF(COUNTBLANK(C256:E256)+COUNTBLANK(F256)=0,1,0)</f>
        <v/>
      </c>
      <c r="J256" s="8">
        <f>IF(COUNTBLANK(C256:E256)+COUNTBLANK(G256)=0,1,0)</f>
        <v/>
      </c>
      <c r="K256" s="8">
        <f>IF(COUNTBLANK(C256:E256)+COUNTBLANK(H256)=0,1,0)</f>
        <v/>
      </c>
    </row>
    <row r="257">
      <c r="A257" s="8" t="inlineStr">
        <is>
          <t>Nicaragua</t>
        </is>
      </c>
      <c r="B257" s="8" t="n">
        <v>2016</v>
      </c>
      <c r="C257" s="18">
        <f>IF(Categorias!C258="","",Categorias!C258/(N(Categorias!C258)+N(Categorias!D258)+N(Categorias!E258)))</f>
        <v/>
      </c>
      <c r="D257" s="18">
        <f>IF(Categorias!H258="","",Categorias!H258/(N(Categorias!H258)+N(Categorias!I258)))</f>
        <v/>
      </c>
      <c r="E257" s="17">
        <f>IFERROR(IF(INDEX(Gini!$C$2:$C$377,MATCH($A257&amp;"|"&amp;$B257,Gini!$E$2:$E$377,0))="","",INDEX(Gini!$C$2:$C$377,MATCH($A257&amp;"|"&amp;$B257,Gini!$E$2:$E$377,0))),"")</f>
        <v/>
      </c>
      <c r="F257" s="19">
        <f>IFERROR(IF(INDEX(Corrupcion!$E$2:$E$377,MATCH($A257&amp;"|"&amp;$B257,Corrupcion!$H$2:$H$377,0))="","",INDEX(Corrupcion!$E$2:$E$377,MATCH($A257&amp;"|"&amp;$B257,Corrupcion!$H$2:$H$377,0))),"")</f>
        <v/>
      </c>
      <c r="G257" s="20">
        <f>IFERROR(IF(INDEX(Corrupcion!$F$2:$F$377,MATCH($A257&amp;"|"&amp;$B257,Corrupcion!$H$2:$H$377,0))="","",INDEX(Corrupcion!$F$2:$F$377,MATCH($A257&amp;"|"&amp;$B257,Corrupcion!$H$2:$H$377,0))),"")</f>
        <v/>
      </c>
      <c r="H257" s="17">
        <f>IFERROR(IF(INDEX(Corrupcion!$G$2:$G$377,MATCH($A257&amp;"|"&amp;$B257,Corrupcion!$H$2:$H$377,0))="","",INDEX(Corrupcion!$G$2:$G$377,MATCH($A257&amp;"|"&amp;$B257,Corrupcion!$H$2:$H$377,0))),"")</f>
        <v/>
      </c>
      <c r="I257" s="8">
        <f>IF(COUNTBLANK(C257:E257)+COUNTBLANK(F257)=0,1,0)</f>
        <v/>
      </c>
      <c r="J257" s="8">
        <f>IF(COUNTBLANK(C257:E257)+COUNTBLANK(G257)=0,1,0)</f>
        <v/>
      </c>
      <c r="K257" s="8">
        <f>IF(COUNTBLANK(C257:E257)+COUNTBLANK(H257)=0,1,0)</f>
        <v/>
      </c>
    </row>
    <row r="258">
      <c r="A258" s="8" t="inlineStr">
        <is>
          <t>Nicaragua</t>
        </is>
      </c>
      <c r="B258" s="8" t="n">
        <v>2017</v>
      </c>
      <c r="C258" s="18">
        <f>IF(Categorias!C259="","",Categorias!C259/(N(Categorias!C259)+N(Categorias!D259)+N(Categorias!E259)))</f>
        <v/>
      </c>
      <c r="D258" s="18">
        <f>IF(Categorias!H259="","",Categorias!H259/(N(Categorias!H259)+N(Categorias!I259)))</f>
        <v/>
      </c>
      <c r="E258" s="17">
        <f>IFERROR(IF(INDEX(Gini!$C$2:$C$377,MATCH($A258&amp;"|"&amp;$B258,Gini!$E$2:$E$377,0))="","",INDEX(Gini!$C$2:$C$377,MATCH($A258&amp;"|"&amp;$B258,Gini!$E$2:$E$377,0))),"")</f>
        <v/>
      </c>
      <c r="F258" s="19">
        <f>IFERROR(IF(INDEX(Corrupcion!$E$2:$E$377,MATCH($A258&amp;"|"&amp;$B258,Corrupcion!$H$2:$H$377,0))="","",INDEX(Corrupcion!$E$2:$E$377,MATCH($A258&amp;"|"&amp;$B258,Corrupcion!$H$2:$H$377,0))),"")</f>
        <v/>
      </c>
      <c r="G258" s="20">
        <f>IFERROR(IF(INDEX(Corrupcion!$F$2:$F$377,MATCH($A258&amp;"|"&amp;$B258,Corrupcion!$H$2:$H$377,0))="","",INDEX(Corrupcion!$F$2:$F$377,MATCH($A258&amp;"|"&amp;$B258,Corrupcion!$H$2:$H$377,0))),"")</f>
        <v/>
      </c>
      <c r="H258" s="17">
        <f>IFERROR(IF(INDEX(Corrupcion!$G$2:$G$377,MATCH($A258&amp;"|"&amp;$B258,Corrupcion!$H$2:$H$377,0))="","",INDEX(Corrupcion!$G$2:$G$377,MATCH($A258&amp;"|"&amp;$B258,Corrupcion!$H$2:$H$377,0))),"")</f>
        <v/>
      </c>
      <c r="I258" s="8">
        <f>IF(COUNTBLANK(C258:E258)+COUNTBLANK(F258)=0,1,0)</f>
        <v/>
      </c>
      <c r="J258" s="8">
        <f>IF(COUNTBLANK(C258:E258)+COUNTBLANK(G258)=0,1,0)</f>
        <v/>
      </c>
      <c r="K258" s="8">
        <f>IF(COUNTBLANK(C258:E258)+COUNTBLANK(H258)=0,1,0)</f>
        <v/>
      </c>
    </row>
    <row r="259">
      <c r="A259" s="8" t="inlineStr">
        <is>
          <t>Nicaragua</t>
        </is>
      </c>
      <c r="B259" s="8" t="n">
        <v>2018</v>
      </c>
      <c r="C259" s="18">
        <f>IF(Categorias!C260="","",Categorias!C260/(N(Categorias!C260)+N(Categorias!D260)+N(Categorias!E260)))</f>
        <v/>
      </c>
      <c r="D259" s="18">
        <f>IF(Categorias!H260="","",Categorias!H260/(N(Categorias!H260)+N(Categorias!I260)))</f>
        <v/>
      </c>
      <c r="E259" s="17">
        <f>IFERROR(IF(INDEX(Gini!$C$2:$C$377,MATCH($A259&amp;"|"&amp;$B259,Gini!$E$2:$E$377,0))="","",INDEX(Gini!$C$2:$C$377,MATCH($A259&amp;"|"&amp;$B259,Gini!$E$2:$E$377,0))),"")</f>
        <v/>
      </c>
      <c r="F259" s="19">
        <f>IFERROR(IF(INDEX(Corrupcion!$E$2:$E$377,MATCH($A259&amp;"|"&amp;$B259,Corrupcion!$H$2:$H$377,0))="","",INDEX(Corrupcion!$E$2:$E$377,MATCH($A259&amp;"|"&amp;$B259,Corrupcion!$H$2:$H$377,0))),"")</f>
        <v/>
      </c>
      <c r="G259" s="20">
        <f>IFERROR(IF(INDEX(Corrupcion!$F$2:$F$377,MATCH($A259&amp;"|"&amp;$B259,Corrupcion!$H$2:$H$377,0))="","",INDEX(Corrupcion!$F$2:$F$377,MATCH($A259&amp;"|"&amp;$B259,Corrupcion!$H$2:$H$377,0))),"")</f>
        <v/>
      </c>
      <c r="H259" s="17">
        <f>IFERROR(IF(INDEX(Corrupcion!$G$2:$G$377,MATCH($A259&amp;"|"&amp;$B259,Corrupcion!$H$2:$H$377,0))="","",INDEX(Corrupcion!$G$2:$G$377,MATCH($A259&amp;"|"&amp;$B259,Corrupcion!$H$2:$H$377,0))),"")</f>
        <v/>
      </c>
      <c r="I259" s="8">
        <f>IF(COUNTBLANK(C259:E259)+COUNTBLANK(F259)=0,1,0)</f>
        <v/>
      </c>
      <c r="J259" s="8">
        <f>IF(COUNTBLANK(C259:E259)+COUNTBLANK(G259)=0,1,0)</f>
        <v/>
      </c>
      <c r="K259" s="8">
        <f>IF(COUNTBLANK(C259:E259)+COUNTBLANK(H259)=0,1,0)</f>
        <v/>
      </c>
    </row>
    <row r="260">
      <c r="A260" s="8" t="inlineStr">
        <is>
          <t>Nicaragua</t>
        </is>
      </c>
      <c r="B260" s="8" t="n">
        <v>2020</v>
      </c>
      <c r="C260" s="18">
        <f>IF(Categorias!C261="","",Categorias!C261/(N(Categorias!C261)+N(Categorias!D261)+N(Categorias!E261)))</f>
        <v/>
      </c>
      <c r="D260" s="18">
        <f>IF(Categorias!H261="","",Categorias!H261/(N(Categorias!H261)+N(Categorias!I261)))</f>
        <v/>
      </c>
      <c r="E260" s="17">
        <f>IFERROR(IF(INDEX(Gini!$C$2:$C$377,MATCH($A260&amp;"|"&amp;$B260,Gini!$E$2:$E$377,0))="","",INDEX(Gini!$C$2:$C$377,MATCH($A260&amp;"|"&amp;$B260,Gini!$E$2:$E$377,0))),"")</f>
        <v/>
      </c>
      <c r="F260" s="19">
        <f>IFERROR(IF(INDEX(Corrupcion!$E$2:$E$377,MATCH($A260&amp;"|"&amp;$B260,Corrupcion!$H$2:$H$377,0))="","",INDEX(Corrupcion!$E$2:$E$377,MATCH($A260&amp;"|"&amp;$B260,Corrupcion!$H$2:$H$377,0))),"")</f>
        <v/>
      </c>
      <c r="G260" s="20">
        <f>IFERROR(IF(INDEX(Corrupcion!$F$2:$F$377,MATCH($A260&amp;"|"&amp;$B260,Corrupcion!$H$2:$H$377,0))="","",INDEX(Corrupcion!$F$2:$F$377,MATCH($A260&amp;"|"&amp;$B260,Corrupcion!$H$2:$H$377,0))),"")</f>
        <v/>
      </c>
      <c r="H260" s="17">
        <f>IFERROR(IF(INDEX(Corrupcion!$G$2:$G$377,MATCH($A260&amp;"|"&amp;$B260,Corrupcion!$H$2:$H$377,0))="","",INDEX(Corrupcion!$G$2:$G$377,MATCH($A260&amp;"|"&amp;$B260,Corrupcion!$H$2:$H$377,0))),"")</f>
        <v/>
      </c>
      <c r="I260" s="8">
        <f>IF(COUNTBLANK(C260:E260)+COUNTBLANK(F260)=0,1,0)</f>
        <v/>
      </c>
      <c r="J260" s="8">
        <f>IF(COUNTBLANK(C260:E260)+COUNTBLANK(G260)=0,1,0)</f>
        <v/>
      </c>
      <c r="K260" s="8">
        <f>IF(COUNTBLANK(C260:E260)+COUNTBLANK(H260)=0,1,0)</f>
        <v/>
      </c>
    </row>
    <row r="261">
      <c r="A261" s="8" t="inlineStr">
        <is>
          <t>Panamá</t>
        </is>
      </c>
      <c r="B261" s="8" t="n">
        <v>1996</v>
      </c>
      <c r="C261" s="18">
        <f>IF(Categorias!C262="","",Categorias!C262/(N(Categorias!C262)+N(Categorias!D262)+N(Categorias!E262)))</f>
        <v/>
      </c>
      <c r="D261" s="18">
        <f>IF(Categorias!H262="","",Categorias!H262/(N(Categorias!H262)+N(Categorias!I262)))</f>
        <v/>
      </c>
      <c r="E261" s="17">
        <f>IFERROR(IF(INDEX(Gini!$C$2:$C$377,MATCH($A261&amp;"|"&amp;$B261,Gini!$E$2:$E$377,0))="","",INDEX(Gini!$C$2:$C$377,MATCH($A261&amp;"|"&amp;$B261,Gini!$E$2:$E$377,0))),"")</f>
        <v/>
      </c>
      <c r="F261" s="19">
        <f>IFERROR(IF(INDEX(Corrupcion!$E$2:$E$377,MATCH($A261&amp;"|"&amp;$B261,Corrupcion!$H$2:$H$377,0))="","",INDEX(Corrupcion!$E$2:$E$377,MATCH($A261&amp;"|"&amp;$B261,Corrupcion!$H$2:$H$377,0))),"")</f>
        <v/>
      </c>
      <c r="G261" s="20">
        <f>IFERROR(IF(INDEX(Corrupcion!$F$2:$F$377,MATCH($A261&amp;"|"&amp;$B261,Corrupcion!$H$2:$H$377,0))="","",INDEX(Corrupcion!$F$2:$F$377,MATCH($A261&amp;"|"&amp;$B261,Corrupcion!$H$2:$H$377,0))),"")</f>
        <v/>
      </c>
      <c r="H261" s="17">
        <f>IFERROR(IF(INDEX(Corrupcion!$G$2:$G$377,MATCH($A261&amp;"|"&amp;$B261,Corrupcion!$H$2:$H$377,0))="","",INDEX(Corrupcion!$G$2:$G$377,MATCH($A261&amp;"|"&amp;$B261,Corrupcion!$H$2:$H$377,0))),"")</f>
        <v/>
      </c>
      <c r="I261" s="8">
        <f>IF(COUNTBLANK(C261:E261)+COUNTBLANK(F261)=0,1,0)</f>
        <v/>
      </c>
      <c r="J261" s="8">
        <f>IF(COUNTBLANK(C261:E261)+COUNTBLANK(G261)=0,1,0)</f>
        <v/>
      </c>
      <c r="K261" s="8">
        <f>IF(COUNTBLANK(C261:E261)+COUNTBLANK(H261)=0,1,0)</f>
        <v/>
      </c>
    </row>
    <row r="262">
      <c r="A262" s="8" t="inlineStr">
        <is>
          <t>Panamá</t>
        </is>
      </c>
      <c r="B262" s="8" t="n">
        <v>1997</v>
      </c>
      <c r="C262" s="18">
        <f>IF(Categorias!C263="","",Categorias!C263/(N(Categorias!C263)+N(Categorias!D263)+N(Categorias!E263)))</f>
        <v/>
      </c>
      <c r="D262" s="18">
        <f>IF(Categorias!H263="","",Categorias!H263/(N(Categorias!H263)+N(Categorias!I263)))</f>
        <v/>
      </c>
      <c r="E262" s="17">
        <f>IFERROR(IF(INDEX(Gini!$C$2:$C$377,MATCH($A262&amp;"|"&amp;$B262,Gini!$E$2:$E$377,0))="","",INDEX(Gini!$C$2:$C$377,MATCH($A262&amp;"|"&amp;$B262,Gini!$E$2:$E$377,0))),"")</f>
        <v/>
      </c>
      <c r="F262" s="19">
        <f>IFERROR(IF(INDEX(Corrupcion!$E$2:$E$377,MATCH($A262&amp;"|"&amp;$B262,Corrupcion!$H$2:$H$377,0))="","",INDEX(Corrupcion!$E$2:$E$377,MATCH($A262&amp;"|"&amp;$B262,Corrupcion!$H$2:$H$377,0))),"")</f>
        <v/>
      </c>
      <c r="G262" s="20">
        <f>IFERROR(IF(INDEX(Corrupcion!$F$2:$F$377,MATCH($A262&amp;"|"&amp;$B262,Corrupcion!$H$2:$H$377,0))="","",INDEX(Corrupcion!$F$2:$F$377,MATCH($A262&amp;"|"&amp;$B262,Corrupcion!$H$2:$H$377,0))),"")</f>
        <v/>
      </c>
      <c r="H262" s="17">
        <f>IFERROR(IF(INDEX(Corrupcion!$G$2:$G$377,MATCH($A262&amp;"|"&amp;$B262,Corrupcion!$H$2:$H$377,0))="","",INDEX(Corrupcion!$G$2:$G$377,MATCH($A262&amp;"|"&amp;$B262,Corrupcion!$H$2:$H$377,0))),"")</f>
        <v/>
      </c>
      <c r="I262" s="8">
        <f>IF(COUNTBLANK(C262:E262)+COUNTBLANK(F262)=0,1,0)</f>
        <v/>
      </c>
      <c r="J262" s="8">
        <f>IF(COUNTBLANK(C262:E262)+COUNTBLANK(G262)=0,1,0)</f>
        <v/>
      </c>
      <c r="K262" s="8">
        <f>IF(COUNTBLANK(C262:E262)+COUNTBLANK(H262)=0,1,0)</f>
        <v/>
      </c>
    </row>
    <row r="263">
      <c r="A263" s="8" t="inlineStr">
        <is>
          <t>Panamá</t>
        </is>
      </c>
      <c r="B263" s="8" t="n">
        <v>1998</v>
      </c>
      <c r="C263" s="18">
        <f>IF(Categorias!C264="","",Categorias!C264/(N(Categorias!C264)+N(Categorias!D264)+N(Categorias!E264)))</f>
        <v/>
      </c>
      <c r="D263" s="18">
        <f>IF(Categorias!H264="","",Categorias!H264/(N(Categorias!H264)+N(Categorias!I264)))</f>
        <v/>
      </c>
      <c r="E263" s="17">
        <f>IFERROR(IF(INDEX(Gini!$C$2:$C$377,MATCH($A263&amp;"|"&amp;$B263,Gini!$E$2:$E$377,0))="","",INDEX(Gini!$C$2:$C$377,MATCH($A263&amp;"|"&amp;$B263,Gini!$E$2:$E$377,0))),"")</f>
        <v/>
      </c>
      <c r="F263" s="19">
        <f>IFERROR(IF(INDEX(Corrupcion!$E$2:$E$377,MATCH($A263&amp;"|"&amp;$B263,Corrupcion!$H$2:$H$377,0))="","",INDEX(Corrupcion!$E$2:$E$377,MATCH($A263&amp;"|"&amp;$B263,Corrupcion!$H$2:$H$377,0))),"")</f>
        <v/>
      </c>
      <c r="G263" s="20">
        <f>IFERROR(IF(INDEX(Corrupcion!$F$2:$F$377,MATCH($A263&amp;"|"&amp;$B263,Corrupcion!$H$2:$H$377,0))="","",INDEX(Corrupcion!$F$2:$F$377,MATCH($A263&amp;"|"&amp;$B263,Corrupcion!$H$2:$H$377,0))),"")</f>
        <v/>
      </c>
      <c r="H263" s="17">
        <f>IFERROR(IF(INDEX(Corrupcion!$G$2:$G$377,MATCH($A263&amp;"|"&amp;$B263,Corrupcion!$H$2:$H$377,0))="","",INDEX(Corrupcion!$G$2:$G$377,MATCH($A263&amp;"|"&amp;$B263,Corrupcion!$H$2:$H$377,0))),"")</f>
        <v/>
      </c>
      <c r="I263" s="8">
        <f>IF(COUNTBLANK(C263:E263)+COUNTBLANK(F263)=0,1,0)</f>
        <v/>
      </c>
      <c r="J263" s="8">
        <f>IF(COUNTBLANK(C263:E263)+COUNTBLANK(G263)=0,1,0)</f>
        <v/>
      </c>
      <c r="K263" s="8">
        <f>IF(COUNTBLANK(C263:E263)+COUNTBLANK(H263)=0,1,0)</f>
        <v/>
      </c>
    </row>
    <row r="264">
      <c r="A264" s="8" t="inlineStr">
        <is>
          <t>Panamá</t>
        </is>
      </c>
      <c r="B264" s="8" t="n">
        <v>2000</v>
      </c>
      <c r="C264" s="18">
        <f>IF(Categorias!C265="","",Categorias!C265/(N(Categorias!C265)+N(Categorias!D265)+N(Categorias!E265)))</f>
        <v/>
      </c>
      <c r="D264" s="18">
        <f>IF(Categorias!H265="","",Categorias!H265/(N(Categorias!H265)+N(Categorias!I265)))</f>
        <v/>
      </c>
      <c r="E264" s="17">
        <f>IFERROR(IF(INDEX(Gini!$C$2:$C$377,MATCH($A264&amp;"|"&amp;$B264,Gini!$E$2:$E$377,0))="","",INDEX(Gini!$C$2:$C$377,MATCH($A264&amp;"|"&amp;$B264,Gini!$E$2:$E$377,0))),"")</f>
        <v/>
      </c>
      <c r="F264" s="19">
        <f>IFERROR(IF(INDEX(Corrupcion!$E$2:$E$377,MATCH($A264&amp;"|"&amp;$B264,Corrupcion!$H$2:$H$377,0))="","",INDEX(Corrupcion!$E$2:$E$377,MATCH($A264&amp;"|"&amp;$B264,Corrupcion!$H$2:$H$377,0))),"")</f>
        <v/>
      </c>
      <c r="G264" s="20">
        <f>IFERROR(IF(INDEX(Corrupcion!$F$2:$F$377,MATCH($A264&amp;"|"&amp;$B264,Corrupcion!$H$2:$H$377,0))="","",INDEX(Corrupcion!$F$2:$F$377,MATCH($A264&amp;"|"&amp;$B264,Corrupcion!$H$2:$H$377,0))),"")</f>
        <v/>
      </c>
      <c r="H264" s="17">
        <f>IFERROR(IF(INDEX(Corrupcion!$G$2:$G$377,MATCH($A264&amp;"|"&amp;$B264,Corrupcion!$H$2:$H$377,0))="","",INDEX(Corrupcion!$G$2:$G$377,MATCH($A264&amp;"|"&amp;$B264,Corrupcion!$H$2:$H$377,0))),"")</f>
        <v/>
      </c>
      <c r="I264" s="8">
        <f>IF(COUNTBLANK(C264:E264)+COUNTBLANK(F264)=0,1,0)</f>
        <v/>
      </c>
      <c r="J264" s="8">
        <f>IF(COUNTBLANK(C264:E264)+COUNTBLANK(G264)=0,1,0)</f>
        <v/>
      </c>
      <c r="K264" s="8">
        <f>IF(COUNTBLANK(C264:E264)+COUNTBLANK(H264)=0,1,0)</f>
        <v/>
      </c>
    </row>
    <row r="265">
      <c r="A265" s="8" t="inlineStr">
        <is>
          <t>Panamá</t>
        </is>
      </c>
      <c r="B265" s="8" t="n">
        <v>2001</v>
      </c>
      <c r="C265" s="18">
        <f>IF(Categorias!C266="","",Categorias!C266/(N(Categorias!C266)+N(Categorias!D266)+N(Categorias!E266)))</f>
        <v/>
      </c>
      <c r="D265" s="18">
        <f>IF(Categorias!H266="","",Categorias!H266/(N(Categorias!H266)+N(Categorias!I266)))</f>
        <v/>
      </c>
      <c r="E265" s="17">
        <f>IFERROR(IF(INDEX(Gini!$C$2:$C$377,MATCH($A265&amp;"|"&amp;$B265,Gini!$E$2:$E$377,0))="","",INDEX(Gini!$C$2:$C$377,MATCH($A265&amp;"|"&amp;$B265,Gini!$E$2:$E$377,0))),"")</f>
        <v/>
      </c>
      <c r="F265" s="19">
        <f>IFERROR(IF(INDEX(Corrupcion!$E$2:$E$377,MATCH($A265&amp;"|"&amp;$B265,Corrupcion!$H$2:$H$377,0))="","",INDEX(Corrupcion!$E$2:$E$377,MATCH($A265&amp;"|"&amp;$B265,Corrupcion!$H$2:$H$377,0))),"")</f>
        <v/>
      </c>
      <c r="G265" s="20">
        <f>IFERROR(IF(INDEX(Corrupcion!$F$2:$F$377,MATCH($A265&amp;"|"&amp;$B265,Corrupcion!$H$2:$H$377,0))="","",INDEX(Corrupcion!$F$2:$F$377,MATCH($A265&amp;"|"&amp;$B265,Corrupcion!$H$2:$H$377,0))),"")</f>
        <v/>
      </c>
      <c r="H265" s="17">
        <f>IFERROR(IF(INDEX(Corrupcion!$G$2:$G$377,MATCH($A265&amp;"|"&amp;$B265,Corrupcion!$H$2:$H$377,0))="","",INDEX(Corrupcion!$G$2:$G$377,MATCH($A265&amp;"|"&amp;$B265,Corrupcion!$H$2:$H$377,0))),"")</f>
        <v/>
      </c>
      <c r="I265" s="8">
        <f>IF(COUNTBLANK(C265:E265)+COUNTBLANK(F265)=0,1,0)</f>
        <v/>
      </c>
      <c r="J265" s="8">
        <f>IF(COUNTBLANK(C265:E265)+COUNTBLANK(G265)=0,1,0)</f>
        <v/>
      </c>
      <c r="K265" s="8">
        <f>IF(COUNTBLANK(C265:E265)+COUNTBLANK(H265)=0,1,0)</f>
        <v/>
      </c>
    </row>
    <row r="266">
      <c r="A266" s="8" t="inlineStr">
        <is>
          <t>Panamá</t>
        </is>
      </c>
      <c r="B266" s="8" t="n">
        <v>2002</v>
      </c>
      <c r="C266" s="18">
        <f>IF(Categorias!C267="","",Categorias!C267/(N(Categorias!C267)+N(Categorias!D267)+N(Categorias!E267)))</f>
        <v/>
      </c>
      <c r="D266" s="18">
        <f>IF(Categorias!H267="","",Categorias!H267/(N(Categorias!H267)+N(Categorias!I267)))</f>
        <v/>
      </c>
      <c r="E266" s="17">
        <f>IFERROR(IF(INDEX(Gini!$C$2:$C$377,MATCH($A266&amp;"|"&amp;$B266,Gini!$E$2:$E$377,0))="","",INDEX(Gini!$C$2:$C$377,MATCH($A266&amp;"|"&amp;$B266,Gini!$E$2:$E$377,0))),"")</f>
        <v/>
      </c>
      <c r="F266" s="19">
        <f>IFERROR(IF(INDEX(Corrupcion!$E$2:$E$377,MATCH($A266&amp;"|"&amp;$B266,Corrupcion!$H$2:$H$377,0))="","",INDEX(Corrupcion!$E$2:$E$377,MATCH($A266&amp;"|"&amp;$B266,Corrupcion!$H$2:$H$377,0))),"")</f>
        <v/>
      </c>
      <c r="G266" s="20">
        <f>IFERROR(IF(INDEX(Corrupcion!$F$2:$F$377,MATCH($A266&amp;"|"&amp;$B266,Corrupcion!$H$2:$H$377,0))="","",INDEX(Corrupcion!$F$2:$F$377,MATCH($A266&amp;"|"&amp;$B266,Corrupcion!$H$2:$H$377,0))),"")</f>
        <v/>
      </c>
      <c r="H266" s="17">
        <f>IFERROR(IF(INDEX(Corrupcion!$G$2:$G$377,MATCH($A266&amp;"|"&amp;$B266,Corrupcion!$H$2:$H$377,0))="","",INDEX(Corrupcion!$G$2:$G$377,MATCH($A266&amp;"|"&amp;$B266,Corrupcion!$H$2:$H$377,0))),"")</f>
        <v/>
      </c>
      <c r="I266" s="8">
        <f>IF(COUNTBLANK(C266:E266)+COUNTBLANK(F266)=0,1,0)</f>
        <v/>
      </c>
      <c r="J266" s="8">
        <f>IF(COUNTBLANK(C266:E266)+COUNTBLANK(G266)=0,1,0)</f>
        <v/>
      </c>
      <c r="K266" s="8">
        <f>IF(COUNTBLANK(C266:E266)+COUNTBLANK(H266)=0,1,0)</f>
        <v/>
      </c>
    </row>
    <row r="267">
      <c r="A267" s="8" t="inlineStr">
        <is>
          <t>Panamá</t>
        </is>
      </c>
      <c r="B267" s="8" t="n">
        <v>2003</v>
      </c>
      <c r="C267" s="18">
        <f>IF(Categorias!C268="","",Categorias!C268/(N(Categorias!C268)+N(Categorias!D268)+N(Categorias!E268)))</f>
        <v/>
      </c>
      <c r="D267" s="18">
        <f>IF(Categorias!H268="","",Categorias!H268/(N(Categorias!H268)+N(Categorias!I268)))</f>
        <v/>
      </c>
      <c r="E267" s="17">
        <f>IFERROR(IF(INDEX(Gini!$C$2:$C$377,MATCH($A267&amp;"|"&amp;$B267,Gini!$E$2:$E$377,0))="","",INDEX(Gini!$C$2:$C$377,MATCH($A267&amp;"|"&amp;$B267,Gini!$E$2:$E$377,0))),"")</f>
        <v/>
      </c>
      <c r="F267" s="19">
        <f>IFERROR(IF(INDEX(Corrupcion!$E$2:$E$377,MATCH($A267&amp;"|"&amp;$B267,Corrupcion!$H$2:$H$377,0))="","",INDEX(Corrupcion!$E$2:$E$377,MATCH($A267&amp;"|"&amp;$B267,Corrupcion!$H$2:$H$377,0))),"")</f>
        <v/>
      </c>
      <c r="G267" s="20">
        <f>IFERROR(IF(INDEX(Corrupcion!$F$2:$F$377,MATCH($A267&amp;"|"&amp;$B267,Corrupcion!$H$2:$H$377,0))="","",INDEX(Corrupcion!$F$2:$F$377,MATCH($A267&amp;"|"&amp;$B267,Corrupcion!$H$2:$H$377,0))),"")</f>
        <v/>
      </c>
      <c r="H267" s="17">
        <f>IFERROR(IF(INDEX(Corrupcion!$G$2:$G$377,MATCH($A267&amp;"|"&amp;$B267,Corrupcion!$H$2:$H$377,0))="","",INDEX(Corrupcion!$G$2:$G$377,MATCH($A267&amp;"|"&amp;$B267,Corrupcion!$H$2:$H$377,0))),"")</f>
        <v/>
      </c>
      <c r="I267" s="8">
        <f>IF(COUNTBLANK(C267:E267)+COUNTBLANK(F267)=0,1,0)</f>
        <v/>
      </c>
      <c r="J267" s="8">
        <f>IF(COUNTBLANK(C267:E267)+COUNTBLANK(G267)=0,1,0)</f>
        <v/>
      </c>
      <c r="K267" s="8">
        <f>IF(COUNTBLANK(C267:E267)+COUNTBLANK(H267)=0,1,0)</f>
        <v/>
      </c>
    </row>
    <row r="268">
      <c r="A268" s="8" t="inlineStr">
        <is>
          <t>Panamá</t>
        </is>
      </c>
      <c r="B268" s="8" t="n">
        <v>2004</v>
      </c>
      <c r="C268" s="18">
        <f>IF(Categorias!C269="","",Categorias!C269/(N(Categorias!C269)+N(Categorias!D269)+N(Categorias!E269)))</f>
        <v/>
      </c>
      <c r="D268" s="18">
        <f>IF(Categorias!H269="","",Categorias!H269/(N(Categorias!H269)+N(Categorias!I269)))</f>
        <v/>
      </c>
      <c r="E268" s="17">
        <f>IFERROR(IF(INDEX(Gini!$C$2:$C$377,MATCH($A268&amp;"|"&amp;$B268,Gini!$E$2:$E$377,0))="","",INDEX(Gini!$C$2:$C$377,MATCH($A268&amp;"|"&amp;$B268,Gini!$E$2:$E$377,0))),"")</f>
        <v/>
      </c>
      <c r="F268" s="19">
        <f>IFERROR(IF(INDEX(Corrupcion!$E$2:$E$377,MATCH($A268&amp;"|"&amp;$B268,Corrupcion!$H$2:$H$377,0))="","",INDEX(Corrupcion!$E$2:$E$377,MATCH($A268&amp;"|"&amp;$B268,Corrupcion!$H$2:$H$377,0))),"")</f>
        <v/>
      </c>
      <c r="G268" s="20">
        <f>IFERROR(IF(INDEX(Corrupcion!$F$2:$F$377,MATCH($A268&amp;"|"&amp;$B268,Corrupcion!$H$2:$H$377,0))="","",INDEX(Corrupcion!$F$2:$F$377,MATCH($A268&amp;"|"&amp;$B268,Corrupcion!$H$2:$H$377,0))),"")</f>
        <v/>
      </c>
      <c r="H268" s="17">
        <f>IFERROR(IF(INDEX(Corrupcion!$G$2:$G$377,MATCH($A268&amp;"|"&amp;$B268,Corrupcion!$H$2:$H$377,0))="","",INDEX(Corrupcion!$G$2:$G$377,MATCH($A268&amp;"|"&amp;$B268,Corrupcion!$H$2:$H$377,0))),"")</f>
        <v/>
      </c>
      <c r="I268" s="8">
        <f>IF(COUNTBLANK(C268:E268)+COUNTBLANK(F268)=0,1,0)</f>
        <v/>
      </c>
      <c r="J268" s="8">
        <f>IF(COUNTBLANK(C268:E268)+COUNTBLANK(G268)=0,1,0)</f>
        <v/>
      </c>
      <c r="K268" s="8">
        <f>IF(COUNTBLANK(C268:E268)+COUNTBLANK(H268)=0,1,0)</f>
        <v/>
      </c>
    </row>
    <row r="269">
      <c r="A269" s="8" t="inlineStr">
        <is>
          <t>Panamá</t>
        </is>
      </c>
      <c r="B269" s="8" t="n">
        <v>2005</v>
      </c>
      <c r="C269" s="18">
        <f>IF(Categorias!C270="","",Categorias!C270/(N(Categorias!C270)+N(Categorias!D270)+N(Categorias!E270)))</f>
        <v/>
      </c>
      <c r="D269" s="18">
        <f>IF(Categorias!H270="","",Categorias!H270/(N(Categorias!H270)+N(Categorias!I270)))</f>
        <v/>
      </c>
      <c r="E269" s="17">
        <f>IFERROR(IF(INDEX(Gini!$C$2:$C$377,MATCH($A269&amp;"|"&amp;$B269,Gini!$E$2:$E$377,0))="","",INDEX(Gini!$C$2:$C$377,MATCH($A269&amp;"|"&amp;$B269,Gini!$E$2:$E$377,0))),"")</f>
        <v/>
      </c>
      <c r="F269" s="19">
        <f>IFERROR(IF(INDEX(Corrupcion!$E$2:$E$377,MATCH($A269&amp;"|"&amp;$B269,Corrupcion!$H$2:$H$377,0))="","",INDEX(Corrupcion!$E$2:$E$377,MATCH($A269&amp;"|"&amp;$B269,Corrupcion!$H$2:$H$377,0))),"")</f>
        <v/>
      </c>
      <c r="G269" s="20">
        <f>IFERROR(IF(INDEX(Corrupcion!$F$2:$F$377,MATCH($A269&amp;"|"&amp;$B269,Corrupcion!$H$2:$H$377,0))="","",INDEX(Corrupcion!$F$2:$F$377,MATCH($A269&amp;"|"&amp;$B269,Corrupcion!$H$2:$H$377,0))),"")</f>
        <v/>
      </c>
      <c r="H269" s="17">
        <f>IFERROR(IF(INDEX(Corrupcion!$G$2:$G$377,MATCH($A269&amp;"|"&amp;$B269,Corrupcion!$H$2:$H$377,0))="","",INDEX(Corrupcion!$G$2:$G$377,MATCH($A269&amp;"|"&amp;$B269,Corrupcion!$H$2:$H$377,0))),"")</f>
        <v/>
      </c>
      <c r="I269" s="8">
        <f>IF(COUNTBLANK(C269:E269)+COUNTBLANK(F269)=0,1,0)</f>
        <v/>
      </c>
      <c r="J269" s="8">
        <f>IF(COUNTBLANK(C269:E269)+COUNTBLANK(G269)=0,1,0)</f>
        <v/>
      </c>
      <c r="K269" s="8">
        <f>IF(COUNTBLANK(C269:E269)+COUNTBLANK(H269)=0,1,0)</f>
        <v/>
      </c>
    </row>
    <row r="270">
      <c r="A270" s="8" t="inlineStr">
        <is>
          <t>Panamá</t>
        </is>
      </c>
      <c r="B270" s="8" t="n">
        <v>2006</v>
      </c>
      <c r="C270" s="18">
        <f>IF(Categorias!C271="","",Categorias!C271/(N(Categorias!C271)+N(Categorias!D271)+N(Categorias!E271)))</f>
        <v/>
      </c>
      <c r="D270" s="18">
        <f>IF(Categorias!H271="","",Categorias!H271/(N(Categorias!H271)+N(Categorias!I271)))</f>
        <v/>
      </c>
      <c r="E270" s="17">
        <f>IFERROR(IF(INDEX(Gini!$C$2:$C$377,MATCH($A270&amp;"|"&amp;$B270,Gini!$E$2:$E$377,0))="","",INDEX(Gini!$C$2:$C$377,MATCH($A270&amp;"|"&amp;$B270,Gini!$E$2:$E$377,0))),"")</f>
        <v/>
      </c>
      <c r="F270" s="19">
        <f>IFERROR(IF(INDEX(Corrupcion!$E$2:$E$377,MATCH($A270&amp;"|"&amp;$B270,Corrupcion!$H$2:$H$377,0))="","",INDEX(Corrupcion!$E$2:$E$377,MATCH($A270&amp;"|"&amp;$B270,Corrupcion!$H$2:$H$377,0))),"")</f>
        <v/>
      </c>
      <c r="G270" s="20">
        <f>IFERROR(IF(INDEX(Corrupcion!$F$2:$F$377,MATCH($A270&amp;"|"&amp;$B270,Corrupcion!$H$2:$H$377,0))="","",INDEX(Corrupcion!$F$2:$F$377,MATCH($A270&amp;"|"&amp;$B270,Corrupcion!$H$2:$H$377,0))),"")</f>
        <v/>
      </c>
      <c r="H270" s="17">
        <f>IFERROR(IF(INDEX(Corrupcion!$G$2:$G$377,MATCH($A270&amp;"|"&amp;$B270,Corrupcion!$H$2:$H$377,0))="","",INDEX(Corrupcion!$G$2:$G$377,MATCH($A270&amp;"|"&amp;$B270,Corrupcion!$H$2:$H$377,0))),"")</f>
        <v/>
      </c>
      <c r="I270" s="8">
        <f>IF(COUNTBLANK(C270:E270)+COUNTBLANK(F270)=0,1,0)</f>
        <v/>
      </c>
      <c r="J270" s="8">
        <f>IF(COUNTBLANK(C270:E270)+COUNTBLANK(G270)=0,1,0)</f>
        <v/>
      </c>
      <c r="K270" s="8">
        <f>IF(COUNTBLANK(C270:E270)+COUNTBLANK(H270)=0,1,0)</f>
        <v/>
      </c>
    </row>
    <row r="271">
      <c r="A271" s="8" t="inlineStr">
        <is>
          <t>Panamá</t>
        </is>
      </c>
      <c r="B271" s="8" t="n">
        <v>2007</v>
      </c>
      <c r="C271" s="18">
        <f>IF(Categorias!C272="","",Categorias!C272/(N(Categorias!C272)+N(Categorias!D272)+N(Categorias!E272)))</f>
        <v/>
      </c>
      <c r="D271" s="18">
        <f>IF(Categorias!H272="","",Categorias!H272/(N(Categorias!H272)+N(Categorias!I272)))</f>
        <v/>
      </c>
      <c r="E271" s="17">
        <f>IFERROR(IF(INDEX(Gini!$C$2:$C$377,MATCH($A271&amp;"|"&amp;$B271,Gini!$E$2:$E$377,0))="","",INDEX(Gini!$C$2:$C$377,MATCH($A271&amp;"|"&amp;$B271,Gini!$E$2:$E$377,0))),"")</f>
        <v/>
      </c>
      <c r="F271" s="19">
        <f>IFERROR(IF(INDEX(Corrupcion!$E$2:$E$377,MATCH($A271&amp;"|"&amp;$B271,Corrupcion!$H$2:$H$377,0))="","",INDEX(Corrupcion!$E$2:$E$377,MATCH($A271&amp;"|"&amp;$B271,Corrupcion!$H$2:$H$377,0))),"")</f>
        <v/>
      </c>
      <c r="G271" s="20">
        <f>IFERROR(IF(INDEX(Corrupcion!$F$2:$F$377,MATCH($A271&amp;"|"&amp;$B271,Corrupcion!$H$2:$H$377,0))="","",INDEX(Corrupcion!$F$2:$F$377,MATCH($A271&amp;"|"&amp;$B271,Corrupcion!$H$2:$H$377,0))),"")</f>
        <v/>
      </c>
      <c r="H271" s="17">
        <f>IFERROR(IF(INDEX(Corrupcion!$G$2:$G$377,MATCH($A271&amp;"|"&amp;$B271,Corrupcion!$H$2:$H$377,0))="","",INDEX(Corrupcion!$G$2:$G$377,MATCH($A271&amp;"|"&amp;$B271,Corrupcion!$H$2:$H$377,0))),"")</f>
        <v/>
      </c>
      <c r="I271" s="8">
        <f>IF(COUNTBLANK(C271:E271)+COUNTBLANK(F271)=0,1,0)</f>
        <v/>
      </c>
      <c r="J271" s="8">
        <f>IF(COUNTBLANK(C271:E271)+COUNTBLANK(G271)=0,1,0)</f>
        <v/>
      </c>
      <c r="K271" s="8">
        <f>IF(COUNTBLANK(C271:E271)+COUNTBLANK(H271)=0,1,0)</f>
        <v/>
      </c>
    </row>
    <row r="272">
      <c r="A272" s="8" t="inlineStr">
        <is>
          <t>Panamá</t>
        </is>
      </c>
      <c r="B272" s="8" t="n">
        <v>2008</v>
      </c>
      <c r="C272" s="18">
        <f>IF(Categorias!C273="","",Categorias!C273/(N(Categorias!C273)+N(Categorias!D273)+N(Categorias!E273)))</f>
        <v/>
      </c>
      <c r="D272" s="18">
        <f>IF(Categorias!H273="","",Categorias!H273/(N(Categorias!H273)+N(Categorias!I273)))</f>
        <v/>
      </c>
      <c r="E272" s="17">
        <f>IFERROR(IF(INDEX(Gini!$C$2:$C$377,MATCH($A272&amp;"|"&amp;$B272,Gini!$E$2:$E$377,0))="","",INDEX(Gini!$C$2:$C$377,MATCH($A272&amp;"|"&amp;$B272,Gini!$E$2:$E$377,0))),"")</f>
        <v/>
      </c>
      <c r="F272" s="19">
        <f>IFERROR(IF(INDEX(Corrupcion!$E$2:$E$377,MATCH($A272&amp;"|"&amp;$B272,Corrupcion!$H$2:$H$377,0))="","",INDEX(Corrupcion!$E$2:$E$377,MATCH($A272&amp;"|"&amp;$B272,Corrupcion!$H$2:$H$377,0))),"")</f>
        <v/>
      </c>
      <c r="G272" s="20">
        <f>IFERROR(IF(INDEX(Corrupcion!$F$2:$F$377,MATCH($A272&amp;"|"&amp;$B272,Corrupcion!$H$2:$H$377,0))="","",INDEX(Corrupcion!$F$2:$F$377,MATCH($A272&amp;"|"&amp;$B272,Corrupcion!$H$2:$H$377,0))),"")</f>
        <v/>
      </c>
      <c r="H272" s="17">
        <f>IFERROR(IF(INDEX(Corrupcion!$G$2:$G$377,MATCH($A272&amp;"|"&amp;$B272,Corrupcion!$H$2:$H$377,0))="","",INDEX(Corrupcion!$G$2:$G$377,MATCH($A272&amp;"|"&amp;$B272,Corrupcion!$H$2:$H$377,0))),"")</f>
        <v/>
      </c>
      <c r="I272" s="8">
        <f>IF(COUNTBLANK(C272:E272)+COUNTBLANK(F272)=0,1,0)</f>
        <v/>
      </c>
      <c r="J272" s="8">
        <f>IF(COUNTBLANK(C272:E272)+COUNTBLANK(G272)=0,1,0)</f>
        <v/>
      </c>
      <c r="K272" s="8">
        <f>IF(COUNTBLANK(C272:E272)+COUNTBLANK(H272)=0,1,0)</f>
        <v/>
      </c>
    </row>
    <row r="273">
      <c r="A273" s="8" t="inlineStr">
        <is>
          <t>Panamá</t>
        </is>
      </c>
      <c r="B273" s="8" t="n">
        <v>2009</v>
      </c>
      <c r="C273" s="18">
        <f>IF(Categorias!C274="","",Categorias!C274/(N(Categorias!C274)+N(Categorias!D274)+N(Categorias!E274)))</f>
        <v/>
      </c>
      <c r="D273" s="18">
        <f>IF(Categorias!H274="","",Categorias!H274/(N(Categorias!H274)+N(Categorias!I274)))</f>
        <v/>
      </c>
      <c r="E273" s="17">
        <f>IFERROR(IF(INDEX(Gini!$C$2:$C$377,MATCH($A273&amp;"|"&amp;$B273,Gini!$E$2:$E$377,0))="","",INDEX(Gini!$C$2:$C$377,MATCH($A273&amp;"|"&amp;$B273,Gini!$E$2:$E$377,0))),"")</f>
        <v/>
      </c>
      <c r="F273" s="19">
        <f>IFERROR(IF(INDEX(Corrupcion!$E$2:$E$377,MATCH($A273&amp;"|"&amp;$B273,Corrupcion!$H$2:$H$377,0))="","",INDEX(Corrupcion!$E$2:$E$377,MATCH($A273&amp;"|"&amp;$B273,Corrupcion!$H$2:$H$377,0))),"")</f>
        <v/>
      </c>
      <c r="G273" s="20">
        <f>IFERROR(IF(INDEX(Corrupcion!$F$2:$F$377,MATCH($A273&amp;"|"&amp;$B273,Corrupcion!$H$2:$H$377,0))="","",INDEX(Corrupcion!$F$2:$F$377,MATCH($A273&amp;"|"&amp;$B273,Corrupcion!$H$2:$H$377,0))),"")</f>
        <v/>
      </c>
      <c r="H273" s="17">
        <f>IFERROR(IF(INDEX(Corrupcion!$G$2:$G$377,MATCH($A273&amp;"|"&amp;$B273,Corrupcion!$H$2:$H$377,0))="","",INDEX(Corrupcion!$G$2:$G$377,MATCH($A273&amp;"|"&amp;$B273,Corrupcion!$H$2:$H$377,0))),"")</f>
        <v/>
      </c>
      <c r="I273" s="8">
        <f>IF(COUNTBLANK(C273:E273)+COUNTBLANK(F273)=0,1,0)</f>
        <v/>
      </c>
      <c r="J273" s="8">
        <f>IF(COUNTBLANK(C273:E273)+COUNTBLANK(G273)=0,1,0)</f>
        <v/>
      </c>
      <c r="K273" s="8">
        <f>IF(COUNTBLANK(C273:E273)+COUNTBLANK(H273)=0,1,0)</f>
        <v/>
      </c>
    </row>
    <row r="274">
      <c r="A274" s="8" t="inlineStr">
        <is>
          <t>Panamá</t>
        </is>
      </c>
      <c r="B274" s="8" t="n">
        <v>2010</v>
      </c>
      <c r="C274" s="18">
        <f>IF(Categorias!C275="","",Categorias!C275/(N(Categorias!C275)+N(Categorias!D275)+N(Categorias!E275)))</f>
        <v/>
      </c>
      <c r="D274" s="18">
        <f>IF(Categorias!H275="","",Categorias!H275/(N(Categorias!H275)+N(Categorias!I275)))</f>
        <v/>
      </c>
      <c r="E274" s="17">
        <f>IFERROR(IF(INDEX(Gini!$C$2:$C$377,MATCH($A274&amp;"|"&amp;$B274,Gini!$E$2:$E$377,0))="","",INDEX(Gini!$C$2:$C$377,MATCH($A274&amp;"|"&amp;$B274,Gini!$E$2:$E$377,0))),"")</f>
        <v/>
      </c>
      <c r="F274" s="19">
        <f>IFERROR(IF(INDEX(Corrupcion!$E$2:$E$377,MATCH($A274&amp;"|"&amp;$B274,Corrupcion!$H$2:$H$377,0))="","",INDEX(Corrupcion!$E$2:$E$377,MATCH($A274&amp;"|"&amp;$B274,Corrupcion!$H$2:$H$377,0))),"")</f>
        <v/>
      </c>
      <c r="G274" s="20">
        <f>IFERROR(IF(INDEX(Corrupcion!$F$2:$F$377,MATCH($A274&amp;"|"&amp;$B274,Corrupcion!$H$2:$H$377,0))="","",INDEX(Corrupcion!$F$2:$F$377,MATCH($A274&amp;"|"&amp;$B274,Corrupcion!$H$2:$H$377,0))),"")</f>
        <v/>
      </c>
      <c r="H274" s="17">
        <f>IFERROR(IF(INDEX(Corrupcion!$G$2:$G$377,MATCH($A274&amp;"|"&amp;$B274,Corrupcion!$H$2:$H$377,0))="","",INDEX(Corrupcion!$G$2:$G$377,MATCH($A274&amp;"|"&amp;$B274,Corrupcion!$H$2:$H$377,0))),"")</f>
        <v/>
      </c>
      <c r="I274" s="8">
        <f>IF(COUNTBLANK(C274:E274)+COUNTBLANK(F274)=0,1,0)</f>
        <v/>
      </c>
      <c r="J274" s="8">
        <f>IF(COUNTBLANK(C274:E274)+COUNTBLANK(G274)=0,1,0)</f>
        <v/>
      </c>
      <c r="K274" s="8">
        <f>IF(COUNTBLANK(C274:E274)+COUNTBLANK(H274)=0,1,0)</f>
        <v/>
      </c>
    </row>
    <row r="275">
      <c r="A275" s="8" t="inlineStr">
        <is>
          <t>Panamá</t>
        </is>
      </c>
      <c r="B275" s="8" t="n">
        <v>2011</v>
      </c>
      <c r="C275" s="18">
        <f>IF(Categorias!C276="","",Categorias!C276/(N(Categorias!C276)+N(Categorias!D276)+N(Categorias!E276)))</f>
        <v/>
      </c>
      <c r="D275" s="18">
        <f>IF(Categorias!H276="","",Categorias!H276/(N(Categorias!H276)+N(Categorias!I276)))</f>
        <v/>
      </c>
      <c r="E275" s="17">
        <f>IFERROR(IF(INDEX(Gini!$C$2:$C$377,MATCH($A275&amp;"|"&amp;$B275,Gini!$E$2:$E$377,0))="","",INDEX(Gini!$C$2:$C$377,MATCH($A275&amp;"|"&amp;$B275,Gini!$E$2:$E$377,0))),"")</f>
        <v/>
      </c>
      <c r="F275" s="19">
        <f>IFERROR(IF(INDEX(Corrupcion!$E$2:$E$377,MATCH($A275&amp;"|"&amp;$B275,Corrupcion!$H$2:$H$377,0))="","",INDEX(Corrupcion!$E$2:$E$377,MATCH($A275&amp;"|"&amp;$B275,Corrupcion!$H$2:$H$377,0))),"")</f>
        <v/>
      </c>
      <c r="G275" s="20">
        <f>IFERROR(IF(INDEX(Corrupcion!$F$2:$F$377,MATCH($A275&amp;"|"&amp;$B275,Corrupcion!$H$2:$H$377,0))="","",INDEX(Corrupcion!$F$2:$F$377,MATCH($A275&amp;"|"&amp;$B275,Corrupcion!$H$2:$H$377,0))),"")</f>
        <v/>
      </c>
      <c r="H275" s="17">
        <f>IFERROR(IF(INDEX(Corrupcion!$G$2:$G$377,MATCH($A275&amp;"|"&amp;$B275,Corrupcion!$H$2:$H$377,0))="","",INDEX(Corrupcion!$G$2:$G$377,MATCH($A275&amp;"|"&amp;$B275,Corrupcion!$H$2:$H$377,0))),"")</f>
        <v/>
      </c>
      <c r="I275" s="8">
        <f>IF(COUNTBLANK(C275:E275)+COUNTBLANK(F275)=0,1,0)</f>
        <v/>
      </c>
      <c r="J275" s="8">
        <f>IF(COUNTBLANK(C275:E275)+COUNTBLANK(G275)=0,1,0)</f>
        <v/>
      </c>
      <c r="K275" s="8">
        <f>IF(COUNTBLANK(C275:E275)+COUNTBLANK(H275)=0,1,0)</f>
        <v/>
      </c>
    </row>
    <row r="276">
      <c r="A276" s="8" t="inlineStr">
        <is>
          <t>Panamá</t>
        </is>
      </c>
      <c r="B276" s="8" t="n">
        <v>2016</v>
      </c>
      <c r="C276" s="18">
        <f>IF(Categorias!C277="","",Categorias!C277/(N(Categorias!C277)+N(Categorias!D277)+N(Categorias!E277)))</f>
        <v/>
      </c>
      <c r="D276" s="18">
        <f>IF(Categorias!H277="","",Categorias!H277/(N(Categorias!H277)+N(Categorias!I277)))</f>
        <v/>
      </c>
      <c r="E276" s="17">
        <f>IFERROR(IF(INDEX(Gini!$C$2:$C$377,MATCH($A276&amp;"|"&amp;$B276,Gini!$E$2:$E$377,0))="","",INDEX(Gini!$C$2:$C$377,MATCH($A276&amp;"|"&amp;$B276,Gini!$E$2:$E$377,0))),"")</f>
        <v/>
      </c>
      <c r="F276" s="19">
        <f>IFERROR(IF(INDEX(Corrupcion!$E$2:$E$377,MATCH($A276&amp;"|"&amp;$B276,Corrupcion!$H$2:$H$377,0))="","",INDEX(Corrupcion!$E$2:$E$377,MATCH($A276&amp;"|"&amp;$B276,Corrupcion!$H$2:$H$377,0))),"")</f>
        <v/>
      </c>
      <c r="G276" s="20">
        <f>IFERROR(IF(INDEX(Corrupcion!$F$2:$F$377,MATCH($A276&amp;"|"&amp;$B276,Corrupcion!$H$2:$H$377,0))="","",INDEX(Corrupcion!$F$2:$F$377,MATCH($A276&amp;"|"&amp;$B276,Corrupcion!$H$2:$H$377,0))),"")</f>
        <v/>
      </c>
      <c r="H276" s="17">
        <f>IFERROR(IF(INDEX(Corrupcion!$G$2:$G$377,MATCH($A276&amp;"|"&amp;$B276,Corrupcion!$H$2:$H$377,0))="","",INDEX(Corrupcion!$G$2:$G$377,MATCH($A276&amp;"|"&amp;$B276,Corrupcion!$H$2:$H$377,0))),"")</f>
        <v/>
      </c>
      <c r="I276" s="8">
        <f>IF(COUNTBLANK(C276:E276)+COUNTBLANK(F276)=0,1,0)</f>
        <v/>
      </c>
      <c r="J276" s="8">
        <f>IF(COUNTBLANK(C276:E276)+COUNTBLANK(G276)=0,1,0)</f>
        <v/>
      </c>
      <c r="K276" s="8">
        <f>IF(COUNTBLANK(C276:E276)+COUNTBLANK(H276)=0,1,0)</f>
        <v/>
      </c>
    </row>
    <row r="277">
      <c r="A277" s="8" t="inlineStr">
        <is>
          <t>Panamá</t>
        </is>
      </c>
      <c r="B277" s="8" t="n">
        <v>2017</v>
      </c>
      <c r="C277" s="18">
        <f>IF(Categorias!C278="","",Categorias!C278/(N(Categorias!C278)+N(Categorias!D278)+N(Categorias!E278)))</f>
        <v/>
      </c>
      <c r="D277" s="18">
        <f>IF(Categorias!H278="","",Categorias!H278/(N(Categorias!H278)+N(Categorias!I278)))</f>
        <v/>
      </c>
      <c r="E277" s="17">
        <f>IFERROR(IF(INDEX(Gini!$C$2:$C$377,MATCH($A277&amp;"|"&amp;$B277,Gini!$E$2:$E$377,0))="","",INDEX(Gini!$C$2:$C$377,MATCH($A277&amp;"|"&amp;$B277,Gini!$E$2:$E$377,0))),"")</f>
        <v/>
      </c>
      <c r="F277" s="19">
        <f>IFERROR(IF(INDEX(Corrupcion!$E$2:$E$377,MATCH($A277&amp;"|"&amp;$B277,Corrupcion!$H$2:$H$377,0))="","",INDEX(Corrupcion!$E$2:$E$377,MATCH($A277&amp;"|"&amp;$B277,Corrupcion!$H$2:$H$377,0))),"")</f>
        <v/>
      </c>
      <c r="G277" s="20">
        <f>IFERROR(IF(INDEX(Corrupcion!$F$2:$F$377,MATCH($A277&amp;"|"&amp;$B277,Corrupcion!$H$2:$H$377,0))="","",INDEX(Corrupcion!$F$2:$F$377,MATCH($A277&amp;"|"&amp;$B277,Corrupcion!$H$2:$H$377,0))),"")</f>
        <v/>
      </c>
      <c r="H277" s="17">
        <f>IFERROR(IF(INDEX(Corrupcion!$G$2:$G$377,MATCH($A277&amp;"|"&amp;$B277,Corrupcion!$H$2:$H$377,0))="","",INDEX(Corrupcion!$G$2:$G$377,MATCH($A277&amp;"|"&amp;$B277,Corrupcion!$H$2:$H$377,0))),"")</f>
        <v/>
      </c>
      <c r="I277" s="8">
        <f>IF(COUNTBLANK(C277:E277)+COUNTBLANK(F277)=0,1,0)</f>
        <v/>
      </c>
      <c r="J277" s="8">
        <f>IF(COUNTBLANK(C277:E277)+COUNTBLANK(G277)=0,1,0)</f>
        <v/>
      </c>
      <c r="K277" s="8">
        <f>IF(COUNTBLANK(C277:E277)+COUNTBLANK(H277)=0,1,0)</f>
        <v/>
      </c>
    </row>
    <row r="278">
      <c r="A278" s="8" t="inlineStr">
        <is>
          <t>Panamá</t>
        </is>
      </c>
      <c r="B278" s="8" t="n">
        <v>2018</v>
      </c>
      <c r="C278" s="18">
        <f>IF(Categorias!C279="","",Categorias!C279/(N(Categorias!C279)+N(Categorias!D279)+N(Categorias!E279)))</f>
        <v/>
      </c>
      <c r="D278" s="18">
        <f>IF(Categorias!H279="","",Categorias!H279/(N(Categorias!H279)+N(Categorias!I279)))</f>
        <v/>
      </c>
      <c r="E278" s="17">
        <f>IFERROR(IF(INDEX(Gini!$C$2:$C$377,MATCH($A278&amp;"|"&amp;$B278,Gini!$E$2:$E$377,0))="","",INDEX(Gini!$C$2:$C$377,MATCH($A278&amp;"|"&amp;$B278,Gini!$E$2:$E$377,0))),"")</f>
        <v/>
      </c>
      <c r="F278" s="19">
        <f>IFERROR(IF(INDEX(Corrupcion!$E$2:$E$377,MATCH($A278&amp;"|"&amp;$B278,Corrupcion!$H$2:$H$377,0))="","",INDEX(Corrupcion!$E$2:$E$377,MATCH($A278&amp;"|"&amp;$B278,Corrupcion!$H$2:$H$377,0))),"")</f>
        <v/>
      </c>
      <c r="G278" s="20">
        <f>IFERROR(IF(INDEX(Corrupcion!$F$2:$F$377,MATCH($A278&amp;"|"&amp;$B278,Corrupcion!$H$2:$H$377,0))="","",INDEX(Corrupcion!$F$2:$F$377,MATCH($A278&amp;"|"&amp;$B278,Corrupcion!$H$2:$H$377,0))),"")</f>
        <v/>
      </c>
      <c r="H278" s="17">
        <f>IFERROR(IF(INDEX(Corrupcion!$G$2:$G$377,MATCH($A278&amp;"|"&amp;$B278,Corrupcion!$H$2:$H$377,0))="","",INDEX(Corrupcion!$G$2:$G$377,MATCH($A278&amp;"|"&amp;$B278,Corrupcion!$H$2:$H$377,0))),"")</f>
        <v/>
      </c>
      <c r="I278" s="8">
        <f>IF(COUNTBLANK(C278:E278)+COUNTBLANK(F278)=0,1,0)</f>
        <v/>
      </c>
      <c r="J278" s="8">
        <f>IF(COUNTBLANK(C278:E278)+COUNTBLANK(G278)=0,1,0)</f>
        <v/>
      </c>
      <c r="K278" s="8">
        <f>IF(COUNTBLANK(C278:E278)+COUNTBLANK(H278)=0,1,0)</f>
        <v/>
      </c>
    </row>
    <row r="279">
      <c r="A279" s="8" t="inlineStr">
        <is>
          <t>Panamá</t>
        </is>
      </c>
      <c r="B279" s="8" t="n">
        <v>2020</v>
      </c>
      <c r="C279" s="18">
        <f>IF(Categorias!C280="","",Categorias!C280/(N(Categorias!C280)+N(Categorias!D280)+N(Categorias!E280)))</f>
        <v/>
      </c>
      <c r="D279" s="18">
        <f>IF(Categorias!H280="","",Categorias!H280/(N(Categorias!H280)+N(Categorias!I280)))</f>
        <v/>
      </c>
      <c r="E279" s="17">
        <f>IFERROR(IF(INDEX(Gini!$C$2:$C$377,MATCH($A279&amp;"|"&amp;$B279,Gini!$E$2:$E$377,0))="","",INDEX(Gini!$C$2:$C$377,MATCH($A279&amp;"|"&amp;$B279,Gini!$E$2:$E$377,0))),"")</f>
        <v/>
      </c>
      <c r="F279" s="19">
        <f>IFERROR(IF(INDEX(Corrupcion!$E$2:$E$377,MATCH($A279&amp;"|"&amp;$B279,Corrupcion!$H$2:$H$377,0))="","",INDEX(Corrupcion!$E$2:$E$377,MATCH($A279&amp;"|"&amp;$B279,Corrupcion!$H$2:$H$377,0))),"")</f>
        <v/>
      </c>
      <c r="G279" s="20">
        <f>IFERROR(IF(INDEX(Corrupcion!$F$2:$F$377,MATCH($A279&amp;"|"&amp;$B279,Corrupcion!$H$2:$H$377,0))="","",INDEX(Corrupcion!$F$2:$F$377,MATCH($A279&amp;"|"&amp;$B279,Corrupcion!$H$2:$H$377,0))),"")</f>
        <v/>
      </c>
      <c r="H279" s="17">
        <f>IFERROR(IF(INDEX(Corrupcion!$G$2:$G$377,MATCH($A279&amp;"|"&amp;$B279,Corrupcion!$H$2:$H$377,0))="","",INDEX(Corrupcion!$G$2:$G$377,MATCH($A279&amp;"|"&amp;$B279,Corrupcion!$H$2:$H$377,0))),"")</f>
        <v/>
      </c>
      <c r="I279" s="8">
        <f>IF(COUNTBLANK(C279:E279)+COUNTBLANK(F279)=0,1,0)</f>
        <v/>
      </c>
      <c r="J279" s="8">
        <f>IF(COUNTBLANK(C279:E279)+COUNTBLANK(G279)=0,1,0)</f>
        <v/>
      </c>
      <c r="K279" s="8">
        <f>IF(COUNTBLANK(C279:E279)+COUNTBLANK(H279)=0,1,0)</f>
        <v/>
      </c>
    </row>
    <row r="280">
      <c r="A280" s="8" t="inlineStr">
        <is>
          <t>Panamá</t>
        </is>
      </c>
      <c r="B280" s="8" t="n">
        <v>2024</v>
      </c>
      <c r="C280" s="18">
        <f>IF(Categorias!C281="","",Categorias!C281/(N(Categorias!C281)+N(Categorias!D281)+N(Categorias!E281)))</f>
        <v/>
      </c>
      <c r="D280" s="18">
        <f>IF(Categorias!H281="","",Categorias!H281/(N(Categorias!H281)+N(Categorias!I281)))</f>
        <v/>
      </c>
      <c r="E280" s="17">
        <f>IFERROR(IF(INDEX(Gini!$C$2:$C$377,MATCH($A280&amp;"|"&amp;$B280,Gini!$E$2:$E$377,0))="","",INDEX(Gini!$C$2:$C$377,MATCH($A280&amp;"|"&amp;$B280,Gini!$E$2:$E$377,0))),"")</f>
        <v/>
      </c>
      <c r="F280" s="19">
        <f>IFERROR(IF(INDEX(Corrupcion!$E$2:$E$377,MATCH($A280&amp;"|"&amp;$B280,Corrupcion!$H$2:$H$377,0))="","",INDEX(Corrupcion!$E$2:$E$377,MATCH($A280&amp;"|"&amp;$B280,Corrupcion!$H$2:$H$377,0))),"")</f>
        <v/>
      </c>
      <c r="G280" s="20">
        <f>IFERROR(IF(INDEX(Corrupcion!$F$2:$F$377,MATCH($A280&amp;"|"&amp;$B280,Corrupcion!$H$2:$H$377,0))="","",INDEX(Corrupcion!$F$2:$F$377,MATCH($A280&amp;"|"&amp;$B280,Corrupcion!$H$2:$H$377,0))),"")</f>
        <v/>
      </c>
      <c r="H280" s="17">
        <f>IFERROR(IF(INDEX(Corrupcion!$G$2:$G$377,MATCH($A280&amp;"|"&amp;$B280,Corrupcion!$H$2:$H$377,0))="","",INDEX(Corrupcion!$G$2:$G$377,MATCH($A280&amp;"|"&amp;$B280,Corrupcion!$H$2:$H$377,0))),"")</f>
        <v/>
      </c>
      <c r="I280" s="8">
        <f>IF(COUNTBLANK(C280:E280)+COUNTBLANK(F280)=0,1,0)</f>
        <v/>
      </c>
      <c r="J280" s="8">
        <f>IF(COUNTBLANK(C280:E280)+COUNTBLANK(G280)=0,1,0)</f>
        <v/>
      </c>
      <c r="K280" s="8">
        <f>IF(COUNTBLANK(C280:E280)+COUNTBLANK(H280)=0,1,0)</f>
        <v/>
      </c>
    </row>
    <row r="281">
      <c r="A281" s="8" t="inlineStr">
        <is>
          <t>Paraguay</t>
        </is>
      </c>
      <c r="B281" s="8" t="n">
        <v>1995</v>
      </c>
      <c r="C281" s="18">
        <f>IF(Categorias!C282="","",Categorias!C282/(N(Categorias!C282)+N(Categorias!D282)+N(Categorias!E282)))</f>
        <v/>
      </c>
      <c r="D281" s="18">
        <f>IF(Categorias!H282="","",Categorias!H282/(N(Categorias!H282)+N(Categorias!I282)))</f>
        <v/>
      </c>
      <c r="E281" s="17">
        <f>IFERROR(IF(INDEX(Gini!$C$2:$C$377,MATCH($A281&amp;"|"&amp;$B281,Gini!$E$2:$E$377,0))="","",INDEX(Gini!$C$2:$C$377,MATCH($A281&amp;"|"&amp;$B281,Gini!$E$2:$E$377,0))),"")</f>
        <v/>
      </c>
      <c r="F281" s="19">
        <f>IFERROR(IF(INDEX(Corrupcion!$E$2:$E$377,MATCH($A281&amp;"|"&amp;$B281,Corrupcion!$H$2:$H$377,0))="","",INDEX(Corrupcion!$E$2:$E$377,MATCH($A281&amp;"|"&amp;$B281,Corrupcion!$H$2:$H$377,0))),"")</f>
        <v/>
      </c>
      <c r="G281" s="20">
        <f>IFERROR(IF(INDEX(Corrupcion!$F$2:$F$377,MATCH($A281&amp;"|"&amp;$B281,Corrupcion!$H$2:$H$377,0))="","",INDEX(Corrupcion!$F$2:$F$377,MATCH($A281&amp;"|"&amp;$B281,Corrupcion!$H$2:$H$377,0))),"")</f>
        <v/>
      </c>
      <c r="H281" s="17">
        <f>IFERROR(IF(INDEX(Corrupcion!$G$2:$G$377,MATCH($A281&amp;"|"&amp;$B281,Corrupcion!$H$2:$H$377,0))="","",INDEX(Corrupcion!$G$2:$G$377,MATCH($A281&amp;"|"&amp;$B281,Corrupcion!$H$2:$H$377,0))),"")</f>
        <v/>
      </c>
      <c r="I281" s="8">
        <f>IF(COUNTBLANK(C281:E281)+COUNTBLANK(F281)=0,1,0)</f>
        <v/>
      </c>
      <c r="J281" s="8">
        <f>IF(COUNTBLANK(C281:E281)+COUNTBLANK(G281)=0,1,0)</f>
        <v/>
      </c>
      <c r="K281" s="8">
        <f>IF(COUNTBLANK(C281:E281)+COUNTBLANK(H281)=0,1,0)</f>
        <v/>
      </c>
    </row>
    <row r="282">
      <c r="A282" s="8" t="inlineStr">
        <is>
          <t>Paraguay</t>
        </is>
      </c>
      <c r="B282" s="8" t="n">
        <v>1996</v>
      </c>
      <c r="C282" s="18">
        <f>IF(Categorias!C283="","",Categorias!C283/(N(Categorias!C283)+N(Categorias!D283)+N(Categorias!E283)))</f>
        <v/>
      </c>
      <c r="D282" s="18">
        <f>IF(Categorias!H283="","",Categorias!H283/(N(Categorias!H283)+N(Categorias!I283)))</f>
        <v/>
      </c>
      <c r="E282" s="17">
        <f>IFERROR(IF(INDEX(Gini!$C$2:$C$377,MATCH($A282&amp;"|"&amp;$B282,Gini!$E$2:$E$377,0))="","",INDEX(Gini!$C$2:$C$377,MATCH($A282&amp;"|"&amp;$B282,Gini!$E$2:$E$377,0))),"")</f>
        <v/>
      </c>
      <c r="F282" s="19">
        <f>IFERROR(IF(INDEX(Corrupcion!$E$2:$E$377,MATCH($A282&amp;"|"&amp;$B282,Corrupcion!$H$2:$H$377,0))="","",INDEX(Corrupcion!$E$2:$E$377,MATCH($A282&amp;"|"&amp;$B282,Corrupcion!$H$2:$H$377,0))),"")</f>
        <v/>
      </c>
      <c r="G282" s="20">
        <f>IFERROR(IF(INDEX(Corrupcion!$F$2:$F$377,MATCH($A282&amp;"|"&amp;$B282,Corrupcion!$H$2:$H$377,0))="","",INDEX(Corrupcion!$F$2:$F$377,MATCH($A282&amp;"|"&amp;$B282,Corrupcion!$H$2:$H$377,0))),"")</f>
        <v/>
      </c>
      <c r="H282" s="17">
        <f>IFERROR(IF(INDEX(Corrupcion!$G$2:$G$377,MATCH($A282&amp;"|"&amp;$B282,Corrupcion!$H$2:$H$377,0))="","",INDEX(Corrupcion!$G$2:$G$377,MATCH($A282&amp;"|"&amp;$B282,Corrupcion!$H$2:$H$377,0))),"")</f>
        <v/>
      </c>
      <c r="I282" s="8">
        <f>IF(COUNTBLANK(C282:E282)+COUNTBLANK(F282)=0,1,0)</f>
        <v/>
      </c>
      <c r="J282" s="8">
        <f>IF(COUNTBLANK(C282:E282)+COUNTBLANK(G282)=0,1,0)</f>
        <v/>
      </c>
      <c r="K282" s="8">
        <f>IF(COUNTBLANK(C282:E282)+COUNTBLANK(H282)=0,1,0)</f>
        <v/>
      </c>
    </row>
    <row r="283">
      <c r="A283" s="8" t="inlineStr">
        <is>
          <t>Paraguay</t>
        </is>
      </c>
      <c r="B283" s="8" t="n">
        <v>1997</v>
      </c>
      <c r="C283" s="18">
        <f>IF(Categorias!C284="","",Categorias!C284/(N(Categorias!C284)+N(Categorias!D284)+N(Categorias!E284)))</f>
        <v/>
      </c>
      <c r="D283" s="18">
        <f>IF(Categorias!H284="","",Categorias!H284/(N(Categorias!H284)+N(Categorias!I284)))</f>
        <v/>
      </c>
      <c r="E283" s="17">
        <f>IFERROR(IF(INDEX(Gini!$C$2:$C$377,MATCH($A283&amp;"|"&amp;$B283,Gini!$E$2:$E$377,0))="","",INDEX(Gini!$C$2:$C$377,MATCH($A283&amp;"|"&amp;$B283,Gini!$E$2:$E$377,0))),"")</f>
        <v/>
      </c>
      <c r="F283" s="19">
        <f>IFERROR(IF(INDEX(Corrupcion!$E$2:$E$377,MATCH($A283&amp;"|"&amp;$B283,Corrupcion!$H$2:$H$377,0))="","",INDEX(Corrupcion!$E$2:$E$377,MATCH($A283&amp;"|"&amp;$B283,Corrupcion!$H$2:$H$377,0))),"")</f>
        <v/>
      </c>
      <c r="G283" s="20">
        <f>IFERROR(IF(INDEX(Corrupcion!$F$2:$F$377,MATCH($A283&amp;"|"&amp;$B283,Corrupcion!$H$2:$H$377,0))="","",INDEX(Corrupcion!$F$2:$F$377,MATCH($A283&amp;"|"&amp;$B283,Corrupcion!$H$2:$H$377,0))),"")</f>
        <v/>
      </c>
      <c r="H283" s="17">
        <f>IFERROR(IF(INDEX(Corrupcion!$G$2:$G$377,MATCH($A283&amp;"|"&amp;$B283,Corrupcion!$H$2:$H$377,0))="","",INDEX(Corrupcion!$G$2:$G$377,MATCH($A283&amp;"|"&amp;$B283,Corrupcion!$H$2:$H$377,0))),"")</f>
        <v/>
      </c>
      <c r="I283" s="8">
        <f>IF(COUNTBLANK(C283:E283)+COUNTBLANK(F283)=0,1,0)</f>
        <v/>
      </c>
      <c r="J283" s="8">
        <f>IF(COUNTBLANK(C283:E283)+COUNTBLANK(G283)=0,1,0)</f>
        <v/>
      </c>
      <c r="K283" s="8">
        <f>IF(COUNTBLANK(C283:E283)+COUNTBLANK(H283)=0,1,0)</f>
        <v/>
      </c>
    </row>
    <row r="284">
      <c r="A284" s="8" t="inlineStr">
        <is>
          <t>Paraguay</t>
        </is>
      </c>
      <c r="B284" s="8" t="n">
        <v>1998</v>
      </c>
      <c r="C284" s="18">
        <f>IF(Categorias!C285="","",Categorias!C285/(N(Categorias!C285)+N(Categorias!D285)+N(Categorias!E285)))</f>
        <v/>
      </c>
      <c r="D284" s="18">
        <f>IF(Categorias!H285="","",Categorias!H285/(N(Categorias!H285)+N(Categorias!I285)))</f>
        <v/>
      </c>
      <c r="E284" s="17">
        <f>IFERROR(IF(INDEX(Gini!$C$2:$C$377,MATCH($A284&amp;"|"&amp;$B284,Gini!$E$2:$E$377,0))="","",INDEX(Gini!$C$2:$C$377,MATCH($A284&amp;"|"&amp;$B284,Gini!$E$2:$E$377,0))),"")</f>
        <v/>
      </c>
      <c r="F284" s="19">
        <f>IFERROR(IF(INDEX(Corrupcion!$E$2:$E$377,MATCH($A284&amp;"|"&amp;$B284,Corrupcion!$H$2:$H$377,0))="","",INDEX(Corrupcion!$E$2:$E$377,MATCH($A284&amp;"|"&amp;$B284,Corrupcion!$H$2:$H$377,0))),"")</f>
        <v/>
      </c>
      <c r="G284" s="20">
        <f>IFERROR(IF(INDEX(Corrupcion!$F$2:$F$377,MATCH($A284&amp;"|"&amp;$B284,Corrupcion!$H$2:$H$377,0))="","",INDEX(Corrupcion!$F$2:$F$377,MATCH($A284&amp;"|"&amp;$B284,Corrupcion!$H$2:$H$377,0))),"")</f>
        <v/>
      </c>
      <c r="H284" s="17">
        <f>IFERROR(IF(INDEX(Corrupcion!$G$2:$G$377,MATCH($A284&amp;"|"&amp;$B284,Corrupcion!$H$2:$H$377,0))="","",INDEX(Corrupcion!$G$2:$G$377,MATCH($A284&amp;"|"&amp;$B284,Corrupcion!$H$2:$H$377,0))),"")</f>
        <v/>
      </c>
      <c r="I284" s="8">
        <f>IF(COUNTBLANK(C284:E284)+COUNTBLANK(F284)=0,1,0)</f>
        <v/>
      </c>
      <c r="J284" s="8">
        <f>IF(COUNTBLANK(C284:E284)+COUNTBLANK(G284)=0,1,0)</f>
        <v/>
      </c>
      <c r="K284" s="8">
        <f>IF(COUNTBLANK(C284:E284)+COUNTBLANK(H284)=0,1,0)</f>
        <v/>
      </c>
    </row>
    <row r="285">
      <c r="A285" s="8" t="inlineStr">
        <is>
          <t>Paraguay</t>
        </is>
      </c>
      <c r="B285" s="8" t="n">
        <v>2000</v>
      </c>
      <c r="C285" s="18">
        <f>IF(Categorias!C286="","",Categorias!C286/(N(Categorias!C286)+N(Categorias!D286)+N(Categorias!E286)))</f>
        <v/>
      </c>
      <c r="D285" s="18">
        <f>IF(Categorias!H286="","",Categorias!H286/(N(Categorias!H286)+N(Categorias!I286)))</f>
        <v/>
      </c>
      <c r="E285" s="17">
        <f>IFERROR(IF(INDEX(Gini!$C$2:$C$377,MATCH($A285&amp;"|"&amp;$B285,Gini!$E$2:$E$377,0))="","",INDEX(Gini!$C$2:$C$377,MATCH($A285&amp;"|"&amp;$B285,Gini!$E$2:$E$377,0))),"")</f>
        <v/>
      </c>
      <c r="F285" s="19">
        <f>IFERROR(IF(INDEX(Corrupcion!$E$2:$E$377,MATCH($A285&amp;"|"&amp;$B285,Corrupcion!$H$2:$H$377,0))="","",INDEX(Corrupcion!$E$2:$E$377,MATCH($A285&amp;"|"&amp;$B285,Corrupcion!$H$2:$H$377,0))),"")</f>
        <v/>
      </c>
      <c r="G285" s="20">
        <f>IFERROR(IF(INDEX(Corrupcion!$F$2:$F$377,MATCH($A285&amp;"|"&amp;$B285,Corrupcion!$H$2:$H$377,0))="","",INDEX(Corrupcion!$F$2:$F$377,MATCH($A285&amp;"|"&amp;$B285,Corrupcion!$H$2:$H$377,0))),"")</f>
        <v/>
      </c>
      <c r="H285" s="17">
        <f>IFERROR(IF(INDEX(Corrupcion!$G$2:$G$377,MATCH($A285&amp;"|"&amp;$B285,Corrupcion!$H$2:$H$377,0))="","",INDEX(Corrupcion!$G$2:$G$377,MATCH($A285&amp;"|"&amp;$B285,Corrupcion!$H$2:$H$377,0))),"")</f>
        <v/>
      </c>
      <c r="I285" s="8">
        <f>IF(COUNTBLANK(C285:E285)+COUNTBLANK(F285)=0,1,0)</f>
        <v/>
      </c>
      <c r="J285" s="8">
        <f>IF(COUNTBLANK(C285:E285)+COUNTBLANK(G285)=0,1,0)</f>
        <v/>
      </c>
      <c r="K285" s="8">
        <f>IF(COUNTBLANK(C285:E285)+COUNTBLANK(H285)=0,1,0)</f>
        <v/>
      </c>
    </row>
    <row r="286">
      <c r="A286" s="8" t="inlineStr">
        <is>
          <t>Paraguay</t>
        </is>
      </c>
      <c r="B286" s="8" t="n">
        <v>2001</v>
      </c>
      <c r="C286" s="18">
        <f>IF(Categorias!C287="","",Categorias!C287/(N(Categorias!C287)+N(Categorias!D287)+N(Categorias!E287)))</f>
        <v/>
      </c>
      <c r="D286" s="18">
        <f>IF(Categorias!H287="","",Categorias!H287/(N(Categorias!H287)+N(Categorias!I287)))</f>
        <v/>
      </c>
      <c r="E286" s="17">
        <f>IFERROR(IF(INDEX(Gini!$C$2:$C$377,MATCH($A286&amp;"|"&amp;$B286,Gini!$E$2:$E$377,0))="","",INDEX(Gini!$C$2:$C$377,MATCH($A286&amp;"|"&amp;$B286,Gini!$E$2:$E$377,0))),"")</f>
        <v/>
      </c>
      <c r="F286" s="19">
        <f>IFERROR(IF(INDEX(Corrupcion!$E$2:$E$377,MATCH($A286&amp;"|"&amp;$B286,Corrupcion!$H$2:$H$377,0))="","",INDEX(Corrupcion!$E$2:$E$377,MATCH($A286&amp;"|"&amp;$B286,Corrupcion!$H$2:$H$377,0))),"")</f>
        <v/>
      </c>
      <c r="G286" s="20">
        <f>IFERROR(IF(INDEX(Corrupcion!$F$2:$F$377,MATCH($A286&amp;"|"&amp;$B286,Corrupcion!$H$2:$H$377,0))="","",INDEX(Corrupcion!$F$2:$F$377,MATCH($A286&amp;"|"&amp;$B286,Corrupcion!$H$2:$H$377,0))),"")</f>
        <v/>
      </c>
      <c r="H286" s="17">
        <f>IFERROR(IF(INDEX(Corrupcion!$G$2:$G$377,MATCH($A286&amp;"|"&amp;$B286,Corrupcion!$H$2:$H$377,0))="","",INDEX(Corrupcion!$G$2:$G$377,MATCH($A286&amp;"|"&amp;$B286,Corrupcion!$H$2:$H$377,0))),"")</f>
        <v/>
      </c>
      <c r="I286" s="8">
        <f>IF(COUNTBLANK(C286:E286)+COUNTBLANK(F286)=0,1,0)</f>
        <v/>
      </c>
      <c r="J286" s="8">
        <f>IF(COUNTBLANK(C286:E286)+COUNTBLANK(G286)=0,1,0)</f>
        <v/>
      </c>
      <c r="K286" s="8">
        <f>IF(COUNTBLANK(C286:E286)+COUNTBLANK(H286)=0,1,0)</f>
        <v/>
      </c>
    </row>
    <row r="287">
      <c r="A287" s="8" t="inlineStr">
        <is>
          <t>Paraguay</t>
        </is>
      </c>
      <c r="B287" s="8" t="n">
        <v>2002</v>
      </c>
      <c r="C287" s="18">
        <f>IF(Categorias!C288="","",Categorias!C288/(N(Categorias!C288)+N(Categorias!D288)+N(Categorias!E288)))</f>
        <v/>
      </c>
      <c r="D287" s="18">
        <f>IF(Categorias!H288="","",Categorias!H288/(N(Categorias!H288)+N(Categorias!I288)))</f>
        <v/>
      </c>
      <c r="E287" s="17">
        <f>IFERROR(IF(INDEX(Gini!$C$2:$C$377,MATCH($A287&amp;"|"&amp;$B287,Gini!$E$2:$E$377,0))="","",INDEX(Gini!$C$2:$C$377,MATCH($A287&amp;"|"&amp;$B287,Gini!$E$2:$E$377,0))),"")</f>
        <v/>
      </c>
      <c r="F287" s="19">
        <f>IFERROR(IF(INDEX(Corrupcion!$E$2:$E$377,MATCH($A287&amp;"|"&amp;$B287,Corrupcion!$H$2:$H$377,0))="","",INDEX(Corrupcion!$E$2:$E$377,MATCH($A287&amp;"|"&amp;$B287,Corrupcion!$H$2:$H$377,0))),"")</f>
        <v/>
      </c>
      <c r="G287" s="20">
        <f>IFERROR(IF(INDEX(Corrupcion!$F$2:$F$377,MATCH($A287&amp;"|"&amp;$B287,Corrupcion!$H$2:$H$377,0))="","",INDEX(Corrupcion!$F$2:$F$377,MATCH($A287&amp;"|"&amp;$B287,Corrupcion!$H$2:$H$377,0))),"")</f>
        <v/>
      </c>
      <c r="H287" s="17">
        <f>IFERROR(IF(INDEX(Corrupcion!$G$2:$G$377,MATCH($A287&amp;"|"&amp;$B287,Corrupcion!$H$2:$H$377,0))="","",INDEX(Corrupcion!$G$2:$G$377,MATCH($A287&amp;"|"&amp;$B287,Corrupcion!$H$2:$H$377,0))),"")</f>
        <v/>
      </c>
      <c r="I287" s="8">
        <f>IF(COUNTBLANK(C287:E287)+COUNTBLANK(F287)=0,1,0)</f>
        <v/>
      </c>
      <c r="J287" s="8">
        <f>IF(COUNTBLANK(C287:E287)+COUNTBLANK(G287)=0,1,0)</f>
        <v/>
      </c>
      <c r="K287" s="8">
        <f>IF(COUNTBLANK(C287:E287)+COUNTBLANK(H287)=0,1,0)</f>
        <v/>
      </c>
    </row>
    <row r="288">
      <c r="A288" s="8" t="inlineStr">
        <is>
          <t>Paraguay</t>
        </is>
      </c>
      <c r="B288" s="8" t="n">
        <v>2003</v>
      </c>
      <c r="C288" s="18">
        <f>IF(Categorias!C289="","",Categorias!C289/(N(Categorias!C289)+N(Categorias!D289)+N(Categorias!E289)))</f>
        <v/>
      </c>
      <c r="D288" s="18">
        <f>IF(Categorias!H289="","",Categorias!H289/(N(Categorias!H289)+N(Categorias!I289)))</f>
        <v/>
      </c>
      <c r="E288" s="17">
        <f>IFERROR(IF(INDEX(Gini!$C$2:$C$377,MATCH($A288&amp;"|"&amp;$B288,Gini!$E$2:$E$377,0))="","",INDEX(Gini!$C$2:$C$377,MATCH($A288&amp;"|"&amp;$B288,Gini!$E$2:$E$377,0))),"")</f>
        <v/>
      </c>
      <c r="F288" s="19">
        <f>IFERROR(IF(INDEX(Corrupcion!$E$2:$E$377,MATCH($A288&amp;"|"&amp;$B288,Corrupcion!$H$2:$H$377,0))="","",INDEX(Corrupcion!$E$2:$E$377,MATCH($A288&amp;"|"&amp;$B288,Corrupcion!$H$2:$H$377,0))),"")</f>
        <v/>
      </c>
      <c r="G288" s="20">
        <f>IFERROR(IF(INDEX(Corrupcion!$F$2:$F$377,MATCH($A288&amp;"|"&amp;$B288,Corrupcion!$H$2:$H$377,0))="","",INDEX(Corrupcion!$F$2:$F$377,MATCH($A288&amp;"|"&amp;$B288,Corrupcion!$H$2:$H$377,0))),"")</f>
        <v/>
      </c>
      <c r="H288" s="17">
        <f>IFERROR(IF(INDEX(Corrupcion!$G$2:$G$377,MATCH($A288&amp;"|"&amp;$B288,Corrupcion!$H$2:$H$377,0))="","",INDEX(Corrupcion!$G$2:$G$377,MATCH($A288&amp;"|"&amp;$B288,Corrupcion!$H$2:$H$377,0))),"")</f>
        <v/>
      </c>
      <c r="I288" s="8">
        <f>IF(COUNTBLANK(C288:E288)+COUNTBLANK(F288)=0,1,0)</f>
        <v/>
      </c>
      <c r="J288" s="8">
        <f>IF(COUNTBLANK(C288:E288)+COUNTBLANK(G288)=0,1,0)</f>
        <v/>
      </c>
      <c r="K288" s="8">
        <f>IF(COUNTBLANK(C288:E288)+COUNTBLANK(H288)=0,1,0)</f>
        <v/>
      </c>
    </row>
    <row r="289">
      <c r="A289" s="8" t="inlineStr">
        <is>
          <t>Paraguay</t>
        </is>
      </c>
      <c r="B289" s="8" t="n">
        <v>2004</v>
      </c>
      <c r="C289" s="18">
        <f>IF(Categorias!C290="","",Categorias!C290/(N(Categorias!C290)+N(Categorias!D290)+N(Categorias!E290)))</f>
        <v/>
      </c>
      <c r="D289" s="18">
        <f>IF(Categorias!H290="","",Categorias!H290/(N(Categorias!H290)+N(Categorias!I290)))</f>
        <v/>
      </c>
      <c r="E289" s="17">
        <f>IFERROR(IF(INDEX(Gini!$C$2:$C$377,MATCH($A289&amp;"|"&amp;$B289,Gini!$E$2:$E$377,0))="","",INDEX(Gini!$C$2:$C$377,MATCH($A289&amp;"|"&amp;$B289,Gini!$E$2:$E$377,0))),"")</f>
        <v/>
      </c>
      <c r="F289" s="19">
        <f>IFERROR(IF(INDEX(Corrupcion!$E$2:$E$377,MATCH($A289&amp;"|"&amp;$B289,Corrupcion!$H$2:$H$377,0))="","",INDEX(Corrupcion!$E$2:$E$377,MATCH($A289&amp;"|"&amp;$B289,Corrupcion!$H$2:$H$377,0))),"")</f>
        <v/>
      </c>
      <c r="G289" s="20">
        <f>IFERROR(IF(INDEX(Corrupcion!$F$2:$F$377,MATCH($A289&amp;"|"&amp;$B289,Corrupcion!$H$2:$H$377,0))="","",INDEX(Corrupcion!$F$2:$F$377,MATCH($A289&amp;"|"&amp;$B289,Corrupcion!$H$2:$H$377,0))),"")</f>
        <v/>
      </c>
      <c r="H289" s="17">
        <f>IFERROR(IF(INDEX(Corrupcion!$G$2:$G$377,MATCH($A289&amp;"|"&amp;$B289,Corrupcion!$H$2:$H$377,0))="","",INDEX(Corrupcion!$G$2:$G$377,MATCH($A289&amp;"|"&amp;$B289,Corrupcion!$H$2:$H$377,0))),"")</f>
        <v/>
      </c>
      <c r="I289" s="8">
        <f>IF(COUNTBLANK(C289:E289)+COUNTBLANK(F289)=0,1,0)</f>
        <v/>
      </c>
      <c r="J289" s="8">
        <f>IF(COUNTBLANK(C289:E289)+COUNTBLANK(G289)=0,1,0)</f>
        <v/>
      </c>
      <c r="K289" s="8">
        <f>IF(COUNTBLANK(C289:E289)+COUNTBLANK(H289)=0,1,0)</f>
        <v/>
      </c>
    </row>
    <row r="290">
      <c r="A290" s="8" t="inlineStr">
        <is>
          <t>Paraguay</t>
        </is>
      </c>
      <c r="B290" s="8" t="n">
        <v>2005</v>
      </c>
      <c r="C290" s="18">
        <f>IF(Categorias!C291="","",Categorias!C291/(N(Categorias!C291)+N(Categorias!D291)+N(Categorias!E291)))</f>
        <v/>
      </c>
      <c r="D290" s="18">
        <f>IF(Categorias!H291="","",Categorias!H291/(N(Categorias!H291)+N(Categorias!I291)))</f>
        <v/>
      </c>
      <c r="E290" s="17">
        <f>IFERROR(IF(INDEX(Gini!$C$2:$C$377,MATCH($A290&amp;"|"&amp;$B290,Gini!$E$2:$E$377,0))="","",INDEX(Gini!$C$2:$C$377,MATCH($A290&amp;"|"&amp;$B290,Gini!$E$2:$E$377,0))),"")</f>
        <v/>
      </c>
      <c r="F290" s="19">
        <f>IFERROR(IF(INDEX(Corrupcion!$E$2:$E$377,MATCH($A290&amp;"|"&amp;$B290,Corrupcion!$H$2:$H$377,0))="","",INDEX(Corrupcion!$E$2:$E$377,MATCH($A290&amp;"|"&amp;$B290,Corrupcion!$H$2:$H$377,0))),"")</f>
        <v/>
      </c>
      <c r="G290" s="20">
        <f>IFERROR(IF(INDEX(Corrupcion!$F$2:$F$377,MATCH($A290&amp;"|"&amp;$B290,Corrupcion!$H$2:$H$377,0))="","",INDEX(Corrupcion!$F$2:$F$377,MATCH($A290&amp;"|"&amp;$B290,Corrupcion!$H$2:$H$377,0))),"")</f>
        <v/>
      </c>
      <c r="H290" s="17">
        <f>IFERROR(IF(INDEX(Corrupcion!$G$2:$G$377,MATCH($A290&amp;"|"&amp;$B290,Corrupcion!$H$2:$H$377,0))="","",INDEX(Corrupcion!$G$2:$G$377,MATCH($A290&amp;"|"&amp;$B290,Corrupcion!$H$2:$H$377,0))),"")</f>
        <v/>
      </c>
      <c r="I290" s="8">
        <f>IF(COUNTBLANK(C290:E290)+COUNTBLANK(F290)=0,1,0)</f>
        <v/>
      </c>
      <c r="J290" s="8">
        <f>IF(COUNTBLANK(C290:E290)+COUNTBLANK(G290)=0,1,0)</f>
        <v/>
      </c>
      <c r="K290" s="8">
        <f>IF(COUNTBLANK(C290:E290)+COUNTBLANK(H290)=0,1,0)</f>
        <v/>
      </c>
    </row>
    <row r="291">
      <c r="A291" s="8" t="inlineStr">
        <is>
          <t>Paraguay</t>
        </is>
      </c>
      <c r="B291" s="8" t="n">
        <v>2006</v>
      </c>
      <c r="C291" s="18">
        <f>IF(Categorias!C292="","",Categorias!C292/(N(Categorias!C292)+N(Categorias!D292)+N(Categorias!E292)))</f>
        <v/>
      </c>
      <c r="D291" s="18">
        <f>IF(Categorias!H292="","",Categorias!H292/(N(Categorias!H292)+N(Categorias!I292)))</f>
        <v/>
      </c>
      <c r="E291" s="17">
        <f>IFERROR(IF(INDEX(Gini!$C$2:$C$377,MATCH($A291&amp;"|"&amp;$B291,Gini!$E$2:$E$377,0))="","",INDEX(Gini!$C$2:$C$377,MATCH($A291&amp;"|"&amp;$B291,Gini!$E$2:$E$377,0))),"")</f>
        <v/>
      </c>
      <c r="F291" s="19">
        <f>IFERROR(IF(INDEX(Corrupcion!$E$2:$E$377,MATCH($A291&amp;"|"&amp;$B291,Corrupcion!$H$2:$H$377,0))="","",INDEX(Corrupcion!$E$2:$E$377,MATCH($A291&amp;"|"&amp;$B291,Corrupcion!$H$2:$H$377,0))),"")</f>
        <v/>
      </c>
      <c r="G291" s="20">
        <f>IFERROR(IF(INDEX(Corrupcion!$F$2:$F$377,MATCH($A291&amp;"|"&amp;$B291,Corrupcion!$H$2:$H$377,0))="","",INDEX(Corrupcion!$F$2:$F$377,MATCH($A291&amp;"|"&amp;$B291,Corrupcion!$H$2:$H$377,0))),"")</f>
        <v/>
      </c>
      <c r="H291" s="17">
        <f>IFERROR(IF(INDEX(Corrupcion!$G$2:$G$377,MATCH($A291&amp;"|"&amp;$B291,Corrupcion!$H$2:$H$377,0))="","",INDEX(Corrupcion!$G$2:$G$377,MATCH($A291&amp;"|"&amp;$B291,Corrupcion!$H$2:$H$377,0))),"")</f>
        <v/>
      </c>
      <c r="I291" s="8">
        <f>IF(COUNTBLANK(C291:E291)+COUNTBLANK(F291)=0,1,0)</f>
        <v/>
      </c>
      <c r="J291" s="8">
        <f>IF(COUNTBLANK(C291:E291)+COUNTBLANK(G291)=0,1,0)</f>
        <v/>
      </c>
      <c r="K291" s="8">
        <f>IF(COUNTBLANK(C291:E291)+COUNTBLANK(H291)=0,1,0)</f>
        <v/>
      </c>
    </row>
    <row r="292">
      <c r="A292" s="8" t="inlineStr">
        <is>
          <t>Paraguay</t>
        </is>
      </c>
      <c r="B292" s="8" t="n">
        <v>2007</v>
      </c>
      <c r="C292" s="18">
        <f>IF(Categorias!C293="","",Categorias!C293/(N(Categorias!C293)+N(Categorias!D293)+N(Categorias!E293)))</f>
        <v/>
      </c>
      <c r="D292" s="18">
        <f>IF(Categorias!H293="","",Categorias!H293/(N(Categorias!H293)+N(Categorias!I293)))</f>
        <v/>
      </c>
      <c r="E292" s="17">
        <f>IFERROR(IF(INDEX(Gini!$C$2:$C$377,MATCH($A292&amp;"|"&amp;$B292,Gini!$E$2:$E$377,0))="","",INDEX(Gini!$C$2:$C$377,MATCH($A292&amp;"|"&amp;$B292,Gini!$E$2:$E$377,0))),"")</f>
        <v/>
      </c>
      <c r="F292" s="19">
        <f>IFERROR(IF(INDEX(Corrupcion!$E$2:$E$377,MATCH($A292&amp;"|"&amp;$B292,Corrupcion!$H$2:$H$377,0))="","",INDEX(Corrupcion!$E$2:$E$377,MATCH($A292&amp;"|"&amp;$B292,Corrupcion!$H$2:$H$377,0))),"")</f>
        <v/>
      </c>
      <c r="G292" s="20">
        <f>IFERROR(IF(INDEX(Corrupcion!$F$2:$F$377,MATCH($A292&amp;"|"&amp;$B292,Corrupcion!$H$2:$H$377,0))="","",INDEX(Corrupcion!$F$2:$F$377,MATCH($A292&amp;"|"&amp;$B292,Corrupcion!$H$2:$H$377,0))),"")</f>
        <v/>
      </c>
      <c r="H292" s="17">
        <f>IFERROR(IF(INDEX(Corrupcion!$G$2:$G$377,MATCH($A292&amp;"|"&amp;$B292,Corrupcion!$H$2:$H$377,0))="","",INDEX(Corrupcion!$G$2:$G$377,MATCH($A292&amp;"|"&amp;$B292,Corrupcion!$H$2:$H$377,0))),"")</f>
        <v/>
      </c>
      <c r="I292" s="8">
        <f>IF(COUNTBLANK(C292:E292)+COUNTBLANK(F292)=0,1,0)</f>
        <v/>
      </c>
      <c r="J292" s="8">
        <f>IF(COUNTBLANK(C292:E292)+COUNTBLANK(G292)=0,1,0)</f>
        <v/>
      </c>
      <c r="K292" s="8">
        <f>IF(COUNTBLANK(C292:E292)+COUNTBLANK(H292)=0,1,0)</f>
        <v/>
      </c>
    </row>
    <row r="293">
      <c r="A293" s="8" t="inlineStr">
        <is>
          <t>Paraguay</t>
        </is>
      </c>
      <c r="B293" s="8" t="n">
        <v>2008</v>
      </c>
      <c r="C293" s="18">
        <f>IF(Categorias!C294="","",Categorias!C294/(N(Categorias!C294)+N(Categorias!D294)+N(Categorias!E294)))</f>
        <v/>
      </c>
      <c r="D293" s="18">
        <f>IF(Categorias!H294="","",Categorias!H294/(N(Categorias!H294)+N(Categorias!I294)))</f>
        <v/>
      </c>
      <c r="E293" s="17">
        <f>IFERROR(IF(INDEX(Gini!$C$2:$C$377,MATCH($A293&amp;"|"&amp;$B293,Gini!$E$2:$E$377,0))="","",INDEX(Gini!$C$2:$C$377,MATCH($A293&amp;"|"&amp;$B293,Gini!$E$2:$E$377,0))),"")</f>
        <v/>
      </c>
      <c r="F293" s="19">
        <f>IFERROR(IF(INDEX(Corrupcion!$E$2:$E$377,MATCH($A293&amp;"|"&amp;$B293,Corrupcion!$H$2:$H$377,0))="","",INDEX(Corrupcion!$E$2:$E$377,MATCH($A293&amp;"|"&amp;$B293,Corrupcion!$H$2:$H$377,0))),"")</f>
        <v/>
      </c>
      <c r="G293" s="20">
        <f>IFERROR(IF(INDEX(Corrupcion!$F$2:$F$377,MATCH($A293&amp;"|"&amp;$B293,Corrupcion!$H$2:$H$377,0))="","",INDEX(Corrupcion!$F$2:$F$377,MATCH($A293&amp;"|"&amp;$B293,Corrupcion!$H$2:$H$377,0))),"")</f>
        <v/>
      </c>
      <c r="H293" s="17">
        <f>IFERROR(IF(INDEX(Corrupcion!$G$2:$G$377,MATCH($A293&amp;"|"&amp;$B293,Corrupcion!$H$2:$H$377,0))="","",INDEX(Corrupcion!$G$2:$G$377,MATCH($A293&amp;"|"&amp;$B293,Corrupcion!$H$2:$H$377,0))),"")</f>
        <v/>
      </c>
      <c r="I293" s="8">
        <f>IF(COUNTBLANK(C293:E293)+COUNTBLANK(F293)=0,1,0)</f>
        <v/>
      </c>
      <c r="J293" s="8">
        <f>IF(COUNTBLANK(C293:E293)+COUNTBLANK(G293)=0,1,0)</f>
        <v/>
      </c>
      <c r="K293" s="8">
        <f>IF(COUNTBLANK(C293:E293)+COUNTBLANK(H293)=0,1,0)</f>
        <v/>
      </c>
    </row>
    <row r="294">
      <c r="A294" s="8" t="inlineStr">
        <is>
          <t>Paraguay</t>
        </is>
      </c>
      <c r="B294" s="8" t="n">
        <v>2009</v>
      </c>
      <c r="C294" s="18">
        <f>IF(Categorias!C295="","",Categorias!C295/(N(Categorias!C295)+N(Categorias!D295)+N(Categorias!E295)))</f>
        <v/>
      </c>
      <c r="D294" s="18">
        <f>IF(Categorias!H295="","",Categorias!H295/(N(Categorias!H295)+N(Categorias!I295)))</f>
        <v/>
      </c>
      <c r="E294" s="17">
        <f>IFERROR(IF(INDEX(Gini!$C$2:$C$377,MATCH($A294&amp;"|"&amp;$B294,Gini!$E$2:$E$377,0))="","",INDEX(Gini!$C$2:$C$377,MATCH($A294&amp;"|"&amp;$B294,Gini!$E$2:$E$377,0))),"")</f>
        <v/>
      </c>
      <c r="F294" s="19">
        <f>IFERROR(IF(INDEX(Corrupcion!$E$2:$E$377,MATCH($A294&amp;"|"&amp;$B294,Corrupcion!$H$2:$H$377,0))="","",INDEX(Corrupcion!$E$2:$E$377,MATCH($A294&amp;"|"&amp;$B294,Corrupcion!$H$2:$H$377,0))),"")</f>
        <v/>
      </c>
      <c r="G294" s="20">
        <f>IFERROR(IF(INDEX(Corrupcion!$F$2:$F$377,MATCH($A294&amp;"|"&amp;$B294,Corrupcion!$H$2:$H$377,0))="","",INDEX(Corrupcion!$F$2:$F$377,MATCH($A294&amp;"|"&amp;$B294,Corrupcion!$H$2:$H$377,0))),"")</f>
        <v/>
      </c>
      <c r="H294" s="17">
        <f>IFERROR(IF(INDEX(Corrupcion!$G$2:$G$377,MATCH($A294&amp;"|"&amp;$B294,Corrupcion!$H$2:$H$377,0))="","",INDEX(Corrupcion!$G$2:$G$377,MATCH($A294&amp;"|"&amp;$B294,Corrupcion!$H$2:$H$377,0))),"")</f>
        <v/>
      </c>
      <c r="I294" s="8">
        <f>IF(COUNTBLANK(C294:E294)+COUNTBLANK(F294)=0,1,0)</f>
        <v/>
      </c>
      <c r="J294" s="8">
        <f>IF(COUNTBLANK(C294:E294)+COUNTBLANK(G294)=0,1,0)</f>
        <v/>
      </c>
      <c r="K294" s="8">
        <f>IF(COUNTBLANK(C294:E294)+COUNTBLANK(H294)=0,1,0)</f>
        <v/>
      </c>
    </row>
    <row r="295">
      <c r="A295" s="8" t="inlineStr">
        <is>
          <t>Paraguay</t>
        </is>
      </c>
      <c r="B295" s="8" t="n">
        <v>2010</v>
      </c>
      <c r="C295" s="18">
        <f>IF(Categorias!C296="","",Categorias!C296/(N(Categorias!C296)+N(Categorias!D296)+N(Categorias!E296)))</f>
        <v/>
      </c>
      <c r="D295" s="18">
        <f>IF(Categorias!H296="","",Categorias!H296/(N(Categorias!H296)+N(Categorias!I296)))</f>
        <v/>
      </c>
      <c r="E295" s="17">
        <f>IFERROR(IF(INDEX(Gini!$C$2:$C$377,MATCH($A295&amp;"|"&amp;$B295,Gini!$E$2:$E$377,0))="","",INDEX(Gini!$C$2:$C$377,MATCH($A295&amp;"|"&amp;$B295,Gini!$E$2:$E$377,0))),"")</f>
        <v/>
      </c>
      <c r="F295" s="19">
        <f>IFERROR(IF(INDEX(Corrupcion!$E$2:$E$377,MATCH($A295&amp;"|"&amp;$B295,Corrupcion!$H$2:$H$377,0))="","",INDEX(Corrupcion!$E$2:$E$377,MATCH($A295&amp;"|"&amp;$B295,Corrupcion!$H$2:$H$377,0))),"")</f>
        <v/>
      </c>
      <c r="G295" s="20">
        <f>IFERROR(IF(INDEX(Corrupcion!$F$2:$F$377,MATCH($A295&amp;"|"&amp;$B295,Corrupcion!$H$2:$H$377,0))="","",INDEX(Corrupcion!$F$2:$F$377,MATCH($A295&amp;"|"&amp;$B295,Corrupcion!$H$2:$H$377,0))),"")</f>
        <v/>
      </c>
      <c r="H295" s="17">
        <f>IFERROR(IF(INDEX(Corrupcion!$G$2:$G$377,MATCH($A295&amp;"|"&amp;$B295,Corrupcion!$H$2:$H$377,0))="","",INDEX(Corrupcion!$G$2:$G$377,MATCH($A295&amp;"|"&amp;$B295,Corrupcion!$H$2:$H$377,0))),"")</f>
        <v/>
      </c>
      <c r="I295" s="8">
        <f>IF(COUNTBLANK(C295:E295)+COUNTBLANK(F295)=0,1,0)</f>
        <v/>
      </c>
      <c r="J295" s="8">
        <f>IF(COUNTBLANK(C295:E295)+COUNTBLANK(G295)=0,1,0)</f>
        <v/>
      </c>
      <c r="K295" s="8">
        <f>IF(COUNTBLANK(C295:E295)+COUNTBLANK(H295)=0,1,0)</f>
        <v/>
      </c>
    </row>
    <row r="296">
      <c r="A296" s="8" t="inlineStr">
        <is>
          <t>Paraguay</t>
        </is>
      </c>
      <c r="B296" s="8" t="n">
        <v>2011</v>
      </c>
      <c r="C296" s="18">
        <f>IF(Categorias!C297="","",Categorias!C297/(N(Categorias!C297)+N(Categorias!D297)+N(Categorias!E297)))</f>
        <v/>
      </c>
      <c r="D296" s="18">
        <f>IF(Categorias!H297="","",Categorias!H297/(N(Categorias!H297)+N(Categorias!I297)))</f>
        <v/>
      </c>
      <c r="E296" s="17">
        <f>IFERROR(IF(INDEX(Gini!$C$2:$C$377,MATCH($A296&amp;"|"&amp;$B296,Gini!$E$2:$E$377,0))="","",INDEX(Gini!$C$2:$C$377,MATCH($A296&amp;"|"&amp;$B296,Gini!$E$2:$E$377,0))),"")</f>
        <v/>
      </c>
      <c r="F296" s="19">
        <f>IFERROR(IF(INDEX(Corrupcion!$E$2:$E$377,MATCH($A296&amp;"|"&amp;$B296,Corrupcion!$H$2:$H$377,0))="","",INDEX(Corrupcion!$E$2:$E$377,MATCH($A296&amp;"|"&amp;$B296,Corrupcion!$H$2:$H$377,0))),"")</f>
        <v/>
      </c>
      <c r="G296" s="20">
        <f>IFERROR(IF(INDEX(Corrupcion!$F$2:$F$377,MATCH($A296&amp;"|"&amp;$B296,Corrupcion!$H$2:$H$377,0))="","",INDEX(Corrupcion!$F$2:$F$377,MATCH($A296&amp;"|"&amp;$B296,Corrupcion!$H$2:$H$377,0))),"")</f>
        <v/>
      </c>
      <c r="H296" s="17">
        <f>IFERROR(IF(INDEX(Corrupcion!$G$2:$G$377,MATCH($A296&amp;"|"&amp;$B296,Corrupcion!$H$2:$H$377,0))="","",INDEX(Corrupcion!$G$2:$G$377,MATCH($A296&amp;"|"&amp;$B296,Corrupcion!$H$2:$H$377,0))),"")</f>
        <v/>
      </c>
      <c r="I296" s="8">
        <f>IF(COUNTBLANK(C296:E296)+COUNTBLANK(F296)=0,1,0)</f>
        <v/>
      </c>
      <c r="J296" s="8">
        <f>IF(COUNTBLANK(C296:E296)+COUNTBLANK(G296)=0,1,0)</f>
        <v/>
      </c>
      <c r="K296" s="8">
        <f>IF(COUNTBLANK(C296:E296)+COUNTBLANK(H296)=0,1,0)</f>
        <v/>
      </c>
    </row>
    <row r="297">
      <c r="A297" s="8" t="inlineStr">
        <is>
          <t>Paraguay</t>
        </is>
      </c>
      <c r="B297" s="8" t="n">
        <v>2016</v>
      </c>
      <c r="C297" s="18">
        <f>IF(Categorias!C298="","",Categorias!C298/(N(Categorias!C298)+N(Categorias!D298)+N(Categorias!E298)))</f>
        <v/>
      </c>
      <c r="D297" s="18">
        <f>IF(Categorias!H298="","",Categorias!H298/(N(Categorias!H298)+N(Categorias!I298)))</f>
        <v/>
      </c>
      <c r="E297" s="17">
        <f>IFERROR(IF(INDEX(Gini!$C$2:$C$377,MATCH($A297&amp;"|"&amp;$B297,Gini!$E$2:$E$377,0))="","",INDEX(Gini!$C$2:$C$377,MATCH($A297&amp;"|"&amp;$B297,Gini!$E$2:$E$377,0))),"")</f>
        <v/>
      </c>
      <c r="F297" s="19">
        <f>IFERROR(IF(INDEX(Corrupcion!$E$2:$E$377,MATCH($A297&amp;"|"&amp;$B297,Corrupcion!$H$2:$H$377,0))="","",INDEX(Corrupcion!$E$2:$E$377,MATCH($A297&amp;"|"&amp;$B297,Corrupcion!$H$2:$H$377,0))),"")</f>
        <v/>
      </c>
      <c r="G297" s="20">
        <f>IFERROR(IF(INDEX(Corrupcion!$F$2:$F$377,MATCH($A297&amp;"|"&amp;$B297,Corrupcion!$H$2:$H$377,0))="","",INDEX(Corrupcion!$F$2:$F$377,MATCH($A297&amp;"|"&amp;$B297,Corrupcion!$H$2:$H$377,0))),"")</f>
        <v/>
      </c>
      <c r="H297" s="17">
        <f>IFERROR(IF(INDEX(Corrupcion!$G$2:$G$377,MATCH($A297&amp;"|"&amp;$B297,Corrupcion!$H$2:$H$377,0))="","",INDEX(Corrupcion!$G$2:$G$377,MATCH($A297&amp;"|"&amp;$B297,Corrupcion!$H$2:$H$377,0))),"")</f>
        <v/>
      </c>
      <c r="I297" s="8">
        <f>IF(COUNTBLANK(C297:E297)+COUNTBLANK(F297)=0,1,0)</f>
        <v/>
      </c>
      <c r="J297" s="8">
        <f>IF(COUNTBLANK(C297:E297)+COUNTBLANK(G297)=0,1,0)</f>
        <v/>
      </c>
      <c r="K297" s="8">
        <f>IF(COUNTBLANK(C297:E297)+COUNTBLANK(H297)=0,1,0)</f>
        <v/>
      </c>
    </row>
    <row r="298">
      <c r="A298" s="8" t="inlineStr">
        <is>
          <t>Paraguay</t>
        </is>
      </c>
      <c r="B298" s="8" t="n">
        <v>2017</v>
      </c>
      <c r="C298" s="18">
        <f>IF(Categorias!C299="","",Categorias!C299/(N(Categorias!C299)+N(Categorias!D299)+N(Categorias!E299)))</f>
        <v/>
      </c>
      <c r="D298" s="18">
        <f>IF(Categorias!H299="","",Categorias!H299/(N(Categorias!H299)+N(Categorias!I299)))</f>
        <v/>
      </c>
      <c r="E298" s="17">
        <f>IFERROR(IF(INDEX(Gini!$C$2:$C$377,MATCH($A298&amp;"|"&amp;$B298,Gini!$E$2:$E$377,0))="","",INDEX(Gini!$C$2:$C$377,MATCH($A298&amp;"|"&amp;$B298,Gini!$E$2:$E$377,0))),"")</f>
        <v/>
      </c>
      <c r="F298" s="19">
        <f>IFERROR(IF(INDEX(Corrupcion!$E$2:$E$377,MATCH($A298&amp;"|"&amp;$B298,Corrupcion!$H$2:$H$377,0))="","",INDEX(Corrupcion!$E$2:$E$377,MATCH($A298&amp;"|"&amp;$B298,Corrupcion!$H$2:$H$377,0))),"")</f>
        <v/>
      </c>
      <c r="G298" s="20">
        <f>IFERROR(IF(INDEX(Corrupcion!$F$2:$F$377,MATCH($A298&amp;"|"&amp;$B298,Corrupcion!$H$2:$H$377,0))="","",INDEX(Corrupcion!$F$2:$F$377,MATCH($A298&amp;"|"&amp;$B298,Corrupcion!$H$2:$H$377,0))),"")</f>
        <v/>
      </c>
      <c r="H298" s="17">
        <f>IFERROR(IF(INDEX(Corrupcion!$G$2:$G$377,MATCH($A298&amp;"|"&amp;$B298,Corrupcion!$H$2:$H$377,0))="","",INDEX(Corrupcion!$G$2:$G$377,MATCH($A298&amp;"|"&amp;$B298,Corrupcion!$H$2:$H$377,0))),"")</f>
        <v/>
      </c>
      <c r="I298" s="8">
        <f>IF(COUNTBLANK(C298:E298)+COUNTBLANK(F298)=0,1,0)</f>
        <v/>
      </c>
      <c r="J298" s="8">
        <f>IF(COUNTBLANK(C298:E298)+COUNTBLANK(G298)=0,1,0)</f>
        <v/>
      </c>
      <c r="K298" s="8">
        <f>IF(COUNTBLANK(C298:E298)+COUNTBLANK(H298)=0,1,0)</f>
        <v/>
      </c>
    </row>
    <row r="299">
      <c r="A299" s="8" t="inlineStr">
        <is>
          <t>Paraguay</t>
        </is>
      </c>
      <c r="B299" s="8" t="n">
        <v>2018</v>
      </c>
      <c r="C299" s="18">
        <f>IF(Categorias!C300="","",Categorias!C300/(N(Categorias!C300)+N(Categorias!D300)+N(Categorias!E300)))</f>
        <v/>
      </c>
      <c r="D299" s="18">
        <f>IF(Categorias!H300="","",Categorias!H300/(N(Categorias!H300)+N(Categorias!I300)))</f>
        <v/>
      </c>
      <c r="E299" s="17">
        <f>IFERROR(IF(INDEX(Gini!$C$2:$C$377,MATCH($A299&amp;"|"&amp;$B299,Gini!$E$2:$E$377,0))="","",INDEX(Gini!$C$2:$C$377,MATCH($A299&amp;"|"&amp;$B299,Gini!$E$2:$E$377,0))),"")</f>
        <v/>
      </c>
      <c r="F299" s="19">
        <f>IFERROR(IF(INDEX(Corrupcion!$E$2:$E$377,MATCH($A299&amp;"|"&amp;$B299,Corrupcion!$H$2:$H$377,0))="","",INDEX(Corrupcion!$E$2:$E$377,MATCH($A299&amp;"|"&amp;$B299,Corrupcion!$H$2:$H$377,0))),"")</f>
        <v/>
      </c>
      <c r="G299" s="20">
        <f>IFERROR(IF(INDEX(Corrupcion!$F$2:$F$377,MATCH($A299&amp;"|"&amp;$B299,Corrupcion!$H$2:$H$377,0))="","",INDEX(Corrupcion!$F$2:$F$377,MATCH($A299&amp;"|"&amp;$B299,Corrupcion!$H$2:$H$377,0))),"")</f>
        <v/>
      </c>
      <c r="H299" s="17">
        <f>IFERROR(IF(INDEX(Corrupcion!$G$2:$G$377,MATCH($A299&amp;"|"&amp;$B299,Corrupcion!$H$2:$H$377,0))="","",INDEX(Corrupcion!$G$2:$G$377,MATCH($A299&amp;"|"&amp;$B299,Corrupcion!$H$2:$H$377,0))),"")</f>
        <v/>
      </c>
      <c r="I299" s="8">
        <f>IF(COUNTBLANK(C299:E299)+COUNTBLANK(F299)=0,1,0)</f>
        <v/>
      </c>
      <c r="J299" s="8">
        <f>IF(COUNTBLANK(C299:E299)+COUNTBLANK(G299)=0,1,0)</f>
        <v/>
      </c>
      <c r="K299" s="8">
        <f>IF(COUNTBLANK(C299:E299)+COUNTBLANK(H299)=0,1,0)</f>
        <v/>
      </c>
    </row>
    <row r="300">
      <c r="A300" s="8" t="inlineStr">
        <is>
          <t>Paraguay</t>
        </is>
      </c>
      <c r="B300" s="8" t="n">
        <v>2020</v>
      </c>
      <c r="C300" s="18">
        <f>IF(Categorias!C301="","",Categorias!C301/(N(Categorias!C301)+N(Categorias!D301)+N(Categorias!E301)))</f>
        <v/>
      </c>
      <c r="D300" s="18">
        <f>IF(Categorias!H301="","",Categorias!H301/(N(Categorias!H301)+N(Categorias!I301)))</f>
        <v/>
      </c>
      <c r="E300" s="17">
        <f>IFERROR(IF(INDEX(Gini!$C$2:$C$377,MATCH($A300&amp;"|"&amp;$B300,Gini!$E$2:$E$377,0))="","",INDEX(Gini!$C$2:$C$377,MATCH($A300&amp;"|"&amp;$B300,Gini!$E$2:$E$377,0))),"")</f>
        <v/>
      </c>
      <c r="F300" s="19">
        <f>IFERROR(IF(INDEX(Corrupcion!$E$2:$E$377,MATCH($A300&amp;"|"&amp;$B300,Corrupcion!$H$2:$H$377,0))="","",INDEX(Corrupcion!$E$2:$E$377,MATCH($A300&amp;"|"&amp;$B300,Corrupcion!$H$2:$H$377,0))),"")</f>
        <v/>
      </c>
      <c r="G300" s="20">
        <f>IFERROR(IF(INDEX(Corrupcion!$F$2:$F$377,MATCH($A300&amp;"|"&amp;$B300,Corrupcion!$H$2:$H$377,0))="","",INDEX(Corrupcion!$F$2:$F$377,MATCH($A300&amp;"|"&amp;$B300,Corrupcion!$H$2:$H$377,0))),"")</f>
        <v/>
      </c>
      <c r="H300" s="17">
        <f>IFERROR(IF(INDEX(Corrupcion!$G$2:$G$377,MATCH($A300&amp;"|"&amp;$B300,Corrupcion!$H$2:$H$377,0))="","",INDEX(Corrupcion!$G$2:$G$377,MATCH($A300&amp;"|"&amp;$B300,Corrupcion!$H$2:$H$377,0))),"")</f>
        <v/>
      </c>
      <c r="I300" s="8">
        <f>IF(COUNTBLANK(C300:E300)+COUNTBLANK(F300)=0,1,0)</f>
        <v/>
      </c>
      <c r="J300" s="8">
        <f>IF(COUNTBLANK(C300:E300)+COUNTBLANK(G300)=0,1,0)</f>
        <v/>
      </c>
      <c r="K300" s="8">
        <f>IF(COUNTBLANK(C300:E300)+COUNTBLANK(H300)=0,1,0)</f>
        <v/>
      </c>
    </row>
    <row r="301">
      <c r="A301" s="8" t="inlineStr">
        <is>
          <t>Paraguay</t>
        </is>
      </c>
      <c r="B301" s="8" t="n">
        <v>2024</v>
      </c>
      <c r="C301" s="18">
        <f>IF(Categorias!C302="","",Categorias!C302/(N(Categorias!C302)+N(Categorias!D302)+N(Categorias!E302)))</f>
        <v/>
      </c>
      <c r="D301" s="18">
        <f>IF(Categorias!H302="","",Categorias!H302/(N(Categorias!H302)+N(Categorias!I302)))</f>
        <v/>
      </c>
      <c r="E301" s="17">
        <f>IFERROR(IF(INDEX(Gini!$C$2:$C$377,MATCH($A301&amp;"|"&amp;$B301,Gini!$E$2:$E$377,0))="","",INDEX(Gini!$C$2:$C$377,MATCH($A301&amp;"|"&amp;$B301,Gini!$E$2:$E$377,0))),"")</f>
        <v/>
      </c>
      <c r="F301" s="19">
        <f>IFERROR(IF(INDEX(Corrupcion!$E$2:$E$377,MATCH($A301&amp;"|"&amp;$B301,Corrupcion!$H$2:$H$377,0))="","",INDEX(Corrupcion!$E$2:$E$377,MATCH($A301&amp;"|"&amp;$B301,Corrupcion!$H$2:$H$377,0))),"")</f>
        <v/>
      </c>
      <c r="G301" s="20">
        <f>IFERROR(IF(INDEX(Corrupcion!$F$2:$F$377,MATCH($A301&amp;"|"&amp;$B301,Corrupcion!$H$2:$H$377,0))="","",INDEX(Corrupcion!$F$2:$F$377,MATCH($A301&amp;"|"&amp;$B301,Corrupcion!$H$2:$H$377,0))),"")</f>
        <v/>
      </c>
      <c r="H301" s="17">
        <f>IFERROR(IF(INDEX(Corrupcion!$G$2:$G$377,MATCH($A301&amp;"|"&amp;$B301,Corrupcion!$H$2:$H$377,0))="","",INDEX(Corrupcion!$G$2:$G$377,MATCH($A301&amp;"|"&amp;$B301,Corrupcion!$H$2:$H$377,0))),"")</f>
        <v/>
      </c>
      <c r="I301" s="8">
        <f>IF(COUNTBLANK(C301:E301)+COUNTBLANK(F301)=0,1,0)</f>
        <v/>
      </c>
      <c r="J301" s="8">
        <f>IF(COUNTBLANK(C301:E301)+COUNTBLANK(G301)=0,1,0)</f>
        <v/>
      </c>
      <c r="K301" s="8">
        <f>IF(COUNTBLANK(C301:E301)+COUNTBLANK(H301)=0,1,0)</f>
        <v/>
      </c>
    </row>
    <row r="302">
      <c r="A302" s="8" t="inlineStr">
        <is>
          <t>Perú</t>
        </is>
      </c>
      <c r="B302" s="8" t="n">
        <v>1995</v>
      </c>
      <c r="C302" s="18">
        <f>IF(Categorias!C303="","",Categorias!C303/(N(Categorias!C303)+N(Categorias!D303)+N(Categorias!E303)))</f>
        <v/>
      </c>
      <c r="D302" s="18">
        <f>IF(Categorias!H303="","",Categorias!H303/(N(Categorias!H303)+N(Categorias!I303)))</f>
        <v/>
      </c>
      <c r="E302" s="17">
        <f>IFERROR(IF(INDEX(Gini!$C$2:$C$377,MATCH($A302&amp;"|"&amp;$B302,Gini!$E$2:$E$377,0))="","",INDEX(Gini!$C$2:$C$377,MATCH($A302&amp;"|"&amp;$B302,Gini!$E$2:$E$377,0))),"")</f>
        <v/>
      </c>
      <c r="F302" s="19">
        <f>IFERROR(IF(INDEX(Corrupcion!$E$2:$E$377,MATCH($A302&amp;"|"&amp;$B302,Corrupcion!$H$2:$H$377,0))="","",INDEX(Corrupcion!$E$2:$E$377,MATCH($A302&amp;"|"&amp;$B302,Corrupcion!$H$2:$H$377,0))),"")</f>
        <v/>
      </c>
      <c r="G302" s="20">
        <f>IFERROR(IF(INDEX(Corrupcion!$F$2:$F$377,MATCH($A302&amp;"|"&amp;$B302,Corrupcion!$H$2:$H$377,0))="","",INDEX(Corrupcion!$F$2:$F$377,MATCH($A302&amp;"|"&amp;$B302,Corrupcion!$H$2:$H$377,0))),"")</f>
        <v/>
      </c>
      <c r="H302" s="17">
        <f>IFERROR(IF(INDEX(Corrupcion!$G$2:$G$377,MATCH($A302&amp;"|"&amp;$B302,Corrupcion!$H$2:$H$377,0))="","",INDEX(Corrupcion!$G$2:$G$377,MATCH($A302&amp;"|"&amp;$B302,Corrupcion!$H$2:$H$377,0))),"")</f>
        <v/>
      </c>
      <c r="I302" s="8">
        <f>IF(COUNTBLANK(C302:E302)+COUNTBLANK(F302)=0,1,0)</f>
        <v/>
      </c>
      <c r="J302" s="8">
        <f>IF(COUNTBLANK(C302:E302)+COUNTBLANK(G302)=0,1,0)</f>
        <v/>
      </c>
      <c r="K302" s="8">
        <f>IF(COUNTBLANK(C302:E302)+COUNTBLANK(H302)=0,1,0)</f>
        <v/>
      </c>
    </row>
    <row r="303">
      <c r="A303" s="8" t="inlineStr">
        <is>
          <t>Perú</t>
        </is>
      </c>
      <c r="B303" s="8" t="n">
        <v>1996</v>
      </c>
      <c r="C303" s="18">
        <f>IF(Categorias!C304="","",Categorias!C304/(N(Categorias!C304)+N(Categorias!D304)+N(Categorias!E304)))</f>
        <v/>
      </c>
      <c r="D303" s="18">
        <f>IF(Categorias!H304="","",Categorias!H304/(N(Categorias!H304)+N(Categorias!I304)))</f>
        <v/>
      </c>
      <c r="E303" s="17">
        <f>IFERROR(IF(INDEX(Gini!$C$2:$C$377,MATCH($A303&amp;"|"&amp;$B303,Gini!$E$2:$E$377,0))="","",INDEX(Gini!$C$2:$C$377,MATCH($A303&amp;"|"&amp;$B303,Gini!$E$2:$E$377,0))),"")</f>
        <v/>
      </c>
      <c r="F303" s="19">
        <f>IFERROR(IF(INDEX(Corrupcion!$E$2:$E$377,MATCH($A303&amp;"|"&amp;$B303,Corrupcion!$H$2:$H$377,0))="","",INDEX(Corrupcion!$E$2:$E$377,MATCH($A303&amp;"|"&amp;$B303,Corrupcion!$H$2:$H$377,0))),"")</f>
        <v/>
      </c>
      <c r="G303" s="20">
        <f>IFERROR(IF(INDEX(Corrupcion!$F$2:$F$377,MATCH($A303&amp;"|"&amp;$B303,Corrupcion!$H$2:$H$377,0))="","",INDEX(Corrupcion!$F$2:$F$377,MATCH($A303&amp;"|"&amp;$B303,Corrupcion!$H$2:$H$377,0))),"")</f>
        <v/>
      </c>
      <c r="H303" s="17">
        <f>IFERROR(IF(INDEX(Corrupcion!$G$2:$G$377,MATCH($A303&amp;"|"&amp;$B303,Corrupcion!$H$2:$H$377,0))="","",INDEX(Corrupcion!$G$2:$G$377,MATCH($A303&amp;"|"&amp;$B303,Corrupcion!$H$2:$H$377,0))),"")</f>
        <v/>
      </c>
      <c r="I303" s="8">
        <f>IF(COUNTBLANK(C303:E303)+COUNTBLANK(F303)=0,1,0)</f>
        <v/>
      </c>
      <c r="J303" s="8">
        <f>IF(COUNTBLANK(C303:E303)+COUNTBLANK(G303)=0,1,0)</f>
        <v/>
      </c>
      <c r="K303" s="8">
        <f>IF(COUNTBLANK(C303:E303)+COUNTBLANK(H303)=0,1,0)</f>
        <v/>
      </c>
    </row>
    <row r="304">
      <c r="A304" s="8" t="inlineStr">
        <is>
          <t>Perú</t>
        </is>
      </c>
      <c r="B304" s="8" t="n">
        <v>1997</v>
      </c>
      <c r="C304" s="18">
        <f>IF(Categorias!C305="","",Categorias!C305/(N(Categorias!C305)+N(Categorias!D305)+N(Categorias!E305)))</f>
        <v/>
      </c>
      <c r="D304" s="18">
        <f>IF(Categorias!H305="","",Categorias!H305/(N(Categorias!H305)+N(Categorias!I305)))</f>
        <v/>
      </c>
      <c r="E304" s="17">
        <f>IFERROR(IF(INDEX(Gini!$C$2:$C$377,MATCH($A304&amp;"|"&amp;$B304,Gini!$E$2:$E$377,0))="","",INDEX(Gini!$C$2:$C$377,MATCH($A304&amp;"|"&amp;$B304,Gini!$E$2:$E$377,0))),"")</f>
        <v/>
      </c>
      <c r="F304" s="19">
        <f>IFERROR(IF(INDEX(Corrupcion!$E$2:$E$377,MATCH($A304&amp;"|"&amp;$B304,Corrupcion!$H$2:$H$377,0))="","",INDEX(Corrupcion!$E$2:$E$377,MATCH($A304&amp;"|"&amp;$B304,Corrupcion!$H$2:$H$377,0))),"")</f>
        <v/>
      </c>
      <c r="G304" s="20">
        <f>IFERROR(IF(INDEX(Corrupcion!$F$2:$F$377,MATCH($A304&amp;"|"&amp;$B304,Corrupcion!$H$2:$H$377,0))="","",INDEX(Corrupcion!$F$2:$F$377,MATCH($A304&amp;"|"&amp;$B304,Corrupcion!$H$2:$H$377,0))),"")</f>
        <v/>
      </c>
      <c r="H304" s="17">
        <f>IFERROR(IF(INDEX(Corrupcion!$G$2:$G$377,MATCH($A304&amp;"|"&amp;$B304,Corrupcion!$H$2:$H$377,0))="","",INDEX(Corrupcion!$G$2:$G$377,MATCH($A304&amp;"|"&amp;$B304,Corrupcion!$H$2:$H$377,0))),"")</f>
        <v/>
      </c>
      <c r="I304" s="8">
        <f>IF(COUNTBLANK(C304:E304)+COUNTBLANK(F304)=0,1,0)</f>
        <v/>
      </c>
      <c r="J304" s="8">
        <f>IF(COUNTBLANK(C304:E304)+COUNTBLANK(G304)=0,1,0)</f>
        <v/>
      </c>
      <c r="K304" s="8">
        <f>IF(COUNTBLANK(C304:E304)+COUNTBLANK(H304)=0,1,0)</f>
        <v/>
      </c>
    </row>
    <row r="305">
      <c r="A305" s="8" t="inlineStr">
        <is>
          <t>Perú</t>
        </is>
      </c>
      <c r="B305" s="8" t="n">
        <v>1998</v>
      </c>
      <c r="C305" s="18">
        <f>IF(Categorias!C306="","",Categorias!C306/(N(Categorias!C306)+N(Categorias!D306)+N(Categorias!E306)))</f>
        <v/>
      </c>
      <c r="D305" s="18">
        <f>IF(Categorias!H306="","",Categorias!H306/(N(Categorias!H306)+N(Categorias!I306)))</f>
        <v/>
      </c>
      <c r="E305" s="17">
        <f>IFERROR(IF(INDEX(Gini!$C$2:$C$377,MATCH($A305&amp;"|"&amp;$B305,Gini!$E$2:$E$377,0))="","",INDEX(Gini!$C$2:$C$377,MATCH($A305&amp;"|"&amp;$B305,Gini!$E$2:$E$377,0))),"")</f>
        <v/>
      </c>
      <c r="F305" s="19">
        <f>IFERROR(IF(INDEX(Corrupcion!$E$2:$E$377,MATCH($A305&amp;"|"&amp;$B305,Corrupcion!$H$2:$H$377,0))="","",INDEX(Corrupcion!$E$2:$E$377,MATCH($A305&amp;"|"&amp;$B305,Corrupcion!$H$2:$H$377,0))),"")</f>
        <v/>
      </c>
      <c r="G305" s="20">
        <f>IFERROR(IF(INDEX(Corrupcion!$F$2:$F$377,MATCH($A305&amp;"|"&amp;$B305,Corrupcion!$H$2:$H$377,0))="","",INDEX(Corrupcion!$F$2:$F$377,MATCH($A305&amp;"|"&amp;$B305,Corrupcion!$H$2:$H$377,0))),"")</f>
        <v/>
      </c>
      <c r="H305" s="17">
        <f>IFERROR(IF(INDEX(Corrupcion!$G$2:$G$377,MATCH($A305&amp;"|"&amp;$B305,Corrupcion!$H$2:$H$377,0))="","",INDEX(Corrupcion!$G$2:$G$377,MATCH($A305&amp;"|"&amp;$B305,Corrupcion!$H$2:$H$377,0))),"")</f>
        <v/>
      </c>
      <c r="I305" s="8">
        <f>IF(COUNTBLANK(C305:E305)+COUNTBLANK(F305)=0,1,0)</f>
        <v/>
      </c>
      <c r="J305" s="8">
        <f>IF(COUNTBLANK(C305:E305)+COUNTBLANK(G305)=0,1,0)</f>
        <v/>
      </c>
      <c r="K305" s="8">
        <f>IF(COUNTBLANK(C305:E305)+COUNTBLANK(H305)=0,1,0)</f>
        <v/>
      </c>
    </row>
    <row r="306">
      <c r="A306" s="8" t="inlineStr">
        <is>
          <t>Perú</t>
        </is>
      </c>
      <c r="B306" s="8" t="n">
        <v>2000</v>
      </c>
      <c r="C306" s="18">
        <f>IF(Categorias!C307="","",Categorias!C307/(N(Categorias!C307)+N(Categorias!D307)+N(Categorias!E307)))</f>
        <v/>
      </c>
      <c r="D306" s="18">
        <f>IF(Categorias!H307="","",Categorias!H307/(N(Categorias!H307)+N(Categorias!I307)))</f>
        <v/>
      </c>
      <c r="E306" s="17">
        <f>IFERROR(IF(INDEX(Gini!$C$2:$C$377,MATCH($A306&amp;"|"&amp;$B306,Gini!$E$2:$E$377,0))="","",INDEX(Gini!$C$2:$C$377,MATCH($A306&amp;"|"&amp;$B306,Gini!$E$2:$E$377,0))),"")</f>
        <v/>
      </c>
      <c r="F306" s="19">
        <f>IFERROR(IF(INDEX(Corrupcion!$E$2:$E$377,MATCH($A306&amp;"|"&amp;$B306,Corrupcion!$H$2:$H$377,0))="","",INDEX(Corrupcion!$E$2:$E$377,MATCH($A306&amp;"|"&amp;$B306,Corrupcion!$H$2:$H$377,0))),"")</f>
        <v/>
      </c>
      <c r="G306" s="20">
        <f>IFERROR(IF(INDEX(Corrupcion!$F$2:$F$377,MATCH($A306&amp;"|"&amp;$B306,Corrupcion!$H$2:$H$377,0))="","",INDEX(Corrupcion!$F$2:$F$377,MATCH($A306&amp;"|"&amp;$B306,Corrupcion!$H$2:$H$377,0))),"")</f>
        <v/>
      </c>
      <c r="H306" s="17">
        <f>IFERROR(IF(INDEX(Corrupcion!$G$2:$G$377,MATCH($A306&amp;"|"&amp;$B306,Corrupcion!$H$2:$H$377,0))="","",INDEX(Corrupcion!$G$2:$G$377,MATCH($A306&amp;"|"&amp;$B306,Corrupcion!$H$2:$H$377,0))),"")</f>
        <v/>
      </c>
      <c r="I306" s="8">
        <f>IF(COUNTBLANK(C306:E306)+COUNTBLANK(F306)=0,1,0)</f>
        <v/>
      </c>
      <c r="J306" s="8">
        <f>IF(COUNTBLANK(C306:E306)+COUNTBLANK(G306)=0,1,0)</f>
        <v/>
      </c>
      <c r="K306" s="8">
        <f>IF(COUNTBLANK(C306:E306)+COUNTBLANK(H306)=0,1,0)</f>
        <v/>
      </c>
    </row>
    <row r="307">
      <c r="A307" s="8" t="inlineStr">
        <is>
          <t>Perú</t>
        </is>
      </c>
      <c r="B307" s="8" t="n">
        <v>2001</v>
      </c>
      <c r="C307" s="18">
        <f>IF(Categorias!C308="","",Categorias!C308/(N(Categorias!C308)+N(Categorias!D308)+N(Categorias!E308)))</f>
        <v/>
      </c>
      <c r="D307" s="18">
        <f>IF(Categorias!H308="","",Categorias!H308/(N(Categorias!H308)+N(Categorias!I308)))</f>
        <v/>
      </c>
      <c r="E307" s="17">
        <f>IFERROR(IF(INDEX(Gini!$C$2:$C$377,MATCH($A307&amp;"|"&amp;$B307,Gini!$E$2:$E$377,0))="","",INDEX(Gini!$C$2:$C$377,MATCH($A307&amp;"|"&amp;$B307,Gini!$E$2:$E$377,0))),"")</f>
        <v/>
      </c>
      <c r="F307" s="19">
        <f>IFERROR(IF(INDEX(Corrupcion!$E$2:$E$377,MATCH($A307&amp;"|"&amp;$B307,Corrupcion!$H$2:$H$377,0))="","",INDEX(Corrupcion!$E$2:$E$377,MATCH($A307&amp;"|"&amp;$B307,Corrupcion!$H$2:$H$377,0))),"")</f>
        <v/>
      </c>
      <c r="G307" s="20">
        <f>IFERROR(IF(INDEX(Corrupcion!$F$2:$F$377,MATCH($A307&amp;"|"&amp;$B307,Corrupcion!$H$2:$H$377,0))="","",INDEX(Corrupcion!$F$2:$F$377,MATCH($A307&amp;"|"&amp;$B307,Corrupcion!$H$2:$H$377,0))),"")</f>
        <v/>
      </c>
      <c r="H307" s="17">
        <f>IFERROR(IF(INDEX(Corrupcion!$G$2:$G$377,MATCH($A307&amp;"|"&amp;$B307,Corrupcion!$H$2:$H$377,0))="","",INDEX(Corrupcion!$G$2:$G$377,MATCH($A307&amp;"|"&amp;$B307,Corrupcion!$H$2:$H$377,0))),"")</f>
        <v/>
      </c>
      <c r="I307" s="8">
        <f>IF(COUNTBLANK(C307:E307)+COUNTBLANK(F307)=0,1,0)</f>
        <v/>
      </c>
      <c r="J307" s="8">
        <f>IF(COUNTBLANK(C307:E307)+COUNTBLANK(G307)=0,1,0)</f>
        <v/>
      </c>
      <c r="K307" s="8">
        <f>IF(COUNTBLANK(C307:E307)+COUNTBLANK(H307)=0,1,0)</f>
        <v/>
      </c>
    </row>
    <row r="308">
      <c r="A308" s="8" t="inlineStr">
        <is>
          <t>Perú</t>
        </is>
      </c>
      <c r="B308" s="8" t="n">
        <v>2002</v>
      </c>
      <c r="C308" s="18">
        <f>IF(Categorias!C309="","",Categorias!C309/(N(Categorias!C309)+N(Categorias!D309)+N(Categorias!E309)))</f>
        <v/>
      </c>
      <c r="D308" s="18">
        <f>IF(Categorias!H309="","",Categorias!H309/(N(Categorias!H309)+N(Categorias!I309)))</f>
        <v/>
      </c>
      <c r="E308" s="17">
        <f>IFERROR(IF(INDEX(Gini!$C$2:$C$377,MATCH($A308&amp;"|"&amp;$B308,Gini!$E$2:$E$377,0))="","",INDEX(Gini!$C$2:$C$377,MATCH($A308&amp;"|"&amp;$B308,Gini!$E$2:$E$377,0))),"")</f>
        <v/>
      </c>
      <c r="F308" s="19">
        <f>IFERROR(IF(INDEX(Corrupcion!$E$2:$E$377,MATCH($A308&amp;"|"&amp;$B308,Corrupcion!$H$2:$H$377,0))="","",INDEX(Corrupcion!$E$2:$E$377,MATCH($A308&amp;"|"&amp;$B308,Corrupcion!$H$2:$H$377,0))),"")</f>
        <v/>
      </c>
      <c r="G308" s="20">
        <f>IFERROR(IF(INDEX(Corrupcion!$F$2:$F$377,MATCH($A308&amp;"|"&amp;$B308,Corrupcion!$H$2:$H$377,0))="","",INDEX(Corrupcion!$F$2:$F$377,MATCH($A308&amp;"|"&amp;$B308,Corrupcion!$H$2:$H$377,0))),"")</f>
        <v/>
      </c>
      <c r="H308" s="17">
        <f>IFERROR(IF(INDEX(Corrupcion!$G$2:$G$377,MATCH($A308&amp;"|"&amp;$B308,Corrupcion!$H$2:$H$377,0))="","",INDEX(Corrupcion!$G$2:$G$377,MATCH($A308&amp;"|"&amp;$B308,Corrupcion!$H$2:$H$377,0))),"")</f>
        <v/>
      </c>
      <c r="I308" s="8">
        <f>IF(COUNTBLANK(C308:E308)+COUNTBLANK(F308)=0,1,0)</f>
        <v/>
      </c>
      <c r="J308" s="8">
        <f>IF(COUNTBLANK(C308:E308)+COUNTBLANK(G308)=0,1,0)</f>
        <v/>
      </c>
      <c r="K308" s="8">
        <f>IF(COUNTBLANK(C308:E308)+COUNTBLANK(H308)=0,1,0)</f>
        <v/>
      </c>
    </row>
    <row r="309">
      <c r="A309" s="8" t="inlineStr">
        <is>
          <t>Perú</t>
        </is>
      </c>
      <c r="B309" s="8" t="n">
        <v>2003</v>
      </c>
      <c r="C309" s="18">
        <f>IF(Categorias!C310="","",Categorias!C310/(N(Categorias!C310)+N(Categorias!D310)+N(Categorias!E310)))</f>
        <v/>
      </c>
      <c r="D309" s="18">
        <f>IF(Categorias!H310="","",Categorias!H310/(N(Categorias!H310)+N(Categorias!I310)))</f>
        <v/>
      </c>
      <c r="E309" s="17">
        <f>IFERROR(IF(INDEX(Gini!$C$2:$C$377,MATCH($A309&amp;"|"&amp;$B309,Gini!$E$2:$E$377,0))="","",INDEX(Gini!$C$2:$C$377,MATCH($A309&amp;"|"&amp;$B309,Gini!$E$2:$E$377,0))),"")</f>
        <v/>
      </c>
      <c r="F309" s="19">
        <f>IFERROR(IF(INDEX(Corrupcion!$E$2:$E$377,MATCH($A309&amp;"|"&amp;$B309,Corrupcion!$H$2:$H$377,0))="","",INDEX(Corrupcion!$E$2:$E$377,MATCH($A309&amp;"|"&amp;$B309,Corrupcion!$H$2:$H$377,0))),"")</f>
        <v/>
      </c>
      <c r="G309" s="20">
        <f>IFERROR(IF(INDEX(Corrupcion!$F$2:$F$377,MATCH($A309&amp;"|"&amp;$B309,Corrupcion!$H$2:$H$377,0))="","",INDEX(Corrupcion!$F$2:$F$377,MATCH($A309&amp;"|"&amp;$B309,Corrupcion!$H$2:$H$377,0))),"")</f>
        <v/>
      </c>
      <c r="H309" s="17">
        <f>IFERROR(IF(INDEX(Corrupcion!$G$2:$G$377,MATCH($A309&amp;"|"&amp;$B309,Corrupcion!$H$2:$H$377,0))="","",INDEX(Corrupcion!$G$2:$G$377,MATCH($A309&amp;"|"&amp;$B309,Corrupcion!$H$2:$H$377,0))),"")</f>
        <v/>
      </c>
      <c r="I309" s="8">
        <f>IF(COUNTBLANK(C309:E309)+COUNTBLANK(F309)=0,1,0)</f>
        <v/>
      </c>
      <c r="J309" s="8">
        <f>IF(COUNTBLANK(C309:E309)+COUNTBLANK(G309)=0,1,0)</f>
        <v/>
      </c>
      <c r="K309" s="8">
        <f>IF(COUNTBLANK(C309:E309)+COUNTBLANK(H309)=0,1,0)</f>
        <v/>
      </c>
    </row>
    <row r="310">
      <c r="A310" s="8" t="inlineStr">
        <is>
          <t>Perú</t>
        </is>
      </c>
      <c r="B310" s="8" t="n">
        <v>2004</v>
      </c>
      <c r="C310" s="18">
        <f>IF(Categorias!C311="","",Categorias!C311/(N(Categorias!C311)+N(Categorias!D311)+N(Categorias!E311)))</f>
        <v/>
      </c>
      <c r="D310" s="18">
        <f>IF(Categorias!H311="","",Categorias!H311/(N(Categorias!H311)+N(Categorias!I311)))</f>
        <v/>
      </c>
      <c r="E310" s="17">
        <f>IFERROR(IF(INDEX(Gini!$C$2:$C$377,MATCH($A310&amp;"|"&amp;$B310,Gini!$E$2:$E$377,0))="","",INDEX(Gini!$C$2:$C$377,MATCH($A310&amp;"|"&amp;$B310,Gini!$E$2:$E$377,0))),"")</f>
        <v/>
      </c>
      <c r="F310" s="19">
        <f>IFERROR(IF(INDEX(Corrupcion!$E$2:$E$377,MATCH($A310&amp;"|"&amp;$B310,Corrupcion!$H$2:$H$377,0))="","",INDEX(Corrupcion!$E$2:$E$377,MATCH($A310&amp;"|"&amp;$B310,Corrupcion!$H$2:$H$377,0))),"")</f>
        <v/>
      </c>
      <c r="G310" s="20">
        <f>IFERROR(IF(INDEX(Corrupcion!$F$2:$F$377,MATCH($A310&amp;"|"&amp;$B310,Corrupcion!$H$2:$H$377,0))="","",INDEX(Corrupcion!$F$2:$F$377,MATCH($A310&amp;"|"&amp;$B310,Corrupcion!$H$2:$H$377,0))),"")</f>
        <v/>
      </c>
      <c r="H310" s="17">
        <f>IFERROR(IF(INDEX(Corrupcion!$G$2:$G$377,MATCH($A310&amp;"|"&amp;$B310,Corrupcion!$H$2:$H$377,0))="","",INDEX(Corrupcion!$G$2:$G$377,MATCH($A310&amp;"|"&amp;$B310,Corrupcion!$H$2:$H$377,0))),"")</f>
        <v/>
      </c>
      <c r="I310" s="8">
        <f>IF(COUNTBLANK(C310:E310)+COUNTBLANK(F310)=0,1,0)</f>
        <v/>
      </c>
      <c r="J310" s="8">
        <f>IF(COUNTBLANK(C310:E310)+COUNTBLANK(G310)=0,1,0)</f>
        <v/>
      </c>
      <c r="K310" s="8">
        <f>IF(COUNTBLANK(C310:E310)+COUNTBLANK(H310)=0,1,0)</f>
        <v/>
      </c>
    </row>
    <row r="311">
      <c r="A311" s="8" t="inlineStr">
        <is>
          <t>Perú</t>
        </is>
      </c>
      <c r="B311" s="8" t="n">
        <v>2005</v>
      </c>
      <c r="C311" s="18">
        <f>IF(Categorias!C312="","",Categorias!C312/(N(Categorias!C312)+N(Categorias!D312)+N(Categorias!E312)))</f>
        <v/>
      </c>
      <c r="D311" s="18">
        <f>IF(Categorias!H312="","",Categorias!H312/(N(Categorias!H312)+N(Categorias!I312)))</f>
        <v/>
      </c>
      <c r="E311" s="17">
        <f>IFERROR(IF(INDEX(Gini!$C$2:$C$377,MATCH($A311&amp;"|"&amp;$B311,Gini!$E$2:$E$377,0))="","",INDEX(Gini!$C$2:$C$377,MATCH($A311&amp;"|"&amp;$B311,Gini!$E$2:$E$377,0))),"")</f>
        <v/>
      </c>
      <c r="F311" s="19">
        <f>IFERROR(IF(INDEX(Corrupcion!$E$2:$E$377,MATCH($A311&amp;"|"&amp;$B311,Corrupcion!$H$2:$H$377,0))="","",INDEX(Corrupcion!$E$2:$E$377,MATCH($A311&amp;"|"&amp;$B311,Corrupcion!$H$2:$H$377,0))),"")</f>
        <v/>
      </c>
      <c r="G311" s="20">
        <f>IFERROR(IF(INDEX(Corrupcion!$F$2:$F$377,MATCH($A311&amp;"|"&amp;$B311,Corrupcion!$H$2:$H$377,0))="","",INDEX(Corrupcion!$F$2:$F$377,MATCH($A311&amp;"|"&amp;$B311,Corrupcion!$H$2:$H$377,0))),"")</f>
        <v/>
      </c>
      <c r="H311" s="17">
        <f>IFERROR(IF(INDEX(Corrupcion!$G$2:$G$377,MATCH($A311&amp;"|"&amp;$B311,Corrupcion!$H$2:$H$377,0))="","",INDEX(Corrupcion!$G$2:$G$377,MATCH($A311&amp;"|"&amp;$B311,Corrupcion!$H$2:$H$377,0))),"")</f>
        <v/>
      </c>
      <c r="I311" s="8">
        <f>IF(COUNTBLANK(C311:E311)+COUNTBLANK(F311)=0,1,0)</f>
        <v/>
      </c>
      <c r="J311" s="8">
        <f>IF(COUNTBLANK(C311:E311)+COUNTBLANK(G311)=0,1,0)</f>
        <v/>
      </c>
      <c r="K311" s="8">
        <f>IF(COUNTBLANK(C311:E311)+COUNTBLANK(H311)=0,1,0)</f>
        <v/>
      </c>
    </row>
    <row r="312">
      <c r="A312" s="8" t="inlineStr">
        <is>
          <t>Perú</t>
        </is>
      </c>
      <c r="B312" s="8" t="n">
        <v>2006</v>
      </c>
      <c r="C312" s="18">
        <f>IF(Categorias!C313="","",Categorias!C313/(N(Categorias!C313)+N(Categorias!D313)+N(Categorias!E313)))</f>
        <v/>
      </c>
      <c r="D312" s="18">
        <f>IF(Categorias!H313="","",Categorias!H313/(N(Categorias!H313)+N(Categorias!I313)))</f>
        <v/>
      </c>
      <c r="E312" s="17">
        <f>IFERROR(IF(INDEX(Gini!$C$2:$C$377,MATCH($A312&amp;"|"&amp;$B312,Gini!$E$2:$E$377,0))="","",INDEX(Gini!$C$2:$C$377,MATCH($A312&amp;"|"&amp;$B312,Gini!$E$2:$E$377,0))),"")</f>
        <v/>
      </c>
      <c r="F312" s="19">
        <f>IFERROR(IF(INDEX(Corrupcion!$E$2:$E$377,MATCH($A312&amp;"|"&amp;$B312,Corrupcion!$H$2:$H$377,0))="","",INDEX(Corrupcion!$E$2:$E$377,MATCH($A312&amp;"|"&amp;$B312,Corrupcion!$H$2:$H$377,0))),"")</f>
        <v/>
      </c>
      <c r="G312" s="20">
        <f>IFERROR(IF(INDEX(Corrupcion!$F$2:$F$377,MATCH($A312&amp;"|"&amp;$B312,Corrupcion!$H$2:$H$377,0))="","",INDEX(Corrupcion!$F$2:$F$377,MATCH($A312&amp;"|"&amp;$B312,Corrupcion!$H$2:$H$377,0))),"")</f>
        <v/>
      </c>
      <c r="H312" s="17">
        <f>IFERROR(IF(INDEX(Corrupcion!$G$2:$G$377,MATCH($A312&amp;"|"&amp;$B312,Corrupcion!$H$2:$H$377,0))="","",INDEX(Corrupcion!$G$2:$G$377,MATCH($A312&amp;"|"&amp;$B312,Corrupcion!$H$2:$H$377,0))),"")</f>
        <v/>
      </c>
      <c r="I312" s="8">
        <f>IF(COUNTBLANK(C312:E312)+COUNTBLANK(F312)=0,1,0)</f>
        <v/>
      </c>
      <c r="J312" s="8">
        <f>IF(COUNTBLANK(C312:E312)+COUNTBLANK(G312)=0,1,0)</f>
        <v/>
      </c>
      <c r="K312" s="8">
        <f>IF(COUNTBLANK(C312:E312)+COUNTBLANK(H312)=0,1,0)</f>
        <v/>
      </c>
    </row>
    <row r="313">
      <c r="A313" s="8" t="inlineStr">
        <is>
          <t>Perú</t>
        </is>
      </c>
      <c r="B313" s="8" t="n">
        <v>2007</v>
      </c>
      <c r="C313" s="18">
        <f>IF(Categorias!C314="","",Categorias!C314/(N(Categorias!C314)+N(Categorias!D314)+N(Categorias!E314)))</f>
        <v/>
      </c>
      <c r="D313" s="18">
        <f>IF(Categorias!H314="","",Categorias!H314/(N(Categorias!H314)+N(Categorias!I314)))</f>
        <v/>
      </c>
      <c r="E313" s="17">
        <f>IFERROR(IF(INDEX(Gini!$C$2:$C$377,MATCH($A313&amp;"|"&amp;$B313,Gini!$E$2:$E$377,0))="","",INDEX(Gini!$C$2:$C$377,MATCH($A313&amp;"|"&amp;$B313,Gini!$E$2:$E$377,0))),"")</f>
        <v/>
      </c>
      <c r="F313" s="19">
        <f>IFERROR(IF(INDEX(Corrupcion!$E$2:$E$377,MATCH($A313&amp;"|"&amp;$B313,Corrupcion!$H$2:$H$377,0))="","",INDEX(Corrupcion!$E$2:$E$377,MATCH($A313&amp;"|"&amp;$B313,Corrupcion!$H$2:$H$377,0))),"")</f>
        <v/>
      </c>
      <c r="G313" s="20">
        <f>IFERROR(IF(INDEX(Corrupcion!$F$2:$F$377,MATCH($A313&amp;"|"&amp;$B313,Corrupcion!$H$2:$H$377,0))="","",INDEX(Corrupcion!$F$2:$F$377,MATCH($A313&amp;"|"&amp;$B313,Corrupcion!$H$2:$H$377,0))),"")</f>
        <v/>
      </c>
      <c r="H313" s="17">
        <f>IFERROR(IF(INDEX(Corrupcion!$G$2:$G$377,MATCH($A313&amp;"|"&amp;$B313,Corrupcion!$H$2:$H$377,0))="","",INDEX(Corrupcion!$G$2:$G$377,MATCH($A313&amp;"|"&amp;$B313,Corrupcion!$H$2:$H$377,0))),"")</f>
        <v/>
      </c>
      <c r="I313" s="8">
        <f>IF(COUNTBLANK(C313:E313)+COUNTBLANK(F313)=0,1,0)</f>
        <v/>
      </c>
      <c r="J313" s="8">
        <f>IF(COUNTBLANK(C313:E313)+COUNTBLANK(G313)=0,1,0)</f>
        <v/>
      </c>
      <c r="K313" s="8">
        <f>IF(COUNTBLANK(C313:E313)+COUNTBLANK(H313)=0,1,0)</f>
        <v/>
      </c>
    </row>
    <row r="314">
      <c r="A314" s="8" t="inlineStr">
        <is>
          <t>Perú</t>
        </is>
      </c>
      <c r="B314" s="8" t="n">
        <v>2008</v>
      </c>
      <c r="C314" s="18">
        <f>IF(Categorias!C315="","",Categorias!C315/(N(Categorias!C315)+N(Categorias!D315)+N(Categorias!E315)))</f>
        <v/>
      </c>
      <c r="D314" s="18">
        <f>IF(Categorias!H315="","",Categorias!H315/(N(Categorias!H315)+N(Categorias!I315)))</f>
        <v/>
      </c>
      <c r="E314" s="17">
        <f>IFERROR(IF(INDEX(Gini!$C$2:$C$377,MATCH($A314&amp;"|"&amp;$B314,Gini!$E$2:$E$377,0))="","",INDEX(Gini!$C$2:$C$377,MATCH($A314&amp;"|"&amp;$B314,Gini!$E$2:$E$377,0))),"")</f>
        <v/>
      </c>
      <c r="F314" s="19">
        <f>IFERROR(IF(INDEX(Corrupcion!$E$2:$E$377,MATCH($A314&amp;"|"&amp;$B314,Corrupcion!$H$2:$H$377,0))="","",INDEX(Corrupcion!$E$2:$E$377,MATCH($A314&amp;"|"&amp;$B314,Corrupcion!$H$2:$H$377,0))),"")</f>
        <v/>
      </c>
      <c r="G314" s="20">
        <f>IFERROR(IF(INDEX(Corrupcion!$F$2:$F$377,MATCH($A314&amp;"|"&amp;$B314,Corrupcion!$H$2:$H$377,0))="","",INDEX(Corrupcion!$F$2:$F$377,MATCH($A314&amp;"|"&amp;$B314,Corrupcion!$H$2:$H$377,0))),"")</f>
        <v/>
      </c>
      <c r="H314" s="17">
        <f>IFERROR(IF(INDEX(Corrupcion!$G$2:$G$377,MATCH($A314&amp;"|"&amp;$B314,Corrupcion!$H$2:$H$377,0))="","",INDEX(Corrupcion!$G$2:$G$377,MATCH($A314&amp;"|"&amp;$B314,Corrupcion!$H$2:$H$377,0))),"")</f>
        <v/>
      </c>
      <c r="I314" s="8">
        <f>IF(COUNTBLANK(C314:E314)+COUNTBLANK(F314)=0,1,0)</f>
        <v/>
      </c>
      <c r="J314" s="8">
        <f>IF(COUNTBLANK(C314:E314)+COUNTBLANK(G314)=0,1,0)</f>
        <v/>
      </c>
      <c r="K314" s="8">
        <f>IF(COUNTBLANK(C314:E314)+COUNTBLANK(H314)=0,1,0)</f>
        <v/>
      </c>
    </row>
    <row r="315">
      <c r="A315" s="8" t="inlineStr">
        <is>
          <t>Perú</t>
        </is>
      </c>
      <c r="B315" s="8" t="n">
        <v>2009</v>
      </c>
      <c r="C315" s="18">
        <f>IF(Categorias!C316="","",Categorias!C316/(N(Categorias!C316)+N(Categorias!D316)+N(Categorias!E316)))</f>
        <v/>
      </c>
      <c r="D315" s="18">
        <f>IF(Categorias!H316="","",Categorias!H316/(N(Categorias!H316)+N(Categorias!I316)))</f>
        <v/>
      </c>
      <c r="E315" s="17">
        <f>IFERROR(IF(INDEX(Gini!$C$2:$C$377,MATCH($A315&amp;"|"&amp;$B315,Gini!$E$2:$E$377,0))="","",INDEX(Gini!$C$2:$C$377,MATCH($A315&amp;"|"&amp;$B315,Gini!$E$2:$E$377,0))),"")</f>
        <v/>
      </c>
      <c r="F315" s="19">
        <f>IFERROR(IF(INDEX(Corrupcion!$E$2:$E$377,MATCH($A315&amp;"|"&amp;$B315,Corrupcion!$H$2:$H$377,0))="","",INDEX(Corrupcion!$E$2:$E$377,MATCH($A315&amp;"|"&amp;$B315,Corrupcion!$H$2:$H$377,0))),"")</f>
        <v/>
      </c>
      <c r="G315" s="20">
        <f>IFERROR(IF(INDEX(Corrupcion!$F$2:$F$377,MATCH($A315&amp;"|"&amp;$B315,Corrupcion!$H$2:$H$377,0))="","",INDEX(Corrupcion!$F$2:$F$377,MATCH($A315&amp;"|"&amp;$B315,Corrupcion!$H$2:$H$377,0))),"")</f>
        <v/>
      </c>
      <c r="H315" s="17">
        <f>IFERROR(IF(INDEX(Corrupcion!$G$2:$G$377,MATCH($A315&amp;"|"&amp;$B315,Corrupcion!$H$2:$H$377,0))="","",INDEX(Corrupcion!$G$2:$G$377,MATCH($A315&amp;"|"&amp;$B315,Corrupcion!$H$2:$H$377,0))),"")</f>
        <v/>
      </c>
      <c r="I315" s="8">
        <f>IF(COUNTBLANK(C315:E315)+COUNTBLANK(F315)=0,1,0)</f>
        <v/>
      </c>
      <c r="J315" s="8">
        <f>IF(COUNTBLANK(C315:E315)+COUNTBLANK(G315)=0,1,0)</f>
        <v/>
      </c>
      <c r="K315" s="8">
        <f>IF(COUNTBLANK(C315:E315)+COUNTBLANK(H315)=0,1,0)</f>
        <v/>
      </c>
    </row>
    <row r="316">
      <c r="A316" s="8" t="inlineStr">
        <is>
          <t>Perú</t>
        </is>
      </c>
      <c r="B316" s="8" t="n">
        <v>2010</v>
      </c>
      <c r="C316" s="18">
        <f>IF(Categorias!C317="","",Categorias!C317/(N(Categorias!C317)+N(Categorias!D317)+N(Categorias!E317)))</f>
        <v/>
      </c>
      <c r="D316" s="18">
        <f>IF(Categorias!H317="","",Categorias!H317/(N(Categorias!H317)+N(Categorias!I317)))</f>
        <v/>
      </c>
      <c r="E316" s="17">
        <f>IFERROR(IF(INDEX(Gini!$C$2:$C$377,MATCH($A316&amp;"|"&amp;$B316,Gini!$E$2:$E$377,0))="","",INDEX(Gini!$C$2:$C$377,MATCH($A316&amp;"|"&amp;$B316,Gini!$E$2:$E$377,0))),"")</f>
        <v/>
      </c>
      <c r="F316" s="19">
        <f>IFERROR(IF(INDEX(Corrupcion!$E$2:$E$377,MATCH($A316&amp;"|"&amp;$B316,Corrupcion!$H$2:$H$377,0))="","",INDEX(Corrupcion!$E$2:$E$377,MATCH($A316&amp;"|"&amp;$B316,Corrupcion!$H$2:$H$377,0))),"")</f>
        <v/>
      </c>
      <c r="G316" s="20">
        <f>IFERROR(IF(INDEX(Corrupcion!$F$2:$F$377,MATCH($A316&amp;"|"&amp;$B316,Corrupcion!$H$2:$H$377,0))="","",INDEX(Corrupcion!$F$2:$F$377,MATCH($A316&amp;"|"&amp;$B316,Corrupcion!$H$2:$H$377,0))),"")</f>
        <v/>
      </c>
      <c r="H316" s="17">
        <f>IFERROR(IF(INDEX(Corrupcion!$G$2:$G$377,MATCH($A316&amp;"|"&amp;$B316,Corrupcion!$H$2:$H$377,0))="","",INDEX(Corrupcion!$G$2:$G$377,MATCH($A316&amp;"|"&amp;$B316,Corrupcion!$H$2:$H$377,0))),"")</f>
        <v/>
      </c>
      <c r="I316" s="8">
        <f>IF(COUNTBLANK(C316:E316)+COUNTBLANK(F316)=0,1,0)</f>
        <v/>
      </c>
      <c r="J316" s="8">
        <f>IF(COUNTBLANK(C316:E316)+COUNTBLANK(G316)=0,1,0)</f>
        <v/>
      </c>
      <c r="K316" s="8">
        <f>IF(COUNTBLANK(C316:E316)+COUNTBLANK(H316)=0,1,0)</f>
        <v/>
      </c>
    </row>
    <row r="317">
      <c r="A317" s="8" t="inlineStr">
        <is>
          <t>Perú</t>
        </is>
      </c>
      <c r="B317" s="8" t="n">
        <v>2011</v>
      </c>
      <c r="C317" s="18">
        <f>IF(Categorias!C318="","",Categorias!C318/(N(Categorias!C318)+N(Categorias!D318)+N(Categorias!E318)))</f>
        <v/>
      </c>
      <c r="D317" s="18">
        <f>IF(Categorias!H318="","",Categorias!H318/(N(Categorias!H318)+N(Categorias!I318)))</f>
        <v/>
      </c>
      <c r="E317" s="17">
        <f>IFERROR(IF(INDEX(Gini!$C$2:$C$377,MATCH($A317&amp;"|"&amp;$B317,Gini!$E$2:$E$377,0))="","",INDEX(Gini!$C$2:$C$377,MATCH($A317&amp;"|"&amp;$B317,Gini!$E$2:$E$377,0))),"")</f>
        <v/>
      </c>
      <c r="F317" s="19">
        <f>IFERROR(IF(INDEX(Corrupcion!$E$2:$E$377,MATCH($A317&amp;"|"&amp;$B317,Corrupcion!$H$2:$H$377,0))="","",INDEX(Corrupcion!$E$2:$E$377,MATCH($A317&amp;"|"&amp;$B317,Corrupcion!$H$2:$H$377,0))),"")</f>
        <v/>
      </c>
      <c r="G317" s="20">
        <f>IFERROR(IF(INDEX(Corrupcion!$F$2:$F$377,MATCH($A317&amp;"|"&amp;$B317,Corrupcion!$H$2:$H$377,0))="","",INDEX(Corrupcion!$F$2:$F$377,MATCH($A317&amp;"|"&amp;$B317,Corrupcion!$H$2:$H$377,0))),"")</f>
        <v/>
      </c>
      <c r="H317" s="17">
        <f>IFERROR(IF(INDEX(Corrupcion!$G$2:$G$377,MATCH($A317&amp;"|"&amp;$B317,Corrupcion!$H$2:$H$377,0))="","",INDEX(Corrupcion!$G$2:$G$377,MATCH($A317&amp;"|"&amp;$B317,Corrupcion!$H$2:$H$377,0))),"")</f>
        <v/>
      </c>
      <c r="I317" s="8">
        <f>IF(COUNTBLANK(C317:E317)+COUNTBLANK(F317)=0,1,0)</f>
        <v/>
      </c>
      <c r="J317" s="8">
        <f>IF(COUNTBLANK(C317:E317)+COUNTBLANK(G317)=0,1,0)</f>
        <v/>
      </c>
      <c r="K317" s="8">
        <f>IF(COUNTBLANK(C317:E317)+COUNTBLANK(H317)=0,1,0)</f>
        <v/>
      </c>
    </row>
    <row r="318">
      <c r="A318" s="8" t="inlineStr">
        <is>
          <t>Perú</t>
        </is>
      </c>
      <c r="B318" s="8" t="n">
        <v>2015</v>
      </c>
      <c r="C318" s="18">
        <f>IF(Categorias!C319="","",Categorias!C319/(N(Categorias!C319)+N(Categorias!D319)+N(Categorias!E319)))</f>
        <v/>
      </c>
      <c r="D318" s="18">
        <f>IF(Categorias!H319="","",Categorias!H319/(N(Categorias!H319)+N(Categorias!I319)))</f>
        <v/>
      </c>
      <c r="E318" s="17">
        <f>IFERROR(IF(INDEX(Gini!$C$2:$C$377,MATCH($A318&amp;"|"&amp;$B318,Gini!$E$2:$E$377,0))="","",INDEX(Gini!$C$2:$C$377,MATCH($A318&amp;"|"&amp;$B318,Gini!$E$2:$E$377,0))),"")</f>
        <v/>
      </c>
      <c r="F318" s="19">
        <f>IFERROR(IF(INDEX(Corrupcion!$E$2:$E$377,MATCH($A318&amp;"|"&amp;$B318,Corrupcion!$H$2:$H$377,0))="","",INDEX(Corrupcion!$E$2:$E$377,MATCH($A318&amp;"|"&amp;$B318,Corrupcion!$H$2:$H$377,0))),"")</f>
        <v/>
      </c>
      <c r="G318" s="20">
        <f>IFERROR(IF(INDEX(Corrupcion!$F$2:$F$377,MATCH($A318&amp;"|"&amp;$B318,Corrupcion!$H$2:$H$377,0))="","",INDEX(Corrupcion!$F$2:$F$377,MATCH($A318&amp;"|"&amp;$B318,Corrupcion!$H$2:$H$377,0))),"")</f>
        <v/>
      </c>
      <c r="H318" s="17">
        <f>IFERROR(IF(INDEX(Corrupcion!$G$2:$G$377,MATCH($A318&amp;"|"&amp;$B318,Corrupcion!$H$2:$H$377,0))="","",INDEX(Corrupcion!$G$2:$G$377,MATCH($A318&amp;"|"&amp;$B318,Corrupcion!$H$2:$H$377,0))),"")</f>
        <v/>
      </c>
      <c r="I318" s="8">
        <f>IF(COUNTBLANK(C318:E318)+COUNTBLANK(F318)=0,1,0)</f>
        <v/>
      </c>
      <c r="J318" s="8">
        <f>IF(COUNTBLANK(C318:E318)+COUNTBLANK(G318)=0,1,0)</f>
        <v/>
      </c>
      <c r="K318" s="8">
        <f>IF(COUNTBLANK(C318:E318)+COUNTBLANK(H318)=0,1,0)</f>
        <v/>
      </c>
    </row>
    <row r="319">
      <c r="A319" s="8" t="inlineStr">
        <is>
          <t>Perú</t>
        </is>
      </c>
      <c r="B319" s="8" t="n">
        <v>2016</v>
      </c>
      <c r="C319" s="18">
        <f>IF(Categorias!C320="","",Categorias!C320/(N(Categorias!C320)+N(Categorias!D320)+N(Categorias!E320)))</f>
        <v/>
      </c>
      <c r="D319" s="18">
        <f>IF(Categorias!H320="","",Categorias!H320/(N(Categorias!H320)+N(Categorias!I320)))</f>
        <v/>
      </c>
      <c r="E319" s="17">
        <f>IFERROR(IF(INDEX(Gini!$C$2:$C$377,MATCH($A319&amp;"|"&amp;$B319,Gini!$E$2:$E$377,0))="","",INDEX(Gini!$C$2:$C$377,MATCH($A319&amp;"|"&amp;$B319,Gini!$E$2:$E$377,0))),"")</f>
        <v/>
      </c>
      <c r="F319" s="19">
        <f>IFERROR(IF(INDEX(Corrupcion!$E$2:$E$377,MATCH($A319&amp;"|"&amp;$B319,Corrupcion!$H$2:$H$377,0))="","",INDEX(Corrupcion!$E$2:$E$377,MATCH($A319&amp;"|"&amp;$B319,Corrupcion!$H$2:$H$377,0))),"")</f>
        <v/>
      </c>
      <c r="G319" s="20">
        <f>IFERROR(IF(INDEX(Corrupcion!$F$2:$F$377,MATCH($A319&amp;"|"&amp;$B319,Corrupcion!$H$2:$H$377,0))="","",INDEX(Corrupcion!$F$2:$F$377,MATCH($A319&amp;"|"&amp;$B319,Corrupcion!$H$2:$H$377,0))),"")</f>
        <v/>
      </c>
      <c r="H319" s="17">
        <f>IFERROR(IF(INDEX(Corrupcion!$G$2:$G$377,MATCH($A319&amp;"|"&amp;$B319,Corrupcion!$H$2:$H$377,0))="","",INDEX(Corrupcion!$G$2:$G$377,MATCH($A319&amp;"|"&amp;$B319,Corrupcion!$H$2:$H$377,0))),"")</f>
        <v/>
      </c>
      <c r="I319" s="8">
        <f>IF(COUNTBLANK(C319:E319)+COUNTBLANK(F319)=0,1,0)</f>
        <v/>
      </c>
      <c r="J319" s="8">
        <f>IF(COUNTBLANK(C319:E319)+COUNTBLANK(G319)=0,1,0)</f>
        <v/>
      </c>
      <c r="K319" s="8">
        <f>IF(COUNTBLANK(C319:E319)+COUNTBLANK(H319)=0,1,0)</f>
        <v/>
      </c>
    </row>
    <row r="320">
      <c r="A320" s="8" t="inlineStr">
        <is>
          <t>Perú</t>
        </is>
      </c>
      <c r="B320" s="8" t="n">
        <v>2017</v>
      </c>
      <c r="C320" s="18">
        <f>IF(Categorias!C321="","",Categorias!C321/(N(Categorias!C321)+N(Categorias!D321)+N(Categorias!E321)))</f>
        <v/>
      </c>
      <c r="D320" s="18">
        <f>IF(Categorias!H321="","",Categorias!H321/(N(Categorias!H321)+N(Categorias!I321)))</f>
        <v/>
      </c>
      <c r="E320" s="17">
        <f>IFERROR(IF(INDEX(Gini!$C$2:$C$377,MATCH($A320&amp;"|"&amp;$B320,Gini!$E$2:$E$377,0))="","",INDEX(Gini!$C$2:$C$377,MATCH($A320&amp;"|"&amp;$B320,Gini!$E$2:$E$377,0))),"")</f>
        <v/>
      </c>
      <c r="F320" s="19">
        <f>IFERROR(IF(INDEX(Corrupcion!$E$2:$E$377,MATCH($A320&amp;"|"&amp;$B320,Corrupcion!$H$2:$H$377,0))="","",INDEX(Corrupcion!$E$2:$E$377,MATCH($A320&amp;"|"&amp;$B320,Corrupcion!$H$2:$H$377,0))),"")</f>
        <v/>
      </c>
      <c r="G320" s="20">
        <f>IFERROR(IF(INDEX(Corrupcion!$F$2:$F$377,MATCH($A320&amp;"|"&amp;$B320,Corrupcion!$H$2:$H$377,0))="","",INDEX(Corrupcion!$F$2:$F$377,MATCH($A320&amp;"|"&amp;$B320,Corrupcion!$H$2:$H$377,0))),"")</f>
        <v/>
      </c>
      <c r="H320" s="17">
        <f>IFERROR(IF(INDEX(Corrupcion!$G$2:$G$377,MATCH($A320&amp;"|"&amp;$B320,Corrupcion!$H$2:$H$377,0))="","",INDEX(Corrupcion!$G$2:$G$377,MATCH($A320&amp;"|"&amp;$B320,Corrupcion!$H$2:$H$377,0))),"")</f>
        <v/>
      </c>
      <c r="I320" s="8">
        <f>IF(COUNTBLANK(C320:E320)+COUNTBLANK(F320)=0,1,0)</f>
        <v/>
      </c>
      <c r="J320" s="8">
        <f>IF(COUNTBLANK(C320:E320)+COUNTBLANK(G320)=0,1,0)</f>
        <v/>
      </c>
      <c r="K320" s="8">
        <f>IF(COUNTBLANK(C320:E320)+COUNTBLANK(H320)=0,1,0)</f>
        <v/>
      </c>
    </row>
    <row r="321">
      <c r="A321" s="8" t="inlineStr">
        <is>
          <t>Perú</t>
        </is>
      </c>
      <c r="B321" s="8" t="n">
        <v>2018</v>
      </c>
      <c r="C321" s="18">
        <f>IF(Categorias!C322="","",Categorias!C322/(N(Categorias!C322)+N(Categorias!D322)+N(Categorias!E322)))</f>
        <v/>
      </c>
      <c r="D321" s="18">
        <f>IF(Categorias!H322="","",Categorias!H322/(N(Categorias!H322)+N(Categorias!I322)))</f>
        <v/>
      </c>
      <c r="E321" s="17">
        <f>IFERROR(IF(INDEX(Gini!$C$2:$C$377,MATCH($A321&amp;"|"&amp;$B321,Gini!$E$2:$E$377,0))="","",INDEX(Gini!$C$2:$C$377,MATCH($A321&amp;"|"&amp;$B321,Gini!$E$2:$E$377,0))),"")</f>
        <v/>
      </c>
      <c r="F321" s="19">
        <f>IFERROR(IF(INDEX(Corrupcion!$E$2:$E$377,MATCH($A321&amp;"|"&amp;$B321,Corrupcion!$H$2:$H$377,0))="","",INDEX(Corrupcion!$E$2:$E$377,MATCH($A321&amp;"|"&amp;$B321,Corrupcion!$H$2:$H$377,0))),"")</f>
        <v/>
      </c>
      <c r="G321" s="20">
        <f>IFERROR(IF(INDEX(Corrupcion!$F$2:$F$377,MATCH($A321&amp;"|"&amp;$B321,Corrupcion!$H$2:$H$377,0))="","",INDEX(Corrupcion!$F$2:$F$377,MATCH($A321&amp;"|"&amp;$B321,Corrupcion!$H$2:$H$377,0))),"")</f>
        <v/>
      </c>
      <c r="H321" s="17">
        <f>IFERROR(IF(INDEX(Corrupcion!$G$2:$G$377,MATCH($A321&amp;"|"&amp;$B321,Corrupcion!$H$2:$H$377,0))="","",INDEX(Corrupcion!$G$2:$G$377,MATCH($A321&amp;"|"&amp;$B321,Corrupcion!$H$2:$H$377,0))),"")</f>
        <v/>
      </c>
      <c r="I321" s="8">
        <f>IF(COUNTBLANK(C321:E321)+COUNTBLANK(F321)=0,1,0)</f>
        <v/>
      </c>
      <c r="J321" s="8">
        <f>IF(COUNTBLANK(C321:E321)+COUNTBLANK(G321)=0,1,0)</f>
        <v/>
      </c>
      <c r="K321" s="8">
        <f>IF(COUNTBLANK(C321:E321)+COUNTBLANK(H321)=0,1,0)</f>
        <v/>
      </c>
    </row>
    <row r="322">
      <c r="A322" s="8" t="inlineStr">
        <is>
          <t>Perú</t>
        </is>
      </c>
      <c r="B322" s="8" t="n">
        <v>2020</v>
      </c>
      <c r="C322" s="18">
        <f>IF(Categorias!C323="","",Categorias!C323/(N(Categorias!C323)+N(Categorias!D323)+N(Categorias!E323)))</f>
        <v/>
      </c>
      <c r="D322" s="18">
        <f>IF(Categorias!H323="","",Categorias!H323/(N(Categorias!H323)+N(Categorias!I323)))</f>
        <v/>
      </c>
      <c r="E322" s="17">
        <f>IFERROR(IF(INDEX(Gini!$C$2:$C$377,MATCH($A322&amp;"|"&amp;$B322,Gini!$E$2:$E$377,0))="","",INDEX(Gini!$C$2:$C$377,MATCH($A322&amp;"|"&amp;$B322,Gini!$E$2:$E$377,0))),"")</f>
        <v/>
      </c>
      <c r="F322" s="19">
        <f>IFERROR(IF(INDEX(Corrupcion!$E$2:$E$377,MATCH($A322&amp;"|"&amp;$B322,Corrupcion!$H$2:$H$377,0))="","",INDEX(Corrupcion!$E$2:$E$377,MATCH($A322&amp;"|"&amp;$B322,Corrupcion!$H$2:$H$377,0))),"")</f>
        <v/>
      </c>
      <c r="G322" s="20">
        <f>IFERROR(IF(INDEX(Corrupcion!$F$2:$F$377,MATCH($A322&amp;"|"&amp;$B322,Corrupcion!$H$2:$H$377,0))="","",INDEX(Corrupcion!$F$2:$F$377,MATCH($A322&amp;"|"&amp;$B322,Corrupcion!$H$2:$H$377,0))),"")</f>
        <v/>
      </c>
      <c r="H322" s="17">
        <f>IFERROR(IF(INDEX(Corrupcion!$G$2:$G$377,MATCH($A322&amp;"|"&amp;$B322,Corrupcion!$H$2:$H$377,0))="","",INDEX(Corrupcion!$G$2:$G$377,MATCH($A322&amp;"|"&amp;$B322,Corrupcion!$H$2:$H$377,0))),"")</f>
        <v/>
      </c>
      <c r="I322" s="8">
        <f>IF(COUNTBLANK(C322:E322)+COUNTBLANK(F322)=0,1,0)</f>
        <v/>
      </c>
      <c r="J322" s="8">
        <f>IF(COUNTBLANK(C322:E322)+COUNTBLANK(G322)=0,1,0)</f>
        <v/>
      </c>
      <c r="K322" s="8">
        <f>IF(COUNTBLANK(C322:E322)+COUNTBLANK(H322)=0,1,0)</f>
        <v/>
      </c>
    </row>
    <row r="323">
      <c r="A323" s="8" t="inlineStr">
        <is>
          <t>Perú</t>
        </is>
      </c>
      <c r="B323" s="8" t="n">
        <v>2024</v>
      </c>
      <c r="C323" s="18">
        <f>IF(Categorias!C324="","",Categorias!C324/(N(Categorias!C324)+N(Categorias!D324)+N(Categorias!E324)))</f>
        <v/>
      </c>
      <c r="D323" s="18">
        <f>IF(Categorias!H324="","",Categorias!H324/(N(Categorias!H324)+N(Categorias!I324)))</f>
        <v/>
      </c>
      <c r="E323" s="17">
        <f>IFERROR(IF(INDEX(Gini!$C$2:$C$377,MATCH($A323&amp;"|"&amp;$B323,Gini!$E$2:$E$377,0))="","",INDEX(Gini!$C$2:$C$377,MATCH($A323&amp;"|"&amp;$B323,Gini!$E$2:$E$377,0))),"")</f>
        <v/>
      </c>
      <c r="F323" s="19">
        <f>IFERROR(IF(INDEX(Corrupcion!$E$2:$E$377,MATCH($A323&amp;"|"&amp;$B323,Corrupcion!$H$2:$H$377,0))="","",INDEX(Corrupcion!$E$2:$E$377,MATCH($A323&amp;"|"&amp;$B323,Corrupcion!$H$2:$H$377,0))),"")</f>
        <v/>
      </c>
      <c r="G323" s="20">
        <f>IFERROR(IF(INDEX(Corrupcion!$F$2:$F$377,MATCH($A323&amp;"|"&amp;$B323,Corrupcion!$H$2:$H$377,0))="","",INDEX(Corrupcion!$F$2:$F$377,MATCH($A323&amp;"|"&amp;$B323,Corrupcion!$H$2:$H$377,0))),"")</f>
        <v/>
      </c>
      <c r="H323" s="17">
        <f>IFERROR(IF(INDEX(Corrupcion!$G$2:$G$377,MATCH($A323&amp;"|"&amp;$B323,Corrupcion!$H$2:$H$377,0))="","",INDEX(Corrupcion!$G$2:$G$377,MATCH($A323&amp;"|"&amp;$B323,Corrupcion!$H$2:$H$377,0))),"")</f>
        <v/>
      </c>
      <c r="I323" s="8">
        <f>IF(COUNTBLANK(C323:E323)+COUNTBLANK(F323)=0,1,0)</f>
        <v/>
      </c>
      <c r="J323" s="8">
        <f>IF(COUNTBLANK(C323:E323)+COUNTBLANK(G323)=0,1,0)</f>
        <v/>
      </c>
      <c r="K323" s="8">
        <f>IF(COUNTBLANK(C323:E323)+COUNTBLANK(H323)=0,1,0)</f>
        <v/>
      </c>
    </row>
    <row r="324">
      <c r="A324" s="8" t="inlineStr">
        <is>
          <t>España</t>
        </is>
      </c>
      <c r="B324" s="8" t="n">
        <v>1996</v>
      </c>
      <c r="C324" s="18">
        <f>IF(Categorias!C325="","",Categorias!C325/(N(Categorias!C325)+N(Categorias!D325)+N(Categorias!E325)))</f>
        <v/>
      </c>
      <c r="D324" s="18">
        <f>IF(Categorias!H325="","",Categorias!H325/(N(Categorias!H325)+N(Categorias!I325)))</f>
        <v/>
      </c>
      <c r="E324" s="17">
        <f>IFERROR(IF(INDEX(Gini!$C$2:$C$377,MATCH($A324&amp;"|"&amp;$B324,Gini!$E$2:$E$377,0))="","",INDEX(Gini!$C$2:$C$377,MATCH($A324&amp;"|"&amp;$B324,Gini!$E$2:$E$377,0))),"")</f>
        <v/>
      </c>
      <c r="F324" s="19">
        <f>IFERROR(IF(INDEX(Corrupcion!$E$2:$E$377,MATCH($A324&amp;"|"&amp;$B324,Corrupcion!$H$2:$H$377,0))="","",INDEX(Corrupcion!$E$2:$E$377,MATCH($A324&amp;"|"&amp;$B324,Corrupcion!$H$2:$H$377,0))),"")</f>
        <v/>
      </c>
      <c r="G324" s="20">
        <f>IFERROR(IF(INDEX(Corrupcion!$F$2:$F$377,MATCH($A324&amp;"|"&amp;$B324,Corrupcion!$H$2:$H$377,0))="","",INDEX(Corrupcion!$F$2:$F$377,MATCH($A324&amp;"|"&amp;$B324,Corrupcion!$H$2:$H$377,0))),"")</f>
        <v/>
      </c>
      <c r="H324" s="17">
        <f>IFERROR(IF(INDEX(Corrupcion!$G$2:$G$377,MATCH($A324&amp;"|"&amp;$B324,Corrupcion!$H$2:$H$377,0))="","",INDEX(Corrupcion!$G$2:$G$377,MATCH($A324&amp;"|"&amp;$B324,Corrupcion!$H$2:$H$377,0))),"")</f>
        <v/>
      </c>
      <c r="I324" s="8">
        <f>IF(COUNTBLANK(C324:E324)+COUNTBLANK(F324)=0,1,0)</f>
        <v/>
      </c>
      <c r="J324" s="8">
        <f>IF(COUNTBLANK(C324:E324)+COUNTBLANK(G324)=0,1,0)</f>
        <v/>
      </c>
      <c r="K324" s="8">
        <f>IF(COUNTBLANK(C324:E324)+COUNTBLANK(H324)=0,1,0)</f>
        <v/>
      </c>
    </row>
    <row r="325">
      <c r="A325" s="8" t="inlineStr">
        <is>
          <t>España</t>
        </is>
      </c>
      <c r="B325" s="8" t="n">
        <v>1997</v>
      </c>
      <c r="C325" s="18">
        <f>IF(Categorias!C326="","",Categorias!C326/(N(Categorias!C326)+N(Categorias!D326)+N(Categorias!E326)))</f>
        <v/>
      </c>
      <c r="D325" s="18">
        <f>IF(Categorias!H326="","",Categorias!H326/(N(Categorias!H326)+N(Categorias!I326)))</f>
        <v/>
      </c>
      <c r="E325" s="17">
        <f>IFERROR(IF(INDEX(Gini!$C$2:$C$377,MATCH($A325&amp;"|"&amp;$B325,Gini!$E$2:$E$377,0))="","",INDEX(Gini!$C$2:$C$377,MATCH($A325&amp;"|"&amp;$B325,Gini!$E$2:$E$377,0))),"")</f>
        <v/>
      </c>
      <c r="F325" s="19">
        <f>IFERROR(IF(INDEX(Corrupcion!$E$2:$E$377,MATCH($A325&amp;"|"&amp;$B325,Corrupcion!$H$2:$H$377,0))="","",INDEX(Corrupcion!$E$2:$E$377,MATCH($A325&amp;"|"&amp;$B325,Corrupcion!$H$2:$H$377,0))),"")</f>
        <v/>
      </c>
      <c r="G325" s="20">
        <f>IFERROR(IF(INDEX(Corrupcion!$F$2:$F$377,MATCH($A325&amp;"|"&amp;$B325,Corrupcion!$H$2:$H$377,0))="","",INDEX(Corrupcion!$F$2:$F$377,MATCH($A325&amp;"|"&amp;$B325,Corrupcion!$H$2:$H$377,0))),"")</f>
        <v/>
      </c>
      <c r="H325" s="17">
        <f>IFERROR(IF(INDEX(Corrupcion!$G$2:$G$377,MATCH($A325&amp;"|"&amp;$B325,Corrupcion!$H$2:$H$377,0))="","",INDEX(Corrupcion!$G$2:$G$377,MATCH($A325&amp;"|"&amp;$B325,Corrupcion!$H$2:$H$377,0))),"")</f>
        <v/>
      </c>
      <c r="I325" s="8">
        <f>IF(COUNTBLANK(C325:E325)+COUNTBLANK(F325)=0,1,0)</f>
        <v/>
      </c>
      <c r="J325" s="8">
        <f>IF(COUNTBLANK(C325:E325)+COUNTBLANK(G325)=0,1,0)</f>
        <v/>
      </c>
      <c r="K325" s="8">
        <f>IF(COUNTBLANK(C325:E325)+COUNTBLANK(H325)=0,1,0)</f>
        <v/>
      </c>
    </row>
    <row r="326">
      <c r="A326" s="8" t="inlineStr">
        <is>
          <t>España</t>
        </is>
      </c>
      <c r="B326" s="8" t="n">
        <v>1998</v>
      </c>
      <c r="C326" s="18">
        <f>IF(Categorias!C327="","",Categorias!C327/(N(Categorias!C327)+N(Categorias!D327)+N(Categorias!E327)))</f>
        <v/>
      </c>
      <c r="D326" s="18">
        <f>IF(Categorias!H327="","",Categorias!H327/(N(Categorias!H327)+N(Categorias!I327)))</f>
        <v/>
      </c>
      <c r="E326" s="17">
        <f>IFERROR(IF(INDEX(Gini!$C$2:$C$377,MATCH($A326&amp;"|"&amp;$B326,Gini!$E$2:$E$377,0))="","",INDEX(Gini!$C$2:$C$377,MATCH($A326&amp;"|"&amp;$B326,Gini!$E$2:$E$377,0))),"")</f>
        <v/>
      </c>
      <c r="F326" s="19">
        <f>IFERROR(IF(INDEX(Corrupcion!$E$2:$E$377,MATCH($A326&amp;"|"&amp;$B326,Corrupcion!$H$2:$H$377,0))="","",INDEX(Corrupcion!$E$2:$E$377,MATCH($A326&amp;"|"&amp;$B326,Corrupcion!$H$2:$H$377,0))),"")</f>
        <v/>
      </c>
      <c r="G326" s="20">
        <f>IFERROR(IF(INDEX(Corrupcion!$F$2:$F$377,MATCH($A326&amp;"|"&amp;$B326,Corrupcion!$H$2:$H$377,0))="","",INDEX(Corrupcion!$F$2:$F$377,MATCH($A326&amp;"|"&amp;$B326,Corrupcion!$H$2:$H$377,0))),"")</f>
        <v/>
      </c>
      <c r="H326" s="17">
        <f>IFERROR(IF(INDEX(Corrupcion!$G$2:$G$377,MATCH($A326&amp;"|"&amp;$B326,Corrupcion!$H$2:$H$377,0))="","",INDEX(Corrupcion!$G$2:$G$377,MATCH($A326&amp;"|"&amp;$B326,Corrupcion!$H$2:$H$377,0))),"")</f>
        <v/>
      </c>
      <c r="I326" s="8">
        <f>IF(COUNTBLANK(C326:E326)+COUNTBLANK(F326)=0,1,0)</f>
        <v/>
      </c>
      <c r="J326" s="8">
        <f>IF(COUNTBLANK(C326:E326)+COUNTBLANK(G326)=0,1,0)</f>
        <v/>
      </c>
      <c r="K326" s="8">
        <f>IF(COUNTBLANK(C326:E326)+COUNTBLANK(H326)=0,1,0)</f>
        <v/>
      </c>
    </row>
    <row r="327">
      <c r="A327" s="8" t="inlineStr">
        <is>
          <t>España</t>
        </is>
      </c>
      <c r="B327" s="8" t="n">
        <v>2001</v>
      </c>
      <c r="C327" s="18">
        <f>IF(Categorias!C328="","",Categorias!C328/(N(Categorias!C328)+N(Categorias!D328)+N(Categorias!E328)))</f>
        <v/>
      </c>
      <c r="D327" s="18">
        <f>IF(Categorias!H328="","",Categorias!H328/(N(Categorias!H328)+N(Categorias!I328)))</f>
        <v/>
      </c>
      <c r="E327" s="17">
        <f>IFERROR(IF(INDEX(Gini!$C$2:$C$377,MATCH($A327&amp;"|"&amp;$B327,Gini!$E$2:$E$377,0))="","",INDEX(Gini!$C$2:$C$377,MATCH($A327&amp;"|"&amp;$B327,Gini!$E$2:$E$377,0))),"")</f>
        <v/>
      </c>
      <c r="F327" s="19">
        <f>IFERROR(IF(INDEX(Corrupcion!$E$2:$E$377,MATCH($A327&amp;"|"&amp;$B327,Corrupcion!$H$2:$H$377,0))="","",INDEX(Corrupcion!$E$2:$E$377,MATCH($A327&amp;"|"&amp;$B327,Corrupcion!$H$2:$H$377,0))),"")</f>
        <v/>
      </c>
      <c r="G327" s="20">
        <f>IFERROR(IF(INDEX(Corrupcion!$F$2:$F$377,MATCH($A327&amp;"|"&amp;$B327,Corrupcion!$H$2:$H$377,0))="","",INDEX(Corrupcion!$F$2:$F$377,MATCH($A327&amp;"|"&amp;$B327,Corrupcion!$H$2:$H$377,0))),"")</f>
        <v/>
      </c>
      <c r="H327" s="17">
        <f>IFERROR(IF(INDEX(Corrupcion!$G$2:$G$377,MATCH($A327&amp;"|"&amp;$B327,Corrupcion!$H$2:$H$377,0))="","",INDEX(Corrupcion!$G$2:$G$377,MATCH($A327&amp;"|"&amp;$B327,Corrupcion!$H$2:$H$377,0))),"")</f>
        <v/>
      </c>
      <c r="I327" s="8">
        <f>IF(COUNTBLANK(C327:E327)+COUNTBLANK(F327)=0,1,0)</f>
        <v/>
      </c>
      <c r="J327" s="8">
        <f>IF(COUNTBLANK(C327:E327)+COUNTBLANK(G327)=0,1,0)</f>
        <v/>
      </c>
      <c r="K327" s="8">
        <f>IF(COUNTBLANK(C327:E327)+COUNTBLANK(H327)=0,1,0)</f>
        <v/>
      </c>
    </row>
    <row r="328">
      <c r="A328" s="8" t="inlineStr">
        <is>
          <t>España</t>
        </is>
      </c>
      <c r="B328" s="8" t="n">
        <v>2002</v>
      </c>
      <c r="C328" s="18">
        <f>IF(Categorias!C329="","",Categorias!C329/(N(Categorias!C329)+N(Categorias!D329)+N(Categorias!E329)))</f>
        <v/>
      </c>
      <c r="D328" s="18">
        <f>IF(Categorias!H329="","",Categorias!H329/(N(Categorias!H329)+N(Categorias!I329)))</f>
        <v/>
      </c>
      <c r="E328" s="17">
        <f>IFERROR(IF(INDEX(Gini!$C$2:$C$377,MATCH($A328&amp;"|"&amp;$B328,Gini!$E$2:$E$377,0))="","",INDEX(Gini!$C$2:$C$377,MATCH($A328&amp;"|"&amp;$B328,Gini!$E$2:$E$377,0))),"")</f>
        <v/>
      </c>
      <c r="F328" s="19">
        <f>IFERROR(IF(INDEX(Corrupcion!$E$2:$E$377,MATCH($A328&amp;"|"&amp;$B328,Corrupcion!$H$2:$H$377,0))="","",INDEX(Corrupcion!$E$2:$E$377,MATCH($A328&amp;"|"&amp;$B328,Corrupcion!$H$2:$H$377,0))),"")</f>
        <v/>
      </c>
      <c r="G328" s="20">
        <f>IFERROR(IF(INDEX(Corrupcion!$F$2:$F$377,MATCH($A328&amp;"|"&amp;$B328,Corrupcion!$H$2:$H$377,0))="","",INDEX(Corrupcion!$F$2:$F$377,MATCH($A328&amp;"|"&amp;$B328,Corrupcion!$H$2:$H$377,0))),"")</f>
        <v/>
      </c>
      <c r="H328" s="17">
        <f>IFERROR(IF(INDEX(Corrupcion!$G$2:$G$377,MATCH($A328&amp;"|"&amp;$B328,Corrupcion!$H$2:$H$377,0))="","",INDEX(Corrupcion!$G$2:$G$377,MATCH($A328&amp;"|"&amp;$B328,Corrupcion!$H$2:$H$377,0))),"")</f>
        <v/>
      </c>
      <c r="I328" s="8">
        <f>IF(COUNTBLANK(C328:E328)+COUNTBLANK(F328)=0,1,0)</f>
        <v/>
      </c>
      <c r="J328" s="8">
        <f>IF(COUNTBLANK(C328:E328)+COUNTBLANK(G328)=0,1,0)</f>
        <v/>
      </c>
      <c r="K328" s="8">
        <f>IF(COUNTBLANK(C328:E328)+COUNTBLANK(H328)=0,1,0)</f>
        <v/>
      </c>
    </row>
    <row r="329">
      <c r="A329" s="8" t="inlineStr">
        <is>
          <t>España</t>
        </is>
      </c>
      <c r="B329" s="8" t="n">
        <v>2003</v>
      </c>
      <c r="C329" s="18">
        <f>IF(Categorias!C330="","",Categorias!C330/(N(Categorias!C330)+N(Categorias!D330)+N(Categorias!E330)))</f>
        <v/>
      </c>
      <c r="D329" s="18">
        <f>IF(Categorias!H330="","",Categorias!H330/(N(Categorias!H330)+N(Categorias!I330)))</f>
        <v/>
      </c>
      <c r="E329" s="17">
        <f>IFERROR(IF(INDEX(Gini!$C$2:$C$377,MATCH($A329&amp;"|"&amp;$B329,Gini!$E$2:$E$377,0))="","",INDEX(Gini!$C$2:$C$377,MATCH($A329&amp;"|"&amp;$B329,Gini!$E$2:$E$377,0))),"")</f>
        <v/>
      </c>
      <c r="F329" s="19">
        <f>IFERROR(IF(INDEX(Corrupcion!$E$2:$E$377,MATCH($A329&amp;"|"&amp;$B329,Corrupcion!$H$2:$H$377,0))="","",INDEX(Corrupcion!$E$2:$E$377,MATCH($A329&amp;"|"&amp;$B329,Corrupcion!$H$2:$H$377,0))),"")</f>
        <v/>
      </c>
      <c r="G329" s="20">
        <f>IFERROR(IF(INDEX(Corrupcion!$F$2:$F$377,MATCH($A329&amp;"|"&amp;$B329,Corrupcion!$H$2:$H$377,0))="","",INDEX(Corrupcion!$F$2:$F$377,MATCH($A329&amp;"|"&amp;$B329,Corrupcion!$H$2:$H$377,0))),"")</f>
        <v/>
      </c>
      <c r="H329" s="17">
        <f>IFERROR(IF(INDEX(Corrupcion!$G$2:$G$377,MATCH($A329&amp;"|"&amp;$B329,Corrupcion!$H$2:$H$377,0))="","",INDEX(Corrupcion!$G$2:$G$377,MATCH($A329&amp;"|"&amp;$B329,Corrupcion!$H$2:$H$377,0))),"")</f>
        <v/>
      </c>
      <c r="I329" s="8">
        <f>IF(COUNTBLANK(C329:E329)+COUNTBLANK(F329)=0,1,0)</f>
        <v/>
      </c>
      <c r="J329" s="8">
        <f>IF(COUNTBLANK(C329:E329)+COUNTBLANK(G329)=0,1,0)</f>
        <v/>
      </c>
      <c r="K329" s="8">
        <f>IF(COUNTBLANK(C329:E329)+COUNTBLANK(H329)=0,1,0)</f>
        <v/>
      </c>
    </row>
    <row r="330">
      <c r="A330" s="8" t="inlineStr">
        <is>
          <t>España</t>
        </is>
      </c>
      <c r="B330" s="8" t="n">
        <v>2004</v>
      </c>
      <c r="C330" s="18">
        <f>IF(Categorias!C331="","",Categorias!C331/(N(Categorias!C331)+N(Categorias!D331)+N(Categorias!E331)))</f>
        <v/>
      </c>
      <c r="D330" s="18">
        <f>IF(Categorias!H331="","",Categorias!H331/(N(Categorias!H331)+N(Categorias!I331)))</f>
        <v/>
      </c>
      <c r="E330" s="17">
        <f>IFERROR(IF(INDEX(Gini!$C$2:$C$377,MATCH($A330&amp;"|"&amp;$B330,Gini!$E$2:$E$377,0))="","",INDEX(Gini!$C$2:$C$377,MATCH($A330&amp;"|"&amp;$B330,Gini!$E$2:$E$377,0))),"")</f>
        <v/>
      </c>
      <c r="F330" s="19">
        <f>IFERROR(IF(INDEX(Corrupcion!$E$2:$E$377,MATCH($A330&amp;"|"&amp;$B330,Corrupcion!$H$2:$H$377,0))="","",INDEX(Corrupcion!$E$2:$E$377,MATCH($A330&amp;"|"&amp;$B330,Corrupcion!$H$2:$H$377,0))),"")</f>
        <v/>
      </c>
      <c r="G330" s="20">
        <f>IFERROR(IF(INDEX(Corrupcion!$F$2:$F$377,MATCH($A330&amp;"|"&amp;$B330,Corrupcion!$H$2:$H$377,0))="","",INDEX(Corrupcion!$F$2:$F$377,MATCH($A330&amp;"|"&amp;$B330,Corrupcion!$H$2:$H$377,0))),"")</f>
        <v/>
      </c>
      <c r="H330" s="17">
        <f>IFERROR(IF(INDEX(Corrupcion!$G$2:$G$377,MATCH($A330&amp;"|"&amp;$B330,Corrupcion!$H$2:$H$377,0))="","",INDEX(Corrupcion!$G$2:$G$377,MATCH($A330&amp;"|"&amp;$B330,Corrupcion!$H$2:$H$377,0))),"")</f>
        <v/>
      </c>
      <c r="I330" s="8">
        <f>IF(COUNTBLANK(C330:E330)+COUNTBLANK(F330)=0,1,0)</f>
        <v/>
      </c>
      <c r="J330" s="8">
        <f>IF(COUNTBLANK(C330:E330)+COUNTBLANK(G330)=0,1,0)</f>
        <v/>
      </c>
      <c r="K330" s="8">
        <f>IF(COUNTBLANK(C330:E330)+COUNTBLANK(H330)=0,1,0)</f>
        <v/>
      </c>
    </row>
    <row r="331">
      <c r="A331" s="8" t="inlineStr">
        <is>
          <t>España</t>
        </is>
      </c>
      <c r="B331" s="8" t="n">
        <v>2006</v>
      </c>
      <c r="C331" s="18">
        <f>IF(Categorias!C332="","",Categorias!C332/(N(Categorias!C332)+N(Categorias!D332)+N(Categorias!E332)))</f>
        <v/>
      </c>
      <c r="D331" s="18">
        <f>IF(Categorias!H332="","",Categorias!H332/(N(Categorias!H332)+N(Categorias!I332)))</f>
        <v/>
      </c>
      <c r="E331" s="17">
        <f>IFERROR(IF(INDEX(Gini!$C$2:$C$377,MATCH($A331&amp;"|"&amp;$B331,Gini!$E$2:$E$377,0))="","",INDEX(Gini!$C$2:$C$377,MATCH($A331&amp;"|"&amp;$B331,Gini!$E$2:$E$377,0))),"")</f>
        <v/>
      </c>
      <c r="F331" s="19">
        <f>IFERROR(IF(INDEX(Corrupcion!$E$2:$E$377,MATCH($A331&amp;"|"&amp;$B331,Corrupcion!$H$2:$H$377,0))="","",INDEX(Corrupcion!$E$2:$E$377,MATCH($A331&amp;"|"&amp;$B331,Corrupcion!$H$2:$H$377,0))),"")</f>
        <v/>
      </c>
      <c r="G331" s="20">
        <f>IFERROR(IF(INDEX(Corrupcion!$F$2:$F$377,MATCH($A331&amp;"|"&amp;$B331,Corrupcion!$H$2:$H$377,0))="","",INDEX(Corrupcion!$F$2:$F$377,MATCH($A331&amp;"|"&amp;$B331,Corrupcion!$H$2:$H$377,0))),"")</f>
        <v/>
      </c>
      <c r="H331" s="17">
        <f>IFERROR(IF(INDEX(Corrupcion!$G$2:$G$377,MATCH($A331&amp;"|"&amp;$B331,Corrupcion!$H$2:$H$377,0))="","",INDEX(Corrupcion!$G$2:$G$377,MATCH($A331&amp;"|"&amp;$B331,Corrupcion!$H$2:$H$377,0))),"")</f>
        <v/>
      </c>
      <c r="I331" s="8">
        <f>IF(COUNTBLANK(C331:E331)+COUNTBLANK(F331)=0,1,0)</f>
        <v/>
      </c>
      <c r="J331" s="8">
        <f>IF(COUNTBLANK(C331:E331)+COUNTBLANK(G331)=0,1,0)</f>
        <v/>
      </c>
      <c r="K331" s="8">
        <f>IF(COUNTBLANK(C331:E331)+COUNTBLANK(H331)=0,1,0)</f>
        <v/>
      </c>
    </row>
    <row r="332">
      <c r="A332" s="8" t="inlineStr">
        <is>
          <t>España</t>
        </is>
      </c>
      <c r="B332" s="8" t="n">
        <v>2007</v>
      </c>
      <c r="C332" s="18">
        <f>IF(Categorias!C333="","",Categorias!C333/(N(Categorias!C333)+N(Categorias!D333)+N(Categorias!E333)))</f>
        <v/>
      </c>
      <c r="D332" s="18">
        <f>IF(Categorias!H333="","",Categorias!H333/(N(Categorias!H333)+N(Categorias!I333)))</f>
        <v/>
      </c>
      <c r="E332" s="17">
        <f>IFERROR(IF(INDEX(Gini!$C$2:$C$377,MATCH($A332&amp;"|"&amp;$B332,Gini!$E$2:$E$377,0))="","",INDEX(Gini!$C$2:$C$377,MATCH($A332&amp;"|"&amp;$B332,Gini!$E$2:$E$377,0))),"")</f>
        <v/>
      </c>
      <c r="F332" s="19">
        <f>IFERROR(IF(INDEX(Corrupcion!$E$2:$E$377,MATCH($A332&amp;"|"&amp;$B332,Corrupcion!$H$2:$H$377,0))="","",INDEX(Corrupcion!$E$2:$E$377,MATCH($A332&amp;"|"&amp;$B332,Corrupcion!$H$2:$H$377,0))),"")</f>
        <v/>
      </c>
      <c r="G332" s="20">
        <f>IFERROR(IF(INDEX(Corrupcion!$F$2:$F$377,MATCH($A332&amp;"|"&amp;$B332,Corrupcion!$H$2:$H$377,0))="","",INDEX(Corrupcion!$F$2:$F$377,MATCH($A332&amp;"|"&amp;$B332,Corrupcion!$H$2:$H$377,0))),"")</f>
        <v/>
      </c>
      <c r="H332" s="17">
        <f>IFERROR(IF(INDEX(Corrupcion!$G$2:$G$377,MATCH($A332&amp;"|"&amp;$B332,Corrupcion!$H$2:$H$377,0))="","",INDEX(Corrupcion!$G$2:$G$377,MATCH($A332&amp;"|"&amp;$B332,Corrupcion!$H$2:$H$377,0))),"")</f>
        <v/>
      </c>
      <c r="I332" s="8">
        <f>IF(COUNTBLANK(C332:E332)+COUNTBLANK(F332)=0,1,0)</f>
        <v/>
      </c>
      <c r="J332" s="8">
        <f>IF(COUNTBLANK(C332:E332)+COUNTBLANK(G332)=0,1,0)</f>
        <v/>
      </c>
      <c r="K332" s="8">
        <f>IF(COUNTBLANK(C332:E332)+COUNTBLANK(H332)=0,1,0)</f>
        <v/>
      </c>
    </row>
    <row r="333">
      <c r="A333" s="8" t="inlineStr">
        <is>
          <t>España</t>
        </is>
      </c>
      <c r="B333" s="8" t="n">
        <v>2008</v>
      </c>
      <c r="C333" s="18">
        <f>IF(Categorias!C334="","",Categorias!C334/(N(Categorias!C334)+N(Categorias!D334)+N(Categorias!E334)))</f>
        <v/>
      </c>
      <c r="D333" s="18">
        <f>IF(Categorias!H334="","",Categorias!H334/(N(Categorias!H334)+N(Categorias!I334)))</f>
        <v/>
      </c>
      <c r="E333" s="17">
        <f>IFERROR(IF(INDEX(Gini!$C$2:$C$377,MATCH($A333&amp;"|"&amp;$B333,Gini!$E$2:$E$377,0))="","",INDEX(Gini!$C$2:$C$377,MATCH($A333&amp;"|"&amp;$B333,Gini!$E$2:$E$377,0))),"")</f>
        <v/>
      </c>
      <c r="F333" s="19">
        <f>IFERROR(IF(INDEX(Corrupcion!$E$2:$E$377,MATCH($A333&amp;"|"&amp;$B333,Corrupcion!$H$2:$H$377,0))="","",INDEX(Corrupcion!$E$2:$E$377,MATCH($A333&amp;"|"&amp;$B333,Corrupcion!$H$2:$H$377,0))),"")</f>
        <v/>
      </c>
      <c r="G333" s="20">
        <f>IFERROR(IF(INDEX(Corrupcion!$F$2:$F$377,MATCH($A333&amp;"|"&amp;$B333,Corrupcion!$H$2:$H$377,0))="","",INDEX(Corrupcion!$F$2:$F$377,MATCH($A333&amp;"|"&amp;$B333,Corrupcion!$H$2:$H$377,0))),"")</f>
        <v/>
      </c>
      <c r="H333" s="17">
        <f>IFERROR(IF(INDEX(Corrupcion!$G$2:$G$377,MATCH($A333&amp;"|"&amp;$B333,Corrupcion!$H$2:$H$377,0))="","",INDEX(Corrupcion!$G$2:$G$377,MATCH($A333&amp;"|"&amp;$B333,Corrupcion!$H$2:$H$377,0))),"")</f>
        <v/>
      </c>
      <c r="I333" s="8">
        <f>IF(COUNTBLANK(C333:E333)+COUNTBLANK(F333)=0,1,0)</f>
        <v/>
      </c>
      <c r="J333" s="8">
        <f>IF(COUNTBLANK(C333:E333)+COUNTBLANK(G333)=0,1,0)</f>
        <v/>
      </c>
      <c r="K333" s="8">
        <f>IF(COUNTBLANK(C333:E333)+COUNTBLANK(H333)=0,1,0)</f>
        <v/>
      </c>
    </row>
    <row r="334">
      <c r="A334" s="8" t="inlineStr">
        <is>
          <t>España</t>
        </is>
      </c>
      <c r="B334" s="8" t="n">
        <v>2009</v>
      </c>
      <c r="C334" s="18">
        <f>IF(Categorias!C335="","",Categorias!C335/(N(Categorias!C335)+N(Categorias!D335)+N(Categorias!E335)))</f>
        <v/>
      </c>
      <c r="D334" s="18">
        <f>IF(Categorias!H335="","",Categorias!H335/(N(Categorias!H335)+N(Categorias!I335)))</f>
        <v/>
      </c>
      <c r="E334" s="17">
        <f>IFERROR(IF(INDEX(Gini!$C$2:$C$377,MATCH($A334&amp;"|"&amp;$B334,Gini!$E$2:$E$377,0))="","",INDEX(Gini!$C$2:$C$377,MATCH($A334&amp;"|"&amp;$B334,Gini!$E$2:$E$377,0))),"")</f>
        <v/>
      </c>
      <c r="F334" s="19">
        <f>IFERROR(IF(INDEX(Corrupcion!$E$2:$E$377,MATCH($A334&amp;"|"&amp;$B334,Corrupcion!$H$2:$H$377,0))="","",INDEX(Corrupcion!$E$2:$E$377,MATCH($A334&amp;"|"&amp;$B334,Corrupcion!$H$2:$H$377,0))),"")</f>
        <v/>
      </c>
      <c r="G334" s="20">
        <f>IFERROR(IF(INDEX(Corrupcion!$F$2:$F$377,MATCH($A334&amp;"|"&amp;$B334,Corrupcion!$H$2:$H$377,0))="","",INDEX(Corrupcion!$F$2:$F$377,MATCH($A334&amp;"|"&amp;$B334,Corrupcion!$H$2:$H$377,0))),"")</f>
        <v/>
      </c>
      <c r="H334" s="17">
        <f>IFERROR(IF(INDEX(Corrupcion!$G$2:$G$377,MATCH($A334&amp;"|"&amp;$B334,Corrupcion!$H$2:$H$377,0))="","",INDEX(Corrupcion!$G$2:$G$377,MATCH($A334&amp;"|"&amp;$B334,Corrupcion!$H$2:$H$377,0))),"")</f>
        <v/>
      </c>
      <c r="I334" s="8">
        <f>IF(COUNTBLANK(C334:E334)+COUNTBLANK(F334)=0,1,0)</f>
        <v/>
      </c>
      <c r="J334" s="8">
        <f>IF(COUNTBLANK(C334:E334)+COUNTBLANK(G334)=0,1,0)</f>
        <v/>
      </c>
      <c r="K334" s="8">
        <f>IF(COUNTBLANK(C334:E334)+COUNTBLANK(H334)=0,1,0)</f>
        <v/>
      </c>
    </row>
    <row r="335">
      <c r="A335" s="8" t="inlineStr">
        <is>
          <t>España</t>
        </is>
      </c>
      <c r="B335" s="8" t="n">
        <v>2010</v>
      </c>
      <c r="C335" s="18">
        <f>IF(Categorias!C336="","",Categorias!C336/(N(Categorias!C336)+N(Categorias!D336)+N(Categorias!E336)))</f>
        <v/>
      </c>
      <c r="D335" s="18">
        <f>IF(Categorias!H336="","",Categorias!H336/(N(Categorias!H336)+N(Categorias!I336)))</f>
        <v/>
      </c>
      <c r="E335" s="17">
        <f>IFERROR(IF(INDEX(Gini!$C$2:$C$377,MATCH($A335&amp;"|"&amp;$B335,Gini!$E$2:$E$377,0))="","",INDEX(Gini!$C$2:$C$377,MATCH($A335&amp;"|"&amp;$B335,Gini!$E$2:$E$377,0))),"")</f>
        <v/>
      </c>
      <c r="F335" s="19">
        <f>IFERROR(IF(INDEX(Corrupcion!$E$2:$E$377,MATCH($A335&amp;"|"&amp;$B335,Corrupcion!$H$2:$H$377,0))="","",INDEX(Corrupcion!$E$2:$E$377,MATCH($A335&amp;"|"&amp;$B335,Corrupcion!$H$2:$H$377,0))),"")</f>
        <v/>
      </c>
      <c r="G335" s="20">
        <f>IFERROR(IF(INDEX(Corrupcion!$F$2:$F$377,MATCH($A335&amp;"|"&amp;$B335,Corrupcion!$H$2:$H$377,0))="","",INDEX(Corrupcion!$F$2:$F$377,MATCH($A335&amp;"|"&amp;$B335,Corrupcion!$H$2:$H$377,0))),"")</f>
        <v/>
      </c>
      <c r="H335" s="17">
        <f>IFERROR(IF(INDEX(Corrupcion!$G$2:$G$377,MATCH($A335&amp;"|"&amp;$B335,Corrupcion!$H$2:$H$377,0))="","",INDEX(Corrupcion!$G$2:$G$377,MATCH($A335&amp;"|"&amp;$B335,Corrupcion!$H$2:$H$377,0))),"")</f>
        <v/>
      </c>
      <c r="I335" s="8">
        <f>IF(COUNTBLANK(C335:E335)+COUNTBLANK(F335)=0,1,0)</f>
        <v/>
      </c>
      <c r="J335" s="8">
        <f>IF(COUNTBLANK(C335:E335)+COUNTBLANK(G335)=0,1,0)</f>
        <v/>
      </c>
      <c r="K335" s="8">
        <f>IF(COUNTBLANK(C335:E335)+COUNTBLANK(H335)=0,1,0)</f>
        <v/>
      </c>
    </row>
    <row r="336">
      <c r="A336" s="8" t="inlineStr">
        <is>
          <t>Uruguay</t>
        </is>
      </c>
      <c r="B336" s="8" t="n">
        <v>1995</v>
      </c>
      <c r="C336" s="18">
        <f>IF(Categorias!C337="","",Categorias!C337/(N(Categorias!C337)+N(Categorias!D337)+N(Categorias!E337)))</f>
        <v/>
      </c>
      <c r="D336" s="18">
        <f>IF(Categorias!H337="","",Categorias!H337/(N(Categorias!H337)+N(Categorias!I337)))</f>
        <v/>
      </c>
      <c r="E336" s="17">
        <f>IFERROR(IF(INDEX(Gini!$C$2:$C$377,MATCH($A336&amp;"|"&amp;$B336,Gini!$E$2:$E$377,0))="","",INDEX(Gini!$C$2:$C$377,MATCH($A336&amp;"|"&amp;$B336,Gini!$E$2:$E$377,0))),"")</f>
        <v/>
      </c>
      <c r="F336" s="19">
        <f>IFERROR(IF(INDEX(Corrupcion!$E$2:$E$377,MATCH($A336&amp;"|"&amp;$B336,Corrupcion!$H$2:$H$377,0))="","",INDEX(Corrupcion!$E$2:$E$377,MATCH($A336&amp;"|"&amp;$B336,Corrupcion!$H$2:$H$377,0))),"")</f>
        <v/>
      </c>
      <c r="G336" s="20">
        <f>IFERROR(IF(INDEX(Corrupcion!$F$2:$F$377,MATCH($A336&amp;"|"&amp;$B336,Corrupcion!$H$2:$H$377,0))="","",INDEX(Corrupcion!$F$2:$F$377,MATCH($A336&amp;"|"&amp;$B336,Corrupcion!$H$2:$H$377,0))),"")</f>
        <v/>
      </c>
      <c r="H336" s="17">
        <f>IFERROR(IF(INDEX(Corrupcion!$G$2:$G$377,MATCH($A336&amp;"|"&amp;$B336,Corrupcion!$H$2:$H$377,0))="","",INDEX(Corrupcion!$G$2:$G$377,MATCH($A336&amp;"|"&amp;$B336,Corrupcion!$H$2:$H$377,0))),"")</f>
        <v/>
      </c>
      <c r="I336" s="8">
        <f>IF(COUNTBLANK(C336:E336)+COUNTBLANK(F336)=0,1,0)</f>
        <v/>
      </c>
      <c r="J336" s="8">
        <f>IF(COUNTBLANK(C336:E336)+COUNTBLANK(G336)=0,1,0)</f>
        <v/>
      </c>
      <c r="K336" s="8">
        <f>IF(COUNTBLANK(C336:E336)+COUNTBLANK(H336)=0,1,0)</f>
        <v/>
      </c>
    </row>
    <row r="337">
      <c r="A337" s="8" t="inlineStr">
        <is>
          <t>Uruguay</t>
        </is>
      </c>
      <c r="B337" s="8" t="n">
        <v>1996</v>
      </c>
      <c r="C337" s="18">
        <f>IF(Categorias!C338="","",Categorias!C338/(N(Categorias!C338)+N(Categorias!D338)+N(Categorias!E338)))</f>
        <v/>
      </c>
      <c r="D337" s="18">
        <f>IF(Categorias!H338="","",Categorias!H338/(N(Categorias!H338)+N(Categorias!I338)))</f>
        <v/>
      </c>
      <c r="E337" s="17">
        <f>IFERROR(IF(INDEX(Gini!$C$2:$C$377,MATCH($A337&amp;"|"&amp;$B337,Gini!$E$2:$E$377,0))="","",INDEX(Gini!$C$2:$C$377,MATCH($A337&amp;"|"&amp;$B337,Gini!$E$2:$E$377,0))),"")</f>
        <v/>
      </c>
      <c r="F337" s="19">
        <f>IFERROR(IF(INDEX(Corrupcion!$E$2:$E$377,MATCH($A337&amp;"|"&amp;$B337,Corrupcion!$H$2:$H$377,0))="","",INDEX(Corrupcion!$E$2:$E$377,MATCH($A337&amp;"|"&amp;$B337,Corrupcion!$H$2:$H$377,0))),"")</f>
        <v/>
      </c>
      <c r="G337" s="20">
        <f>IFERROR(IF(INDEX(Corrupcion!$F$2:$F$377,MATCH($A337&amp;"|"&amp;$B337,Corrupcion!$H$2:$H$377,0))="","",INDEX(Corrupcion!$F$2:$F$377,MATCH($A337&amp;"|"&amp;$B337,Corrupcion!$H$2:$H$377,0))),"")</f>
        <v/>
      </c>
      <c r="H337" s="17">
        <f>IFERROR(IF(INDEX(Corrupcion!$G$2:$G$377,MATCH($A337&amp;"|"&amp;$B337,Corrupcion!$H$2:$H$377,0))="","",INDEX(Corrupcion!$G$2:$G$377,MATCH($A337&amp;"|"&amp;$B337,Corrupcion!$H$2:$H$377,0))),"")</f>
        <v/>
      </c>
      <c r="I337" s="8">
        <f>IF(COUNTBLANK(C337:E337)+COUNTBLANK(F337)=0,1,0)</f>
        <v/>
      </c>
      <c r="J337" s="8">
        <f>IF(COUNTBLANK(C337:E337)+COUNTBLANK(G337)=0,1,0)</f>
        <v/>
      </c>
      <c r="K337" s="8">
        <f>IF(COUNTBLANK(C337:E337)+COUNTBLANK(H337)=0,1,0)</f>
        <v/>
      </c>
    </row>
    <row r="338">
      <c r="A338" s="8" t="inlineStr">
        <is>
          <t>Uruguay</t>
        </is>
      </c>
      <c r="B338" s="8" t="n">
        <v>1997</v>
      </c>
      <c r="C338" s="18">
        <f>IF(Categorias!C339="","",Categorias!C339/(N(Categorias!C339)+N(Categorias!D339)+N(Categorias!E339)))</f>
        <v/>
      </c>
      <c r="D338" s="18">
        <f>IF(Categorias!H339="","",Categorias!H339/(N(Categorias!H339)+N(Categorias!I339)))</f>
        <v/>
      </c>
      <c r="E338" s="17">
        <f>IFERROR(IF(INDEX(Gini!$C$2:$C$377,MATCH($A338&amp;"|"&amp;$B338,Gini!$E$2:$E$377,0))="","",INDEX(Gini!$C$2:$C$377,MATCH($A338&amp;"|"&amp;$B338,Gini!$E$2:$E$377,0))),"")</f>
        <v/>
      </c>
      <c r="F338" s="19">
        <f>IFERROR(IF(INDEX(Corrupcion!$E$2:$E$377,MATCH($A338&amp;"|"&amp;$B338,Corrupcion!$H$2:$H$377,0))="","",INDEX(Corrupcion!$E$2:$E$377,MATCH($A338&amp;"|"&amp;$B338,Corrupcion!$H$2:$H$377,0))),"")</f>
        <v/>
      </c>
      <c r="G338" s="20">
        <f>IFERROR(IF(INDEX(Corrupcion!$F$2:$F$377,MATCH($A338&amp;"|"&amp;$B338,Corrupcion!$H$2:$H$377,0))="","",INDEX(Corrupcion!$F$2:$F$377,MATCH($A338&amp;"|"&amp;$B338,Corrupcion!$H$2:$H$377,0))),"")</f>
        <v/>
      </c>
      <c r="H338" s="17">
        <f>IFERROR(IF(INDEX(Corrupcion!$G$2:$G$377,MATCH($A338&amp;"|"&amp;$B338,Corrupcion!$H$2:$H$377,0))="","",INDEX(Corrupcion!$G$2:$G$377,MATCH($A338&amp;"|"&amp;$B338,Corrupcion!$H$2:$H$377,0))),"")</f>
        <v/>
      </c>
      <c r="I338" s="8">
        <f>IF(COUNTBLANK(C338:E338)+COUNTBLANK(F338)=0,1,0)</f>
        <v/>
      </c>
      <c r="J338" s="8">
        <f>IF(COUNTBLANK(C338:E338)+COUNTBLANK(G338)=0,1,0)</f>
        <v/>
      </c>
      <c r="K338" s="8">
        <f>IF(COUNTBLANK(C338:E338)+COUNTBLANK(H338)=0,1,0)</f>
        <v/>
      </c>
    </row>
    <row r="339">
      <c r="A339" s="8" t="inlineStr">
        <is>
          <t>Uruguay</t>
        </is>
      </c>
      <c r="B339" s="8" t="n">
        <v>1998</v>
      </c>
      <c r="C339" s="18">
        <f>IF(Categorias!C340="","",Categorias!C340/(N(Categorias!C340)+N(Categorias!D340)+N(Categorias!E340)))</f>
        <v/>
      </c>
      <c r="D339" s="18">
        <f>IF(Categorias!H340="","",Categorias!H340/(N(Categorias!H340)+N(Categorias!I340)))</f>
        <v/>
      </c>
      <c r="E339" s="17">
        <f>IFERROR(IF(INDEX(Gini!$C$2:$C$377,MATCH($A339&amp;"|"&amp;$B339,Gini!$E$2:$E$377,0))="","",INDEX(Gini!$C$2:$C$377,MATCH($A339&amp;"|"&amp;$B339,Gini!$E$2:$E$377,0))),"")</f>
        <v/>
      </c>
      <c r="F339" s="19">
        <f>IFERROR(IF(INDEX(Corrupcion!$E$2:$E$377,MATCH($A339&amp;"|"&amp;$B339,Corrupcion!$H$2:$H$377,0))="","",INDEX(Corrupcion!$E$2:$E$377,MATCH($A339&amp;"|"&amp;$B339,Corrupcion!$H$2:$H$377,0))),"")</f>
        <v/>
      </c>
      <c r="G339" s="20">
        <f>IFERROR(IF(INDEX(Corrupcion!$F$2:$F$377,MATCH($A339&amp;"|"&amp;$B339,Corrupcion!$H$2:$H$377,0))="","",INDEX(Corrupcion!$F$2:$F$377,MATCH($A339&amp;"|"&amp;$B339,Corrupcion!$H$2:$H$377,0))),"")</f>
        <v/>
      </c>
      <c r="H339" s="17">
        <f>IFERROR(IF(INDEX(Corrupcion!$G$2:$G$377,MATCH($A339&amp;"|"&amp;$B339,Corrupcion!$H$2:$H$377,0))="","",INDEX(Corrupcion!$G$2:$G$377,MATCH($A339&amp;"|"&amp;$B339,Corrupcion!$H$2:$H$377,0))),"")</f>
        <v/>
      </c>
      <c r="I339" s="8">
        <f>IF(COUNTBLANK(C339:E339)+COUNTBLANK(F339)=0,1,0)</f>
        <v/>
      </c>
      <c r="J339" s="8">
        <f>IF(COUNTBLANK(C339:E339)+COUNTBLANK(G339)=0,1,0)</f>
        <v/>
      </c>
      <c r="K339" s="8">
        <f>IF(COUNTBLANK(C339:E339)+COUNTBLANK(H339)=0,1,0)</f>
        <v/>
      </c>
    </row>
    <row r="340">
      <c r="A340" s="8" t="inlineStr">
        <is>
          <t>Uruguay</t>
        </is>
      </c>
      <c r="B340" s="8" t="n">
        <v>2000</v>
      </c>
      <c r="C340" s="18">
        <f>IF(Categorias!C341="","",Categorias!C341/(N(Categorias!C341)+N(Categorias!D341)+N(Categorias!E341)))</f>
        <v/>
      </c>
      <c r="D340" s="18">
        <f>IF(Categorias!H341="","",Categorias!H341/(N(Categorias!H341)+N(Categorias!I341)))</f>
        <v/>
      </c>
      <c r="E340" s="17">
        <f>IFERROR(IF(INDEX(Gini!$C$2:$C$377,MATCH($A340&amp;"|"&amp;$B340,Gini!$E$2:$E$377,0))="","",INDEX(Gini!$C$2:$C$377,MATCH($A340&amp;"|"&amp;$B340,Gini!$E$2:$E$377,0))),"")</f>
        <v/>
      </c>
      <c r="F340" s="19">
        <f>IFERROR(IF(INDEX(Corrupcion!$E$2:$E$377,MATCH($A340&amp;"|"&amp;$B340,Corrupcion!$H$2:$H$377,0))="","",INDEX(Corrupcion!$E$2:$E$377,MATCH($A340&amp;"|"&amp;$B340,Corrupcion!$H$2:$H$377,0))),"")</f>
        <v/>
      </c>
      <c r="G340" s="20">
        <f>IFERROR(IF(INDEX(Corrupcion!$F$2:$F$377,MATCH($A340&amp;"|"&amp;$B340,Corrupcion!$H$2:$H$377,0))="","",INDEX(Corrupcion!$F$2:$F$377,MATCH($A340&amp;"|"&amp;$B340,Corrupcion!$H$2:$H$377,0))),"")</f>
        <v/>
      </c>
      <c r="H340" s="17">
        <f>IFERROR(IF(INDEX(Corrupcion!$G$2:$G$377,MATCH($A340&amp;"|"&amp;$B340,Corrupcion!$H$2:$H$377,0))="","",INDEX(Corrupcion!$G$2:$G$377,MATCH($A340&amp;"|"&amp;$B340,Corrupcion!$H$2:$H$377,0))),"")</f>
        <v/>
      </c>
      <c r="I340" s="8">
        <f>IF(COUNTBLANK(C340:E340)+COUNTBLANK(F340)=0,1,0)</f>
        <v/>
      </c>
      <c r="J340" s="8">
        <f>IF(COUNTBLANK(C340:E340)+COUNTBLANK(G340)=0,1,0)</f>
        <v/>
      </c>
      <c r="K340" s="8">
        <f>IF(COUNTBLANK(C340:E340)+COUNTBLANK(H340)=0,1,0)</f>
        <v/>
      </c>
    </row>
    <row r="341">
      <c r="A341" s="8" t="inlineStr">
        <is>
          <t>Uruguay</t>
        </is>
      </c>
      <c r="B341" s="8" t="n">
        <v>2001</v>
      </c>
      <c r="C341" s="18">
        <f>IF(Categorias!C342="","",Categorias!C342/(N(Categorias!C342)+N(Categorias!D342)+N(Categorias!E342)))</f>
        <v/>
      </c>
      <c r="D341" s="18">
        <f>IF(Categorias!H342="","",Categorias!H342/(N(Categorias!H342)+N(Categorias!I342)))</f>
        <v/>
      </c>
      <c r="E341" s="17">
        <f>IFERROR(IF(INDEX(Gini!$C$2:$C$377,MATCH($A341&amp;"|"&amp;$B341,Gini!$E$2:$E$377,0))="","",INDEX(Gini!$C$2:$C$377,MATCH($A341&amp;"|"&amp;$B341,Gini!$E$2:$E$377,0))),"")</f>
        <v/>
      </c>
      <c r="F341" s="19">
        <f>IFERROR(IF(INDEX(Corrupcion!$E$2:$E$377,MATCH($A341&amp;"|"&amp;$B341,Corrupcion!$H$2:$H$377,0))="","",INDEX(Corrupcion!$E$2:$E$377,MATCH($A341&amp;"|"&amp;$B341,Corrupcion!$H$2:$H$377,0))),"")</f>
        <v/>
      </c>
      <c r="G341" s="20">
        <f>IFERROR(IF(INDEX(Corrupcion!$F$2:$F$377,MATCH($A341&amp;"|"&amp;$B341,Corrupcion!$H$2:$H$377,0))="","",INDEX(Corrupcion!$F$2:$F$377,MATCH($A341&amp;"|"&amp;$B341,Corrupcion!$H$2:$H$377,0))),"")</f>
        <v/>
      </c>
      <c r="H341" s="17">
        <f>IFERROR(IF(INDEX(Corrupcion!$G$2:$G$377,MATCH($A341&amp;"|"&amp;$B341,Corrupcion!$H$2:$H$377,0))="","",INDEX(Corrupcion!$G$2:$G$377,MATCH($A341&amp;"|"&amp;$B341,Corrupcion!$H$2:$H$377,0))),"")</f>
        <v/>
      </c>
      <c r="I341" s="8">
        <f>IF(COUNTBLANK(C341:E341)+COUNTBLANK(F341)=0,1,0)</f>
        <v/>
      </c>
      <c r="J341" s="8">
        <f>IF(COUNTBLANK(C341:E341)+COUNTBLANK(G341)=0,1,0)</f>
        <v/>
      </c>
      <c r="K341" s="8">
        <f>IF(COUNTBLANK(C341:E341)+COUNTBLANK(H341)=0,1,0)</f>
        <v/>
      </c>
    </row>
    <row r="342">
      <c r="A342" s="8" t="inlineStr">
        <is>
          <t>Uruguay</t>
        </is>
      </c>
      <c r="B342" s="8" t="n">
        <v>2002</v>
      </c>
      <c r="C342" s="18">
        <f>IF(Categorias!C343="","",Categorias!C343/(N(Categorias!C343)+N(Categorias!D343)+N(Categorias!E343)))</f>
        <v/>
      </c>
      <c r="D342" s="18">
        <f>IF(Categorias!H343="","",Categorias!H343/(N(Categorias!H343)+N(Categorias!I343)))</f>
        <v/>
      </c>
      <c r="E342" s="17">
        <f>IFERROR(IF(INDEX(Gini!$C$2:$C$377,MATCH($A342&amp;"|"&amp;$B342,Gini!$E$2:$E$377,0))="","",INDEX(Gini!$C$2:$C$377,MATCH($A342&amp;"|"&amp;$B342,Gini!$E$2:$E$377,0))),"")</f>
        <v/>
      </c>
      <c r="F342" s="19">
        <f>IFERROR(IF(INDEX(Corrupcion!$E$2:$E$377,MATCH($A342&amp;"|"&amp;$B342,Corrupcion!$H$2:$H$377,0))="","",INDEX(Corrupcion!$E$2:$E$377,MATCH($A342&amp;"|"&amp;$B342,Corrupcion!$H$2:$H$377,0))),"")</f>
        <v/>
      </c>
      <c r="G342" s="20">
        <f>IFERROR(IF(INDEX(Corrupcion!$F$2:$F$377,MATCH($A342&amp;"|"&amp;$B342,Corrupcion!$H$2:$H$377,0))="","",INDEX(Corrupcion!$F$2:$F$377,MATCH($A342&amp;"|"&amp;$B342,Corrupcion!$H$2:$H$377,0))),"")</f>
        <v/>
      </c>
      <c r="H342" s="17">
        <f>IFERROR(IF(INDEX(Corrupcion!$G$2:$G$377,MATCH($A342&amp;"|"&amp;$B342,Corrupcion!$H$2:$H$377,0))="","",INDEX(Corrupcion!$G$2:$G$377,MATCH($A342&amp;"|"&amp;$B342,Corrupcion!$H$2:$H$377,0))),"")</f>
        <v/>
      </c>
      <c r="I342" s="8">
        <f>IF(COUNTBLANK(C342:E342)+COUNTBLANK(F342)=0,1,0)</f>
        <v/>
      </c>
      <c r="J342" s="8">
        <f>IF(COUNTBLANK(C342:E342)+COUNTBLANK(G342)=0,1,0)</f>
        <v/>
      </c>
      <c r="K342" s="8">
        <f>IF(COUNTBLANK(C342:E342)+COUNTBLANK(H342)=0,1,0)</f>
        <v/>
      </c>
    </row>
    <row r="343">
      <c r="A343" s="8" t="inlineStr">
        <is>
          <t>Uruguay</t>
        </is>
      </c>
      <c r="B343" s="8" t="n">
        <v>2003</v>
      </c>
      <c r="C343" s="18">
        <f>IF(Categorias!C344="","",Categorias!C344/(N(Categorias!C344)+N(Categorias!D344)+N(Categorias!E344)))</f>
        <v/>
      </c>
      <c r="D343" s="18">
        <f>IF(Categorias!H344="","",Categorias!H344/(N(Categorias!H344)+N(Categorias!I344)))</f>
        <v/>
      </c>
      <c r="E343" s="17">
        <f>IFERROR(IF(INDEX(Gini!$C$2:$C$377,MATCH($A343&amp;"|"&amp;$B343,Gini!$E$2:$E$377,0))="","",INDEX(Gini!$C$2:$C$377,MATCH($A343&amp;"|"&amp;$B343,Gini!$E$2:$E$377,0))),"")</f>
        <v/>
      </c>
      <c r="F343" s="19">
        <f>IFERROR(IF(INDEX(Corrupcion!$E$2:$E$377,MATCH($A343&amp;"|"&amp;$B343,Corrupcion!$H$2:$H$377,0))="","",INDEX(Corrupcion!$E$2:$E$377,MATCH($A343&amp;"|"&amp;$B343,Corrupcion!$H$2:$H$377,0))),"")</f>
        <v/>
      </c>
      <c r="G343" s="20">
        <f>IFERROR(IF(INDEX(Corrupcion!$F$2:$F$377,MATCH($A343&amp;"|"&amp;$B343,Corrupcion!$H$2:$H$377,0))="","",INDEX(Corrupcion!$F$2:$F$377,MATCH($A343&amp;"|"&amp;$B343,Corrupcion!$H$2:$H$377,0))),"")</f>
        <v/>
      </c>
      <c r="H343" s="17">
        <f>IFERROR(IF(INDEX(Corrupcion!$G$2:$G$377,MATCH($A343&amp;"|"&amp;$B343,Corrupcion!$H$2:$H$377,0))="","",INDEX(Corrupcion!$G$2:$G$377,MATCH($A343&amp;"|"&amp;$B343,Corrupcion!$H$2:$H$377,0))),"")</f>
        <v/>
      </c>
      <c r="I343" s="8">
        <f>IF(COUNTBLANK(C343:E343)+COUNTBLANK(F343)=0,1,0)</f>
        <v/>
      </c>
      <c r="J343" s="8">
        <f>IF(COUNTBLANK(C343:E343)+COUNTBLANK(G343)=0,1,0)</f>
        <v/>
      </c>
      <c r="K343" s="8">
        <f>IF(COUNTBLANK(C343:E343)+COUNTBLANK(H343)=0,1,0)</f>
        <v/>
      </c>
    </row>
    <row r="344">
      <c r="A344" s="8" t="inlineStr">
        <is>
          <t>Uruguay</t>
        </is>
      </c>
      <c r="B344" s="8" t="n">
        <v>2004</v>
      </c>
      <c r="C344" s="18">
        <f>IF(Categorias!C345="","",Categorias!C345/(N(Categorias!C345)+N(Categorias!D345)+N(Categorias!E345)))</f>
        <v/>
      </c>
      <c r="D344" s="18">
        <f>IF(Categorias!H345="","",Categorias!H345/(N(Categorias!H345)+N(Categorias!I345)))</f>
        <v/>
      </c>
      <c r="E344" s="17">
        <f>IFERROR(IF(INDEX(Gini!$C$2:$C$377,MATCH($A344&amp;"|"&amp;$B344,Gini!$E$2:$E$377,0))="","",INDEX(Gini!$C$2:$C$377,MATCH($A344&amp;"|"&amp;$B344,Gini!$E$2:$E$377,0))),"")</f>
        <v/>
      </c>
      <c r="F344" s="19">
        <f>IFERROR(IF(INDEX(Corrupcion!$E$2:$E$377,MATCH($A344&amp;"|"&amp;$B344,Corrupcion!$H$2:$H$377,0))="","",INDEX(Corrupcion!$E$2:$E$377,MATCH($A344&amp;"|"&amp;$B344,Corrupcion!$H$2:$H$377,0))),"")</f>
        <v/>
      </c>
      <c r="G344" s="20">
        <f>IFERROR(IF(INDEX(Corrupcion!$F$2:$F$377,MATCH($A344&amp;"|"&amp;$B344,Corrupcion!$H$2:$H$377,0))="","",INDEX(Corrupcion!$F$2:$F$377,MATCH($A344&amp;"|"&amp;$B344,Corrupcion!$H$2:$H$377,0))),"")</f>
        <v/>
      </c>
      <c r="H344" s="17">
        <f>IFERROR(IF(INDEX(Corrupcion!$G$2:$G$377,MATCH($A344&amp;"|"&amp;$B344,Corrupcion!$H$2:$H$377,0))="","",INDEX(Corrupcion!$G$2:$G$377,MATCH($A344&amp;"|"&amp;$B344,Corrupcion!$H$2:$H$377,0))),"")</f>
        <v/>
      </c>
      <c r="I344" s="8">
        <f>IF(COUNTBLANK(C344:E344)+COUNTBLANK(F344)=0,1,0)</f>
        <v/>
      </c>
      <c r="J344" s="8">
        <f>IF(COUNTBLANK(C344:E344)+COUNTBLANK(G344)=0,1,0)</f>
        <v/>
      </c>
      <c r="K344" s="8">
        <f>IF(COUNTBLANK(C344:E344)+COUNTBLANK(H344)=0,1,0)</f>
        <v/>
      </c>
    </row>
    <row r="345">
      <c r="A345" s="8" t="inlineStr">
        <is>
          <t>Uruguay</t>
        </is>
      </c>
      <c r="B345" s="8" t="n">
        <v>2005</v>
      </c>
      <c r="C345" s="18">
        <f>IF(Categorias!C346="","",Categorias!C346/(N(Categorias!C346)+N(Categorias!D346)+N(Categorias!E346)))</f>
        <v/>
      </c>
      <c r="D345" s="18">
        <f>IF(Categorias!H346="","",Categorias!H346/(N(Categorias!H346)+N(Categorias!I346)))</f>
        <v/>
      </c>
      <c r="E345" s="17">
        <f>IFERROR(IF(INDEX(Gini!$C$2:$C$377,MATCH($A345&amp;"|"&amp;$B345,Gini!$E$2:$E$377,0))="","",INDEX(Gini!$C$2:$C$377,MATCH($A345&amp;"|"&amp;$B345,Gini!$E$2:$E$377,0))),"")</f>
        <v/>
      </c>
      <c r="F345" s="19">
        <f>IFERROR(IF(INDEX(Corrupcion!$E$2:$E$377,MATCH($A345&amp;"|"&amp;$B345,Corrupcion!$H$2:$H$377,0))="","",INDEX(Corrupcion!$E$2:$E$377,MATCH($A345&amp;"|"&amp;$B345,Corrupcion!$H$2:$H$377,0))),"")</f>
        <v/>
      </c>
      <c r="G345" s="20">
        <f>IFERROR(IF(INDEX(Corrupcion!$F$2:$F$377,MATCH($A345&amp;"|"&amp;$B345,Corrupcion!$H$2:$H$377,0))="","",INDEX(Corrupcion!$F$2:$F$377,MATCH($A345&amp;"|"&amp;$B345,Corrupcion!$H$2:$H$377,0))),"")</f>
        <v/>
      </c>
      <c r="H345" s="17">
        <f>IFERROR(IF(INDEX(Corrupcion!$G$2:$G$377,MATCH($A345&amp;"|"&amp;$B345,Corrupcion!$H$2:$H$377,0))="","",INDEX(Corrupcion!$G$2:$G$377,MATCH($A345&amp;"|"&amp;$B345,Corrupcion!$H$2:$H$377,0))),"")</f>
        <v/>
      </c>
      <c r="I345" s="8">
        <f>IF(COUNTBLANK(C345:E345)+COUNTBLANK(F345)=0,1,0)</f>
        <v/>
      </c>
      <c r="J345" s="8">
        <f>IF(COUNTBLANK(C345:E345)+COUNTBLANK(G345)=0,1,0)</f>
        <v/>
      </c>
      <c r="K345" s="8">
        <f>IF(COUNTBLANK(C345:E345)+COUNTBLANK(H345)=0,1,0)</f>
        <v/>
      </c>
    </row>
    <row r="346">
      <c r="A346" s="8" t="inlineStr">
        <is>
          <t>Uruguay</t>
        </is>
      </c>
      <c r="B346" s="8" t="n">
        <v>2006</v>
      </c>
      <c r="C346" s="18">
        <f>IF(Categorias!C347="","",Categorias!C347/(N(Categorias!C347)+N(Categorias!D347)+N(Categorias!E347)))</f>
        <v/>
      </c>
      <c r="D346" s="18">
        <f>IF(Categorias!H347="","",Categorias!H347/(N(Categorias!H347)+N(Categorias!I347)))</f>
        <v/>
      </c>
      <c r="E346" s="17">
        <f>IFERROR(IF(INDEX(Gini!$C$2:$C$377,MATCH($A346&amp;"|"&amp;$B346,Gini!$E$2:$E$377,0))="","",INDEX(Gini!$C$2:$C$377,MATCH($A346&amp;"|"&amp;$B346,Gini!$E$2:$E$377,0))),"")</f>
        <v/>
      </c>
      <c r="F346" s="19">
        <f>IFERROR(IF(INDEX(Corrupcion!$E$2:$E$377,MATCH($A346&amp;"|"&amp;$B346,Corrupcion!$H$2:$H$377,0))="","",INDEX(Corrupcion!$E$2:$E$377,MATCH($A346&amp;"|"&amp;$B346,Corrupcion!$H$2:$H$377,0))),"")</f>
        <v/>
      </c>
      <c r="G346" s="20">
        <f>IFERROR(IF(INDEX(Corrupcion!$F$2:$F$377,MATCH($A346&amp;"|"&amp;$B346,Corrupcion!$H$2:$H$377,0))="","",INDEX(Corrupcion!$F$2:$F$377,MATCH($A346&amp;"|"&amp;$B346,Corrupcion!$H$2:$H$377,0))),"")</f>
        <v/>
      </c>
      <c r="H346" s="17">
        <f>IFERROR(IF(INDEX(Corrupcion!$G$2:$G$377,MATCH($A346&amp;"|"&amp;$B346,Corrupcion!$H$2:$H$377,0))="","",INDEX(Corrupcion!$G$2:$G$377,MATCH($A346&amp;"|"&amp;$B346,Corrupcion!$H$2:$H$377,0))),"")</f>
        <v/>
      </c>
      <c r="I346" s="8">
        <f>IF(COUNTBLANK(C346:E346)+COUNTBLANK(F346)=0,1,0)</f>
        <v/>
      </c>
      <c r="J346" s="8">
        <f>IF(COUNTBLANK(C346:E346)+COUNTBLANK(G346)=0,1,0)</f>
        <v/>
      </c>
      <c r="K346" s="8">
        <f>IF(COUNTBLANK(C346:E346)+COUNTBLANK(H346)=0,1,0)</f>
        <v/>
      </c>
    </row>
    <row r="347">
      <c r="A347" s="8" t="inlineStr">
        <is>
          <t>Uruguay</t>
        </is>
      </c>
      <c r="B347" s="8" t="n">
        <v>2007</v>
      </c>
      <c r="C347" s="18">
        <f>IF(Categorias!C348="","",Categorias!C348/(N(Categorias!C348)+N(Categorias!D348)+N(Categorias!E348)))</f>
        <v/>
      </c>
      <c r="D347" s="18">
        <f>IF(Categorias!H348="","",Categorias!H348/(N(Categorias!H348)+N(Categorias!I348)))</f>
        <v/>
      </c>
      <c r="E347" s="17">
        <f>IFERROR(IF(INDEX(Gini!$C$2:$C$377,MATCH($A347&amp;"|"&amp;$B347,Gini!$E$2:$E$377,0))="","",INDEX(Gini!$C$2:$C$377,MATCH($A347&amp;"|"&amp;$B347,Gini!$E$2:$E$377,0))),"")</f>
        <v/>
      </c>
      <c r="F347" s="19">
        <f>IFERROR(IF(INDEX(Corrupcion!$E$2:$E$377,MATCH($A347&amp;"|"&amp;$B347,Corrupcion!$H$2:$H$377,0))="","",INDEX(Corrupcion!$E$2:$E$377,MATCH($A347&amp;"|"&amp;$B347,Corrupcion!$H$2:$H$377,0))),"")</f>
        <v/>
      </c>
      <c r="G347" s="20">
        <f>IFERROR(IF(INDEX(Corrupcion!$F$2:$F$377,MATCH($A347&amp;"|"&amp;$B347,Corrupcion!$H$2:$H$377,0))="","",INDEX(Corrupcion!$F$2:$F$377,MATCH($A347&amp;"|"&amp;$B347,Corrupcion!$H$2:$H$377,0))),"")</f>
        <v/>
      </c>
      <c r="H347" s="17">
        <f>IFERROR(IF(INDEX(Corrupcion!$G$2:$G$377,MATCH($A347&amp;"|"&amp;$B347,Corrupcion!$H$2:$H$377,0))="","",INDEX(Corrupcion!$G$2:$G$377,MATCH($A347&amp;"|"&amp;$B347,Corrupcion!$H$2:$H$377,0))),"")</f>
        <v/>
      </c>
      <c r="I347" s="8">
        <f>IF(COUNTBLANK(C347:E347)+COUNTBLANK(F347)=0,1,0)</f>
        <v/>
      </c>
      <c r="J347" s="8">
        <f>IF(COUNTBLANK(C347:E347)+COUNTBLANK(G347)=0,1,0)</f>
        <v/>
      </c>
      <c r="K347" s="8">
        <f>IF(COUNTBLANK(C347:E347)+COUNTBLANK(H347)=0,1,0)</f>
        <v/>
      </c>
    </row>
    <row r="348">
      <c r="A348" s="8" t="inlineStr">
        <is>
          <t>Uruguay</t>
        </is>
      </c>
      <c r="B348" s="8" t="n">
        <v>2008</v>
      </c>
      <c r="C348" s="18">
        <f>IF(Categorias!C349="","",Categorias!C349/(N(Categorias!C349)+N(Categorias!D349)+N(Categorias!E349)))</f>
        <v/>
      </c>
      <c r="D348" s="18">
        <f>IF(Categorias!H349="","",Categorias!H349/(N(Categorias!H349)+N(Categorias!I349)))</f>
        <v/>
      </c>
      <c r="E348" s="17">
        <f>IFERROR(IF(INDEX(Gini!$C$2:$C$377,MATCH($A348&amp;"|"&amp;$B348,Gini!$E$2:$E$377,0))="","",INDEX(Gini!$C$2:$C$377,MATCH($A348&amp;"|"&amp;$B348,Gini!$E$2:$E$377,0))),"")</f>
        <v/>
      </c>
      <c r="F348" s="19">
        <f>IFERROR(IF(INDEX(Corrupcion!$E$2:$E$377,MATCH($A348&amp;"|"&amp;$B348,Corrupcion!$H$2:$H$377,0))="","",INDEX(Corrupcion!$E$2:$E$377,MATCH($A348&amp;"|"&amp;$B348,Corrupcion!$H$2:$H$377,0))),"")</f>
        <v/>
      </c>
      <c r="G348" s="20">
        <f>IFERROR(IF(INDEX(Corrupcion!$F$2:$F$377,MATCH($A348&amp;"|"&amp;$B348,Corrupcion!$H$2:$H$377,0))="","",INDEX(Corrupcion!$F$2:$F$377,MATCH($A348&amp;"|"&amp;$B348,Corrupcion!$H$2:$H$377,0))),"")</f>
        <v/>
      </c>
      <c r="H348" s="17">
        <f>IFERROR(IF(INDEX(Corrupcion!$G$2:$G$377,MATCH($A348&amp;"|"&amp;$B348,Corrupcion!$H$2:$H$377,0))="","",INDEX(Corrupcion!$G$2:$G$377,MATCH($A348&amp;"|"&amp;$B348,Corrupcion!$H$2:$H$377,0))),"")</f>
        <v/>
      </c>
      <c r="I348" s="8">
        <f>IF(COUNTBLANK(C348:E348)+COUNTBLANK(F348)=0,1,0)</f>
        <v/>
      </c>
      <c r="J348" s="8">
        <f>IF(COUNTBLANK(C348:E348)+COUNTBLANK(G348)=0,1,0)</f>
        <v/>
      </c>
      <c r="K348" s="8">
        <f>IF(COUNTBLANK(C348:E348)+COUNTBLANK(H348)=0,1,0)</f>
        <v/>
      </c>
    </row>
    <row r="349">
      <c r="A349" s="8" t="inlineStr">
        <is>
          <t>Uruguay</t>
        </is>
      </c>
      <c r="B349" s="8" t="n">
        <v>2009</v>
      </c>
      <c r="C349" s="18">
        <f>IF(Categorias!C350="","",Categorias!C350/(N(Categorias!C350)+N(Categorias!D350)+N(Categorias!E350)))</f>
        <v/>
      </c>
      <c r="D349" s="18">
        <f>IF(Categorias!H350="","",Categorias!H350/(N(Categorias!H350)+N(Categorias!I350)))</f>
        <v/>
      </c>
      <c r="E349" s="17">
        <f>IFERROR(IF(INDEX(Gini!$C$2:$C$377,MATCH($A349&amp;"|"&amp;$B349,Gini!$E$2:$E$377,0))="","",INDEX(Gini!$C$2:$C$377,MATCH($A349&amp;"|"&amp;$B349,Gini!$E$2:$E$377,0))),"")</f>
        <v/>
      </c>
      <c r="F349" s="19">
        <f>IFERROR(IF(INDEX(Corrupcion!$E$2:$E$377,MATCH($A349&amp;"|"&amp;$B349,Corrupcion!$H$2:$H$377,0))="","",INDEX(Corrupcion!$E$2:$E$377,MATCH($A349&amp;"|"&amp;$B349,Corrupcion!$H$2:$H$377,0))),"")</f>
        <v/>
      </c>
      <c r="G349" s="20">
        <f>IFERROR(IF(INDEX(Corrupcion!$F$2:$F$377,MATCH($A349&amp;"|"&amp;$B349,Corrupcion!$H$2:$H$377,0))="","",INDEX(Corrupcion!$F$2:$F$377,MATCH($A349&amp;"|"&amp;$B349,Corrupcion!$H$2:$H$377,0))),"")</f>
        <v/>
      </c>
      <c r="H349" s="17">
        <f>IFERROR(IF(INDEX(Corrupcion!$G$2:$G$377,MATCH($A349&amp;"|"&amp;$B349,Corrupcion!$H$2:$H$377,0))="","",INDEX(Corrupcion!$G$2:$G$377,MATCH($A349&amp;"|"&amp;$B349,Corrupcion!$H$2:$H$377,0))),"")</f>
        <v/>
      </c>
      <c r="I349" s="8">
        <f>IF(COUNTBLANK(C349:E349)+COUNTBLANK(F349)=0,1,0)</f>
        <v/>
      </c>
      <c r="J349" s="8">
        <f>IF(COUNTBLANK(C349:E349)+COUNTBLANK(G349)=0,1,0)</f>
        <v/>
      </c>
      <c r="K349" s="8">
        <f>IF(COUNTBLANK(C349:E349)+COUNTBLANK(H349)=0,1,0)</f>
        <v/>
      </c>
    </row>
    <row r="350">
      <c r="A350" s="8" t="inlineStr">
        <is>
          <t>Uruguay</t>
        </is>
      </c>
      <c r="B350" s="8" t="n">
        <v>2010</v>
      </c>
      <c r="C350" s="18">
        <f>IF(Categorias!C351="","",Categorias!C351/(N(Categorias!C351)+N(Categorias!D351)+N(Categorias!E351)))</f>
        <v/>
      </c>
      <c r="D350" s="18">
        <f>IF(Categorias!H351="","",Categorias!H351/(N(Categorias!H351)+N(Categorias!I351)))</f>
        <v/>
      </c>
      <c r="E350" s="17">
        <f>IFERROR(IF(INDEX(Gini!$C$2:$C$377,MATCH($A350&amp;"|"&amp;$B350,Gini!$E$2:$E$377,0))="","",INDEX(Gini!$C$2:$C$377,MATCH($A350&amp;"|"&amp;$B350,Gini!$E$2:$E$377,0))),"")</f>
        <v/>
      </c>
      <c r="F350" s="19">
        <f>IFERROR(IF(INDEX(Corrupcion!$E$2:$E$377,MATCH($A350&amp;"|"&amp;$B350,Corrupcion!$H$2:$H$377,0))="","",INDEX(Corrupcion!$E$2:$E$377,MATCH($A350&amp;"|"&amp;$B350,Corrupcion!$H$2:$H$377,0))),"")</f>
        <v/>
      </c>
      <c r="G350" s="20">
        <f>IFERROR(IF(INDEX(Corrupcion!$F$2:$F$377,MATCH($A350&amp;"|"&amp;$B350,Corrupcion!$H$2:$H$377,0))="","",INDEX(Corrupcion!$F$2:$F$377,MATCH($A350&amp;"|"&amp;$B350,Corrupcion!$H$2:$H$377,0))),"")</f>
        <v/>
      </c>
      <c r="H350" s="17">
        <f>IFERROR(IF(INDEX(Corrupcion!$G$2:$G$377,MATCH($A350&amp;"|"&amp;$B350,Corrupcion!$H$2:$H$377,0))="","",INDEX(Corrupcion!$G$2:$G$377,MATCH($A350&amp;"|"&amp;$B350,Corrupcion!$H$2:$H$377,0))),"")</f>
        <v/>
      </c>
      <c r="I350" s="8">
        <f>IF(COUNTBLANK(C350:E350)+COUNTBLANK(F350)=0,1,0)</f>
        <v/>
      </c>
      <c r="J350" s="8">
        <f>IF(COUNTBLANK(C350:E350)+COUNTBLANK(G350)=0,1,0)</f>
        <v/>
      </c>
      <c r="K350" s="8">
        <f>IF(COUNTBLANK(C350:E350)+COUNTBLANK(H350)=0,1,0)</f>
        <v/>
      </c>
    </row>
    <row r="351">
      <c r="A351" s="8" t="inlineStr">
        <is>
          <t>Uruguay</t>
        </is>
      </c>
      <c r="B351" s="8" t="n">
        <v>2011</v>
      </c>
      <c r="C351" s="18">
        <f>IF(Categorias!C352="","",Categorias!C352/(N(Categorias!C352)+N(Categorias!D352)+N(Categorias!E352)))</f>
        <v/>
      </c>
      <c r="D351" s="18">
        <f>IF(Categorias!H352="","",Categorias!H352/(N(Categorias!H352)+N(Categorias!I352)))</f>
        <v/>
      </c>
      <c r="E351" s="17">
        <f>IFERROR(IF(INDEX(Gini!$C$2:$C$377,MATCH($A351&amp;"|"&amp;$B351,Gini!$E$2:$E$377,0))="","",INDEX(Gini!$C$2:$C$377,MATCH($A351&amp;"|"&amp;$B351,Gini!$E$2:$E$377,0))),"")</f>
        <v/>
      </c>
      <c r="F351" s="19">
        <f>IFERROR(IF(INDEX(Corrupcion!$E$2:$E$377,MATCH($A351&amp;"|"&amp;$B351,Corrupcion!$H$2:$H$377,0))="","",INDEX(Corrupcion!$E$2:$E$377,MATCH($A351&amp;"|"&amp;$B351,Corrupcion!$H$2:$H$377,0))),"")</f>
        <v/>
      </c>
      <c r="G351" s="20">
        <f>IFERROR(IF(INDEX(Corrupcion!$F$2:$F$377,MATCH($A351&amp;"|"&amp;$B351,Corrupcion!$H$2:$H$377,0))="","",INDEX(Corrupcion!$F$2:$F$377,MATCH($A351&amp;"|"&amp;$B351,Corrupcion!$H$2:$H$377,0))),"")</f>
        <v/>
      </c>
      <c r="H351" s="17">
        <f>IFERROR(IF(INDEX(Corrupcion!$G$2:$G$377,MATCH($A351&amp;"|"&amp;$B351,Corrupcion!$H$2:$H$377,0))="","",INDEX(Corrupcion!$G$2:$G$377,MATCH($A351&amp;"|"&amp;$B351,Corrupcion!$H$2:$H$377,0))),"")</f>
        <v/>
      </c>
      <c r="I351" s="8">
        <f>IF(COUNTBLANK(C351:E351)+COUNTBLANK(F351)=0,1,0)</f>
        <v/>
      </c>
      <c r="J351" s="8">
        <f>IF(COUNTBLANK(C351:E351)+COUNTBLANK(G351)=0,1,0)</f>
        <v/>
      </c>
      <c r="K351" s="8">
        <f>IF(COUNTBLANK(C351:E351)+COUNTBLANK(H351)=0,1,0)</f>
        <v/>
      </c>
    </row>
    <row r="352">
      <c r="A352" s="8" t="inlineStr">
        <is>
          <t>Uruguay</t>
        </is>
      </c>
      <c r="B352" s="8" t="n">
        <v>2016</v>
      </c>
      <c r="C352" s="18">
        <f>IF(Categorias!C353="","",Categorias!C353/(N(Categorias!C353)+N(Categorias!D353)+N(Categorias!E353)))</f>
        <v/>
      </c>
      <c r="D352" s="18">
        <f>IF(Categorias!H353="","",Categorias!H353/(N(Categorias!H353)+N(Categorias!I353)))</f>
        <v/>
      </c>
      <c r="E352" s="17">
        <f>IFERROR(IF(INDEX(Gini!$C$2:$C$377,MATCH($A352&amp;"|"&amp;$B352,Gini!$E$2:$E$377,0))="","",INDEX(Gini!$C$2:$C$377,MATCH($A352&amp;"|"&amp;$B352,Gini!$E$2:$E$377,0))),"")</f>
        <v/>
      </c>
      <c r="F352" s="19">
        <f>IFERROR(IF(INDEX(Corrupcion!$E$2:$E$377,MATCH($A352&amp;"|"&amp;$B352,Corrupcion!$H$2:$H$377,0))="","",INDEX(Corrupcion!$E$2:$E$377,MATCH($A352&amp;"|"&amp;$B352,Corrupcion!$H$2:$H$377,0))),"")</f>
        <v/>
      </c>
      <c r="G352" s="20">
        <f>IFERROR(IF(INDEX(Corrupcion!$F$2:$F$377,MATCH($A352&amp;"|"&amp;$B352,Corrupcion!$H$2:$H$377,0))="","",INDEX(Corrupcion!$F$2:$F$377,MATCH($A352&amp;"|"&amp;$B352,Corrupcion!$H$2:$H$377,0))),"")</f>
        <v/>
      </c>
      <c r="H352" s="17">
        <f>IFERROR(IF(INDEX(Corrupcion!$G$2:$G$377,MATCH($A352&amp;"|"&amp;$B352,Corrupcion!$H$2:$H$377,0))="","",INDEX(Corrupcion!$G$2:$G$377,MATCH($A352&amp;"|"&amp;$B352,Corrupcion!$H$2:$H$377,0))),"")</f>
        <v/>
      </c>
      <c r="I352" s="8">
        <f>IF(COUNTBLANK(C352:E352)+COUNTBLANK(F352)=0,1,0)</f>
        <v/>
      </c>
      <c r="J352" s="8">
        <f>IF(COUNTBLANK(C352:E352)+COUNTBLANK(G352)=0,1,0)</f>
        <v/>
      </c>
      <c r="K352" s="8">
        <f>IF(COUNTBLANK(C352:E352)+COUNTBLANK(H352)=0,1,0)</f>
        <v/>
      </c>
    </row>
    <row r="353">
      <c r="A353" s="8" t="inlineStr">
        <is>
          <t>Uruguay</t>
        </is>
      </c>
      <c r="B353" s="8" t="n">
        <v>2017</v>
      </c>
      <c r="C353" s="18">
        <f>IF(Categorias!C354="","",Categorias!C354/(N(Categorias!C354)+N(Categorias!D354)+N(Categorias!E354)))</f>
        <v/>
      </c>
      <c r="D353" s="18">
        <f>IF(Categorias!H354="","",Categorias!H354/(N(Categorias!H354)+N(Categorias!I354)))</f>
        <v/>
      </c>
      <c r="E353" s="17">
        <f>IFERROR(IF(INDEX(Gini!$C$2:$C$377,MATCH($A353&amp;"|"&amp;$B353,Gini!$E$2:$E$377,0))="","",INDEX(Gini!$C$2:$C$377,MATCH($A353&amp;"|"&amp;$B353,Gini!$E$2:$E$377,0))),"")</f>
        <v/>
      </c>
      <c r="F353" s="19">
        <f>IFERROR(IF(INDEX(Corrupcion!$E$2:$E$377,MATCH($A353&amp;"|"&amp;$B353,Corrupcion!$H$2:$H$377,0))="","",INDEX(Corrupcion!$E$2:$E$377,MATCH($A353&amp;"|"&amp;$B353,Corrupcion!$H$2:$H$377,0))),"")</f>
        <v/>
      </c>
      <c r="G353" s="20">
        <f>IFERROR(IF(INDEX(Corrupcion!$F$2:$F$377,MATCH($A353&amp;"|"&amp;$B353,Corrupcion!$H$2:$H$377,0))="","",INDEX(Corrupcion!$F$2:$F$377,MATCH($A353&amp;"|"&amp;$B353,Corrupcion!$H$2:$H$377,0))),"")</f>
        <v/>
      </c>
      <c r="H353" s="17">
        <f>IFERROR(IF(INDEX(Corrupcion!$G$2:$G$377,MATCH($A353&amp;"|"&amp;$B353,Corrupcion!$H$2:$H$377,0))="","",INDEX(Corrupcion!$G$2:$G$377,MATCH($A353&amp;"|"&amp;$B353,Corrupcion!$H$2:$H$377,0))),"")</f>
        <v/>
      </c>
      <c r="I353" s="8">
        <f>IF(COUNTBLANK(C353:E353)+COUNTBLANK(F353)=0,1,0)</f>
        <v/>
      </c>
      <c r="J353" s="8">
        <f>IF(COUNTBLANK(C353:E353)+COUNTBLANK(G353)=0,1,0)</f>
        <v/>
      </c>
      <c r="K353" s="8">
        <f>IF(COUNTBLANK(C353:E353)+COUNTBLANK(H353)=0,1,0)</f>
        <v/>
      </c>
    </row>
    <row r="354">
      <c r="A354" s="8" t="inlineStr">
        <is>
          <t>Uruguay</t>
        </is>
      </c>
      <c r="B354" s="8" t="n">
        <v>2018</v>
      </c>
      <c r="C354" s="18">
        <f>IF(Categorias!C355="","",Categorias!C355/(N(Categorias!C355)+N(Categorias!D355)+N(Categorias!E355)))</f>
        <v/>
      </c>
      <c r="D354" s="18">
        <f>IF(Categorias!H355="","",Categorias!H355/(N(Categorias!H355)+N(Categorias!I355)))</f>
        <v/>
      </c>
      <c r="E354" s="17">
        <f>IFERROR(IF(INDEX(Gini!$C$2:$C$377,MATCH($A354&amp;"|"&amp;$B354,Gini!$E$2:$E$377,0))="","",INDEX(Gini!$C$2:$C$377,MATCH($A354&amp;"|"&amp;$B354,Gini!$E$2:$E$377,0))),"")</f>
        <v/>
      </c>
      <c r="F354" s="19">
        <f>IFERROR(IF(INDEX(Corrupcion!$E$2:$E$377,MATCH($A354&amp;"|"&amp;$B354,Corrupcion!$H$2:$H$377,0))="","",INDEX(Corrupcion!$E$2:$E$377,MATCH($A354&amp;"|"&amp;$B354,Corrupcion!$H$2:$H$377,0))),"")</f>
        <v/>
      </c>
      <c r="G354" s="20">
        <f>IFERROR(IF(INDEX(Corrupcion!$F$2:$F$377,MATCH($A354&amp;"|"&amp;$B354,Corrupcion!$H$2:$H$377,0))="","",INDEX(Corrupcion!$F$2:$F$377,MATCH($A354&amp;"|"&amp;$B354,Corrupcion!$H$2:$H$377,0))),"")</f>
        <v/>
      </c>
      <c r="H354" s="17">
        <f>IFERROR(IF(INDEX(Corrupcion!$G$2:$G$377,MATCH($A354&amp;"|"&amp;$B354,Corrupcion!$H$2:$H$377,0))="","",INDEX(Corrupcion!$G$2:$G$377,MATCH($A354&amp;"|"&amp;$B354,Corrupcion!$H$2:$H$377,0))),"")</f>
        <v/>
      </c>
      <c r="I354" s="8">
        <f>IF(COUNTBLANK(C354:E354)+COUNTBLANK(F354)=0,1,0)</f>
        <v/>
      </c>
      <c r="J354" s="8">
        <f>IF(COUNTBLANK(C354:E354)+COUNTBLANK(G354)=0,1,0)</f>
        <v/>
      </c>
      <c r="K354" s="8">
        <f>IF(COUNTBLANK(C354:E354)+COUNTBLANK(H354)=0,1,0)</f>
        <v/>
      </c>
    </row>
    <row r="355">
      <c r="A355" s="8" t="inlineStr">
        <is>
          <t>Uruguay</t>
        </is>
      </c>
      <c r="B355" s="8" t="n">
        <v>2020</v>
      </c>
      <c r="C355" s="18">
        <f>IF(Categorias!C356="","",Categorias!C356/(N(Categorias!C356)+N(Categorias!D356)+N(Categorias!E356)))</f>
        <v/>
      </c>
      <c r="D355" s="18">
        <f>IF(Categorias!H356="","",Categorias!H356/(N(Categorias!H356)+N(Categorias!I356)))</f>
        <v/>
      </c>
      <c r="E355" s="17">
        <f>IFERROR(IF(INDEX(Gini!$C$2:$C$377,MATCH($A355&amp;"|"&amp;$B355,Gini!$E$2:$E$377,0))="","",INDEX(Gini!$C$2:$C$377,MATCH($A355&amp;"|"&amp;$B355,Gini!$E$2:$E$377,0))),"")</f>
        <v/>
      </c>
      <c r="F355" s="19">
        <f>IFERROR(IF(INDEX(Corrupcion!$E$2:$E$377,MATCH($A355&amp;"|"&amp;$B355,Corrupcion!$H$2:$H$377,0))="","",INDEX(Corrupcion!$E$2:$E$377,MATCH($A355&amp;"|"&amp;$B355,Corrupcion!$H$2:$H$377,0))),"")</f>
        <v/>
      </c>
      <c r="G355" s="20">
        <f>IFERROR(IF(INDEX(Corrupcion!$F$2:$F$377,MATCH($A355&amp;"|"&amp;$B355,Corrupcion!$H$2:$H$377,0))="","",INDEX(Corrupcion!$F$2:$F$377,MATCH($A355&amp;"|"&amp;$B355,Corrupcion!$H$2:$H$377,0))),"")</f>
        <v/>
      </c>
      <c r="H355" s="17">
        <f>IFERROR(IF(INDEX(Corrupcion!$G$2:$G$377,MATCH($A355&amp;"|"&amp;$B355,Corrupcion!$H$2:$H$377,0))="","",INDEX(Corrupcion!$G$2:$G$377,MATCH($A355&amp;"|"&amp;$B355,Corrupcion!$H$2:$H$377,0))),"")</f>
        <v/>
      </c>
      <c r="I355" s="8">
        <f>IF(COUNTBLANK(C355:E355)+COUNTBLANK(F355)=0,1,0)</f>
        <v/>
      </c>
      <c r="J355" s="8">
        <f>IF(COUNTBLANK(C355:E355)+COUNTBLANK(G355)=0,1,0)</f>
        <v/>
      </c>
      <c r="K355" s="8">
        <f>IF(COUNTBLANK(C355:E355)+COUNTBLANK(H355)=0,1,0)</f>
        <v/>
      </c>
    </row>
    <row r="356">
      <c r="A356" s="8" t="inlineStr">
        <is>
          <t>Uruguay</t>
        </is>
      </c>
      <c r="B356" s="8" t="n">
        <v>2024</v>
      </c>
      <c r="C356" s="18">
        <f>IF(Categorias!C357="","",Categorias!C357/(N(Categorias!C357)+N(Categorias!D357)+N(Categorias!E357)))</f>
        <v/>
      </c>
      <c r="D356" s="18">
        <f>IF(Categorias!H357="","",Categorias!H357/(N(Categorias!H357)+N(Categorias!I357)))</f>
        <v/>
      </c>
      <c r="E356" s="17">
        <f>IFERROR(IF(INDEX(Gini!$C$2:$C$377,MATCH($A356&amp;"|"&amp;$B356,Gini!$E$2:$E$377,0))="","",INDEX(Gini!$C$2:$C$377,MATCH($A356&amp;"|"&amp;$B356,Gini!$E$2:$E$377,0))),"")</f>
        <v/>
      </c>
      <c r="F356" s="19">
        <f>IFERROR(IF(INDEX(Corrupcion!$E$2:$E$377,MATCH($A356&amp;"|"&amp;$B356,Corrupcion!$H$2:$H$377,0))="","",INDEX(Corrupcion!$E$2:$E$377,MATCH($A356&amp;"|"&amp;$B356,Corrupcion!$H$2:$H$377,0))),"")</f>
        <v/>
      </c>
      <c r="G356" s="20">
        <f>IFERROR(IF(INDEX(Corrupcion!$F$2:$F$377,MATCH($A356&amp;"|"&amp;$B356,Corrupcion!$H$2:$H$377,0))="","",INDEX(Corrupcion!$F$2:$F$377,MATCH($A356&amp;"|"&amp;$B356,Corrupcion!$H$2:$H$377,0))),"")</f>
        <v/>
      </c>
      <c r="H356" s="17">
        <f>IFERROR(IF(INDEX(Corrupcion!$G$2:$G$377,MATCH($A356&amp;"|"&amp;$B356,Corrupcion!$H$2:$H$377,0))="","",INDEX(Corrupcion!$G$2:$G$377,MATCH($A356&amp;"|"&amp;$B356,Corrupcion!$H$2:$H$377,0))),"")</f>
        <v/>
      </c>
      <c r="I356" s="8">
        <f>IF(COUNTBLANK(C356:E356)+COUNTBLANK(F356)=0,1,0)</f>
        <v/>
      </c>
      <c r="J356" s="8">
        <f>IF(COUNTBLANK(C356:E356)+COUNTBLANK(G356)=0,1,0)</f>
        <v/>
      </c>
      <c r="K356" s="8">
        <f>IF(COUNTBLANK(C356:E356)+COUNTBLANK(H356)=0,1,0)</f>
        <v/>
      </c>
    </row>
    <row r="357">
      <c r="A357" s="8" t="inlineStr">
        <is>
          <t>Venezuela</t>
        </is>
      </c>
      <c r="B357" s="8" t="n">
        <v>1995</v>
      </c>
      <c r="C357" s="18">
        <f>IF(Categorias!C358="","",Categorias!C358/(N(Categorias!C358)+N(Categorias!D358)+N(Categorias!E358)))</f>
        <v/>
      </c>
      <c r="D357" s="18">
        <f>IF(Categorias!H358="","",Categorias!H358/(N(Categorias!H358)+N(Categorias!I358)))</f>
        <v/>
      </c>
      <c r="E357" s="17">
        <f>IFERROR(IF(INDEX(Gini!$C$2:$C$377,MATCH($A357&amp;"|"&amp;$B357,Gini!$E$2:$E$377,0))="","",INDEX(Gini!$C$2:$C$377,MATCH($A357&amp;"|"&amp;$B357,Gini!$E$2:$E$377,0))),"")</f>
        <v/>
      </c>
      <c r="F357" s="19">
        <f>IFERROR(IF(INDEX(Corrupcion!$E$2:$E$377,MATCH($A357&amp;"|"&amp;$B357,Corrupcion!$H$2:$H$377,0))="","",INDEX(Corrupcion!$E$2:$E$377,MATCH($A357&amp;"|"&amp;$B357,Corrupcion!$H$2:$H$377,0))),"")</f>
        <v/>
      </c>
      <c r="G357" s="20">
        <f>IFERROR(IF(INDEX(Corrupcion!$F$2:$F$377,MATCH($A357&amp;"|"&amp;$B357,Corrupcion!$H$2:$H$377,0))="","",INDEX(Corrupcion!$F$2:$F$377,MATCH($A357&amp;"|"&amp;$B357,Corrupcion!$H$2:$H$377,0))),"")</f>
        <v/>
      </c>
      <c r="H357" s="17">
        <f>IFERROR(IF(INDEX(Corrupcion!$G$2:$G$377,MATCH($A357&amp;"|"&amp;$B357,Corrupcion!$H$2:$H$377,0))="","",INDEX(Corrupcion!$G$2:$G$377,MATCH($A357&amp;"|"&amp;$B357,Corrupcion!$H$2:$H$377,0))),"")</f>
        <v/>
      </c>
      <c r="I357" s="8">
        <f>IF(COUNTBLANK(C357:E357)+COUNTBLANK(F357)=0,1,0)</f>
        <v/>
      </c>
      <c r="J357" s="8">
        <f>IF(COUNTBLANK(C357:E357)+COUNTBLANK(G357)=0,1,0)</f>
        <v/>
      </c>
      <c r="K357" s="8">
        <f>IF(COUNTBLANK(C357:E357)+COUNTBLANK(H357)=0,1,0)</f>
        <v/>
      </c>
    </row>
    <row r="358">
      <c r="A358" s="8" t="inlineStr">
        <is>
          <t>Venezuela</t>
        </is>
      </c>
      <c r="B358" s="8" t="n">
        <v>1996</v>
      </c>
      <c r="C358" s="18">
        <f>IF(Categorias!C359="","",Categorias!C359/(N(Categorias!C359)+N(Categorias!D359)+N(Categorias!E359)))</f>
        <v/>
      </c>
      <c r="D358" s="18">
        <f>IF(Categorias!H359="","",Categorias!H359/(N(Categorias!H359)+N(Categorias!I359)))</f>
        <v/>
      </c>
      <c r="E358" s="17">
        <f>IFERROR(IF(INDEX(Gini!$C$2:$C$377,MATCH($A358&amp;"|"&amp;$B358,Gini!$E$2:$E$377,0))="","",INDEX(Gini!$C$2:$C$377,MATCH($A358&amp;"|"&amp;$B358,Gini!$E$2:$E$377,0))),"")</f>
        <v/>
      </c>
      <c r="F358" s="19">
        <f>IFERROR(IF(INDEX(Corrupcion!$E$2:$E$377,MATCH($A358&amp;"|"&amp;$B358,Corrupcion!$H$2:$H$377,0))="","",INDEX(Corrupcion!$E$2:$E$377,MATCH($A358&amp;"|"&amp;$B358,Corrupcion!$H$2:$H$377,0))),"")</f>
        <v/>
      </c>
      <c r="G358" s="20">
        <f>IFERROR(IF(INDEX(Corrupcion!$F$2:$F$377,MATCH($A358&amp;"|"&amp;$B358,Corrupcion!$H$2:$H$377,0))="","",INDEX(Corrupcion!$F$2:$F$377,MATCH($A358&amp;"|"&amp;$B358,Corrupcion!$H$2:$H$377,0))),"")</f>
        <v/>
      </c>
      <c r="H358" s="17">
        <f>IFERROR(IF(INDEX(Corrupcion!$G$2:$G$377,MATCH($A358&amp;"|"&amp;$B358,Corrupcion!$H$2:$H$377,0))="","",INDEX(Corrupcion!$G$2:$G$377,MATCH($A358&amp;"|"&amp;$B358,Corrupcion!$H$2:$H$377,0))),"")</f>
        <v/>
      </c>
      <c r="I358" s="8">
        <f>IF(COUNTBLANK(C358:E358)+COUNTBLANK(F358)=0,1,0)</f>
        <v/>
      </c>
      <c r="J358" s="8">
        <f>IF(COUNTBLANK(C358:E358)+COUNTBLANK(G358)=0,1,0)</f>
        <v/>
      </c>
      <c r="K358" s="8">
        <f>IF(COUNTBLANK(C358:E358)+COUNTBLANK(H358)=0,1,0)</f>
        <v/>
      </c>
    </row>
    <row r="359">
      <c r="A359" s="8" t="inlineStr">
        <is>
          <t>Venezuela</t>
        </is>
      </c>
      <c r="B359" s="8" t="n">
        <v>1997</v>
      </c>
      <c r="C359" s="18">
        <f>IF(Categorias!C360="","",Categorias!C360/(N(Categorias!C360)+N(Categorias!D360)+N(Categorias!E360)))</f>
        <v/>
      </c>
      <c r="D359" s="18">
        <f>IF(Categorias!H360="","",Categorias!H360/(N(Categorias!H360)+N(Categorias!I360)))</f>
        <v/>
      </c>
      <c r="E359" s="17">
        <f>IFERROR(IF(INDEX(Gini!$C$2:$C$377,MATCH($A359&amp;"|"&amp;$B359,Gini!$E$2:$E$377,0))="","",INDEX(Gini!$C$2:$C$377,MATCH($A359&amp;"|"&amp;$B359,Gini!$E$2:$E$377,0))),"")</f>
        <v/>
      </c>
      <c r="F359" s="19">
        <f>IFERROR(IF(INDEX(Corrupcion!$E$2:$E$377,MATCH($A359&amp;"|"&amp;$B359,Corrupcion!$H$2:$H$377,0))="","",INDEX(Corrupcion!$E$2:$E$377,MATCH($A359&amp;"|"&amp;$B359,Corrupcion!$H$2:$H$377,0))),"")</f>
        <v/>
      </c>
      <c r="G359" s="20">
        <f>IFERROR(IF(INDEX(Corrupcion!$F$2:$F$377,MATCH($A359&amp;"|"&amp;$B359,Corrupcion!$H$2:$H$377,0))="","",INDEX(Corrupcion!$F$2:$F$377,MATCH($A359&amp;"|"&amp;$B359,Corrupcion!$H$2:$H$377,0))),"")</f>
        <v/>
      </c>
      <c r="H359" s="17">
        <f>IFERROR(IF(INDEX(Corrupcion!$G$2:$G$377,MATCH($A359&amp;"|"&amp;$B359,Corrupcion!$H$2:$H$377,0))="","",INDEX(Corrupcion!$G$2:$G$377,MATCH($A359&amp;"|"&amp;$B359,Corrupcion!$H$2:$H$377,0))),"")</f>
        <v/>
      </c>
      <c r="I359" s="8">
        <f>IF(COUNTBLANK(C359:E359)+COUNTBLANK(F359)=0,1,0)</f>
        <v/>
      </c>
      <c r="J359" s="8">
        <f>IF(COUNTBLANK(C359:E359)+COUNTBLANK(G359)=0,1,0)</f>
        <v/>
      </c>
      <c r="K359" s="8">
        <f>IF(COUNTBLANK(C359:E359)+COUNTBLANK(H359)=0,1,0)</f>
        <v/>
      </c>
    </row>
    <row r="360">
      <c r="A360" s="8" t="inlineStr">
        <is>
          <t>Venezuela</t>
        </is>
      </c>
      <c r="B360" s="8" t="n">
        <v>1998</v>
      </c>
      <c r="C360" s="18">
        <f>IF(Categorias!C361="","",Categorias!C361/(N(Categorias!C361)+N(Categorias!D361)+N(Categorias!E361)))</f>
        <v/>
      </c>
      <c r="D360" s="18">
        <f>IF(Categorias!H361="","",Categorias!H361/(N(Categorias!H361)+N(Categorias!I361)))</f>
        <v/>
      </c>
      <c r="E360" s="17">
        <f>IFERROR(IF(INDEX(Gini!$C$2:$C$377,MATCH($A360&amp;"|"&amp;$B360,Gini!$E$2:$E$377,0))="","",INDEX(Gini!$C$2:$C$377,MATCH($A360&amp;"|"&amp;$B360,Gini!$E$2:$E$377,0))),"")</f>
        <v/>
      </c>
      <c r="F360" s="19">
        <f>IFERROR(IF(INDEX(Corrupcion!$E$2:$E$377,MATCH($A360&amp;"|"&amp;$B360,Corrupcion!$H$2:$H$377,0))="","",INDEX(Corrupcion!$E$2:$E$377,MATCH($A360&amp;"|"&amp;$B360,Corrupcion!$H$2:$H$377,0))),"")</f>
        <v/>
      </c>
      <c r="G360" s="20">
        <f>IFERROR(IF(INDEX(Corrupcion!$F$2:$F$377,MATCH($A360&amp;"|"&amp;$B360,Corrupcion!$H$2:$H$377,0))="","",INDEX(Corrupcion!$F$2:$F$377,MATCH($A360&amp;"|"&amp;$B360,Corrupcion!$H$2:$H$377,0))),"")</f>
        <v/>
      </c>
      <c r="H360" s="17">
        <f>IFERROR(IF(INDEX(Corrupcion!$G$2:$G$377,MATCH($A360&amp;"|"&amp;$B360,Corrupcion!$H$2:$H$377,0))="","",INDEX(Corrupcion!$G$2:$G$377,MATCH($A360&amp;"|"&amp;$B360,Corrupcion!$H$2:$H$377,0))),"")</f>
        <v/>
      </c>
      <c r="I360" s="8">
        <f>IF(COUNTBLANK(C360:E360)+COUNTBLANK(F360)=0,1,0)</f>
        <v/>
      </c>
      <c r="J360" s="8">
        <f>IF(COUNTBLANK(C360:E360)+COUNTBLANK(G360)=0,1,0)</f>
        <v/>
      </c>
      <c r="K360" s="8">
        <f>IF(COUNTBLANK(C360:E360)+COUNTBLANK(H360)=0,1,0)</f>
        <v/>
      </c>
    </row>
    <row r="361">
      <c r="A361" s="8" t="inlineStr">
        <is>
          <t>Venezuela</t>
        </is>
      </c>
      <c r="B361" s="8" t="n">
        <v>2000</v>
      </c>
      <c r="C361" s="18">
        <f>IF(Categorias!C362="","",Categorias!C362/(N(Categorias!C362)+N(Categorias!D362)+N(Categorias!E362)))</f>
        <v/>
      </c>
      <c r="D361" s="18">
        <f>IF(Categorias!H362="","",Categorias!H362/(N(Categorias!H362)+N(Categorias!I362)))</f>
        <v/>
      </c>
      <c r="E361" s="17">
        <f>IFERROR(IF(INDEX(Gini!$C$2:$C$377,MATCH($A361&amp;"|"&amp;$B361,Gini!$E$2:$E$377,0))="","",INDEX(Gini!$C$2:$C$377,MATCH($A361&amp;"|"&amp;$B361,Gini!$E$2:$E$377,0))),"")</f>
        <v/>
      </c>
      <c r="F361" s="19">
        <f>IFERROR(IF(INDEX(Corrupcion!$E$2:$E$377,MATCH($A361&amp;"|"&amp;$B361,Corrupcion!$H$2:$H$377,0))="","",INDEX(Corrupcion!$E$2:$E$377,MATCH($A361&amp;"|"&amp;$B361,Corrupcion!$H$2:$H$377,0))),"")</f>
        <v/>
      </c>
      <c r="G361" s="20">
        <f>IFERROR(IF(INDEX(Corrupcion!$F$2:$F$377,MATCH($A361&amp;"|"&amp;$B361,Corrupcion!$H$2:$H$377,0))="","",INDEX(Corrupcion!$F$2:$F$377,MATCH($A361&amp;"|"&amp;$B361,Corrupcion!$H$2:$H$377,0))),"")</f>
        <v/>
      </c>
      <c r="H361" s="17">
        <f>IFERROR(IF(INDEX(Corrupcion!$G$2:$G$377,MATCH($A361&amp;"|"&amp;$B361,Corrupcion!$H$2:$H$377,0))="","",INDEX(Corrupcion!$G$2:$G$377,MATCH($A361&amp;"|"&amp;$B361,Corrupcion!$H$2:$H$377,0))),"")</f>
        <v/>
      </c>
      <c r="I361" s="8">
        <f>IF(COUNTBLANK(C361:E361)+COUNTBLANK(F361)=0,1,0)</f>
        <v/>
      </c>
      <c r="J361" s="8">
        <f>IF(COUNTBLANK(C361:E361)+COUNTBLANK(G361)=0,1,0)</f>
        <v/>
      </c>
      <c r="K361" s="8">
        <f>IF(COUNTBLANK(C361:E361)+COUNTBLANK(H361)=0,1,0)</f>
        <v/>
      </c>
    </row>
    <row r="362">
      <c r="A362" s="8" t="inlineStr">
        <is>
          <t>Venezuela</t>
        </is>
      </c>
      <c r="B362" s="8" t="n">
        <v>2001</v>
      </c>
      <c r="C362" s="18">
        <f>IF(Categorias!C363="","",Categorias!C363/(N(Categorias!C363)+N(Categorias!D363)+N(Categorias!E363)))</f>
        <v/>
      </c>
      <c r="D362" s="18">
        <f>IF(Categorias!H363="","",Categorias!H363/(N(Categorias!H363)+N(Categorias!I363)))</f>
        <v/>
      </c>
      <c r="E362" s="17">
        <f>IFERROR(IF(INDEX(Gini!$C$2:$C$377,MATCH($A362&amp;"|"&amp;$B362,Gini!$E$2:$E$377,0))="","",INDEX(Gini!$C$2:$C$377,MATCH($A362&amp;"|"&amp;$B362,Gini!$E$2:$E$377,0))),"")</f>
        <v/>
      </c>
      <c r="F362" s="19">
        <f>IFERROR(IF(INDEX(Corrupcion!$E$2:$E$377,MATCH($A362&amp;"|"&amp;$B362,Corrupcion!$H$2:$H$377,0))="","",INDEX(Corrupcion!$E$2:$E$377,MATCH($A362&amp;"|"&amp;$B362,Corrupcion!$H$2:$H$377,0))),"")</f>
        <v/>
      </c>
      <c r="G362" s="20">
        <f>IFERROR(IF(INDEX(Corrupcion!$F$2:$F$377,MATCH($A362&amp;"|"&amp;$B362,Corrupcion!$H$2:$H$377,0))="","",INDEX(Corrupcion!$F$2:$F$377,MATCH($A362&amp;"|"&amp;$B362,Corrupcion!$H$2:$H$377,0))),"")</f>
        <v/>
      </c>
      <c r="H362" s="17">
        <f>IFERROR(IF(INDEX(Corrupcion!$G$2:$G$377,MATCH($A362&amp;"|"&amp;$B362,Corrupcion!$H$2:$H$377,0))="","",INDEX(Corrupcion!$G$2:$G$377,MATCH($A362&amp;"|"&amp;$B362,Corrupcion!$H$2:$H$377,0))),"")</f>
        <v/>
      </c>
      <c r="I362" s="8">
        <f>IF(COUNTBLANK(C362:E362)+COUNTBLANK(F362)=0,1,0)</f>
        <v/>
      </c>
      <c r="J362" s="8">
        <f>IF(COUNTBLANK(C362:E362)+COUNTBLANK(G362)=0,1,0)</f>
        <v/>
      </c>
      <c r="K362" s="8">
        <f>IF(COUNTBLANK(C362:E362)+COUNTBLANK(H362)=0,1,0)</f>
        <v/>
      </c>
    </row>
    <row r="363">
      <c r="A363" s="8" t="inlineStr">
        <is>
          <t>Venezuela</t>
        </is>
      </c>
      <c r="B363" s="8" t="n">
        <v>2002</v>
      </c>
      <c r="C363" s="18">
        <f>IF(Categorias!C364="","",Categorias!C364/(N(Categorias!C364)+N(Categorias!D364)+N(Categorias!E364)))</f>
        <v/>
      </c>
      <c r="D363" s="18">
        <f>IF(Categorias!H364="","",Categorias!H364/(N(Categorias!H364)+N(Categorias!I364)))</f>
        <v/>
      </c>
      <c r="E363" s="17">
        <f>IFERROR(IF(INDEX(Gini!$C$2:$C$377,MATCH($A363&amp;"|"&amp;$B363,Gini!$E$2:$E$377,0))="","",INDEX(Gini!$C$2:$C$377,MATCH($A363&amp;"|"&amp;$B363,Gini!$E$2:$E$377,0))),"")</f>
        <v/>
      </c>
      <c r="F363" s="19">
        <f>IFERROR(IF(INDEX(Corrupcion!$E$2:$E$377,MATCH($A363&amp;"|"&amp;$B363,Corrupcion!$H$2:$H$377,0))="","",INDEX(Corrupcion!$E$2:$E$377,MATCH($A363&amp;"|"&amp;$B363,Corrupcion!$H$2:$H$377,0))),"")</f>
        <v/>
      </c>
      <c r="G363" s="20">
        <f>IFERROR(IF(INDEX(Corrupcion!$F$2:$F$377,MATCH($A363&amp;"|"&amp;$B363,Corrupcion!$H$2:$H$377,0))="","",INDEX(Corrupcion!$F$2:$F$377,MATCH($A363&amp;"|"&amp;$B363,Corrupcion!$H$2:$H$377,0))),"")</f>
        <v/>
      </c>
      <c r="H363" s="17">
        <f>IFERROR(IF(INDEX(Corrupcion!$G$2:$G$377,MATCH($A363&amp;"|"&amp;$B363,Corrupcion!$H$2:$H$377,0))="","",INDEX(Corrupcion!$G$2:$G$377,MATCH($A363&amp;"|"&amp;$B363,Corrupcion!$H$2:$H$377,0))),"")</f>
        <v/>
      </c>
      <c r="I363" s="8">
        <f>IF(COUNTBLANK(C363:E363)+COUNTBLANK(F363)=0,1,0)</f>
        <v/>
      </c>
      <c r="J363" s="8">
        <f>IF(COUNTBLANK(C363:E363)+COUNTBLANK(G363)=0,1,0)</f>
        <v/>
      </c>
      <c r="K363" s="8">
        <f>IF(COUNTBLANK(C363:E363)+COUNTBLANK(H363)=0,1,0)</f>
        <v/>
      </c>
    </row>
    <row r="364">
      <c r="A364" s="8" t="inlineStr">
        <is>
          <t>Venezuela</t>
        </is>
      </c>
      <c r="B364" s="8" t="n">
        <v>2003</v>
      </c>
      <c r="C364" s="18">
        <f>IF(Categorias!C365="","",Categorias!C365/(N(Categorias!C365)+N(Categorias!D365)+N(Categorias!E365)))</f>
        <v/>
      </c>
      <c r="D364" s="18">
        <f>IF(Categorias!H365="","",Categorias!H365/(N(Categorias!H365)+N(Categorias!I365)))</f>
        <v/>
      </c>
      <c r="E364" s="17">
        <f>IFERROR(IF(INDEX(Gini!$C$2:$C$377,MATCH($A364&amp;"|"&amp;$B364,Gini!$E$2:$E$377,0))="","",INDEX(Gini!$C$2:$C$377,MATCH($A364&amp;"|"&amp;$B364,Gini!$E$2:$E$377,0))),"")</f>
        <v/>
      </c>
      <c r="F364" s="19">
        <f>IFERROR(IF(INDEX(Corrupcion!$E$2:$E$377,MATCH($A364&amp;"|"&amp;$B364,Corrupcion!$H$2:$H$377,0))="","",INDEX(Corrupcion!$E$2:$E$377,MATCH($A364&amp;"|"&amp;$B364,Corrupcion!$H$2:$H$377,0))),"")</f>
        <v/>
      </c>
      <c r="G364" s="20">
        <f>IFERROR(IF(INDEX(Corrupcion!$F$2:$F$377,MATCH($A364&amp;"|"&amp;$B364,Corrupcion!$H$2:$H$377,0))="","",INDEX(Corrupcion!$F$2:$F$377,MATCH($A364&amp;"|"&amp;$B364,Corrupcion!$H$2:$H$377,0))),"")</f>
        <v/>
      </c>
      <c r="H364" s="17">
        <f>IFERROR(IF(INDEX(Corrupcion!$G$2:$G$377,MATCH($A364&amp;"|"&amp;$B364,Corrupcion!$H$2:$H$377,0))="","",INDEX(Corrupcion!$G$2:$G$377,MATCH($A364&amp;"|"&amp;$B364,Corrupcion!$H$2:$H$377,0))),"")</f>
        <v/>
      </c>
      <c r="I364" s="8">
        <f>IF(COUNTBLANK(C364:E364)+COUNTBLANK(F364)=0,1,0)</f>
        <v/>
      </c>
      <c r="J364" s="8">
        <f>IF(COUNTBLANK(C364:E364)+COUNTBLANK(G364)=0,1,0)</f>
        <v/>
      </c>
      <c r="K364" s="8">
        <f>IF(COUNTBLANK(C364:E364)+COUNTBLANK(H364)=0,1,0)</f>
        <v/>
      </c>
    </row>
    <row r="365">
      <c r="A365" s="8" t="inlineStr">
        <is>
          <t>Venezuela</t>
        </is>
      </c>
      <c r="B365" s="8" t="n">
        <v>2004</v>
      </c>
      <c r="C365" s="18">
        <f>IF(Categorias!C366="","",Categorias!C366/(N(Categorias!C366)+N(Categorias!D366)+N(Categorias!E366)))</f>
        <v/>
      </c>
      <c r="D365" s="18">
        <f>IF(Categorias!H366="","",Categorias!H366/(N(Categorias!H366)+N(Categorias!I366)))</f>
        <v/>
      </c>
      <c r="E365" s="17">
        <f>IFERROR(IF(INDEX(Gini!$C$2:$C$377,MATCH($A365&amp;"|"&amp;$B365,Gini!$E$2:$E$377,0))="","",INDEX(Gini!$C$2:$C$377,MATCH($A365&amp;"|"&amp;$B365,Gini!$E$2:$E$377,0))),"")</f>
        <v/>
      </c>
      <c r="F365" s="19">
        <f>IFERROR(IF(INDEX(Corrupcion!$E$2:$E$377,MATCH($A365&amp;"|"&amp;$B365,Corrupcion!$H$2:$H$377,0))="","",INDEX(Corrupcion!$E$2:$E$377,MATCH($A365&amp;"|"&amp;$B365,Corrupcion!$H$2:$H$377,0))),"")</f>
        <v/>
      </c>
      <c r="G365" s="20">
        <f>IFERROR(IF(INDEX(Corrupcion!$F$2:$F$377,MATCH($A365&amp;"|"&amp;$B365,Corrupcion!$H$2:$H$377,0))="","",INDEX(Corrupcion!$F$2:$F$377,MATCH($A365&amp;"|"&amp;$B365,Corrupcion!$H$2:$H$377,0))),"")</f>
        <v/>
      </c>
      <c r="H365" s="17">
        <f>IFERROR(IF(INDEX(Corrupcion!$G$2:$G$377,MATCH($A365&amp;"|"&amp;$B365,Corrupcion!$H$2:$H$377,0))="","",INDEX(Corrupcion!$G$2:$G$377,MATCH($A365&amp;"|"&amp;$B365,Corrupcion!$H$2:$H$377,0))),"")</f>
        <v/>
      </c>
      <c r="I365" s="8">
        <f>IF(COUNTBLANK(C365:E365)+COUNTBLANK(F365)=0,1,0)</f>
        <v/>
      </c>
      <c r="J365" s="8">
        <f>IF(COUNTBLANK(C365:E365)+COUNTBLANK(G365)=0,1,0)</f>
        <v/>
      </c>
      <c r="K365" s="8">
        <f>IF(COUNTBLANK(C365:E365)+COUNTBLANK(H365)=0,1,0)</f>
        <v/>
      </c>
    </row>
    <row r="366">
      <c r="A366" s="8" t="inlineStr">
        <is>
          <t>Venezuela</t>
        </is>
      </c>
      <c r="B366" s="8" t="n">
        <v>2005</v>
      </c>
      <c r="C366" s="18">
        <f>IF(Categorias!C367="","",Categorias!C367/(N(Categorias!C367)+N(Categorias!D367)+N(Categorias!E367)))</f>
        <v/>
      </c>
      <c r="D366" s="18">
        <f>IF(Categorias!H367="","",Categorias!H367/(N(Categorias!H367)+N(Categorias!I367)))</f>
        <v/>
      </c>
      <c r="E366" s="17">
        <f>IFERROR(IF(INDEX(Gini!$C$2:$C$377,MATCH($A366&amp;"|"&amp;$B366,Gini!$E$2:$E$377,0))="","",INDEX(Gini!$C$2:$C$377,MATCH($A366&amp;"|"&amp;$B366,Gini!$E$2:$E$377,0))),"")</f>
        <v/>
      </c>
      <c r="F366" s="19">
        <f>IFERROR(IF(INDEX(Corrupcion!$E$2:$E$377,MATCH($A366&amp;"|"&amp;$B366,Corrupcion!$H$2:$H$377,0))="","",INDEX(Corrupcion!$E$2:$E$377,MATCH($A366&amp;"|"&amp;$B366,Corrupcion!$H$2:$H$377,0))),"")</f>
        <v/>
      </c>
      <c r="G366" s="20">
        <f>IFERROR(IF(INDEX(Corrupcion!$F$2:$F$377,MATCH($A366&amp;"|"&amp;$B366,Corrupcion!$H$2:$H$377,0))="","",INDEX(Corrupcion!$F$2:$F$377,MATCH($A366&amp;"|"&amp;$B366,Corrupcion!$H$2:$H$377,0))),"")</f>
        <v/>
      </c>
      <c r="H366" s="17">
        <f>IFERROR(IF(INDEX(Corrupcion!$G$2:$G$377,MATCH($A366&amp;"|"&amp;$B366,Corrupcion!$H$2:$H$377,0))="","",INDEX(Corrupcion!$G$2:$G$377,MATCH($A366&amp;"|"&amp;$B366,Corrupcion!$H$2:$H$377,0))),"")</f>
        <v/>
      </c>
      <c r="I366" s="8">
        <f>IF(COUNTBLANK(C366:E366)+COUNTBLANK(F366)=0,1,0)</f>
        <v/>
      </c>
      <c r="J366" s="8">
        <f>IF(COUNTBLANK(C366:E366)+COUNTBLANK(G366)=0,1,0)</f>
        <v/>
      </c>
      <c r="K366" s="8">
        <f>IF(COUNTBLANK(C366:E366)+COUNTBLANK(H366)=0,1,0)</f>
        <v/>
      </c>
    </row>
    <row r="367">
      <c r="A367" s="8" t="inlineStr">
        <is>
          <t>Venezuela</t>
        </is>
      </c>
      <c r="B367" s="8" t="n">
        <v>2006</v>
      </c>
      <c r="C367" s="18">
        <f>IF(Categorias!C368="","",Categorias!C368/(N(Categorias!C368)+N(Categorias!D368)+N(Categorias!E368)))</f>
        <v/>
      </c>
      <c r="D367" s="18">
        <f>IF(Categorias!H368="","",Categorias!H368/(N(Categorias!H368)+N(Categorias!I368)))</f>
        <v/>
      </c>
      <c r="E367" s="17">
        <f>IFERROR(IF(INDEX(Gini!$C$2:$C$377,MATCH($A367&amp;"|"&amp;$B367,Gini!$E$2:$E$377,0))="","",INDEX(Gini!$C$2:$C$377,MATCH($A367&amp;"|"&amp;$B367,Gini!$E$2:$E$377,0))),"")</f>
        <v/>
      </c>
      <c r="F367" s="19">
        <f>IFERROR(IF(INDEX(Corrupcion!$E$2:$E$377,MATCH($A367&amp;"|"&amp;$B367,Corrupcion!$H$2:$H$377,0))="","",INDEX(Corrupcion!$E$2:$E$377,MATCH($A367&amp;"|"&amp;$B367,Corrupcion!$H$2:$H$377,0))),"")</f>
        <v/>
      </c>
      <c r="G367" s="20">
        <f>IFERROR(IF(INDEX(Corrupcion!$F$2:$F$377,MATCH($A367&amp;"|"&amp;$B367,Corrupcion!$H$2:$H$377,0))="","",INDEX(Corrupcion!$F$2:$F$377,MATCH($A367&amp;"|"&amp;$B367,Corrupcion!$H$2:$H$377,0))),"")</f>
        <v/>
      </c>
      <c r="H367" s="17">
        <f>IFERROR(IF(INDEX(Corrupcion!$G$2:$G$377,MATCH($A367&amp;"|"&amp;$B367,Corrupcion!$H$2:$H$377,0))="","",INDEX(Corrupcion!$G$2:$G$377,MATCH($A367&amp;"|"&amp;$B367,Corrupcion!$H$2:$H$377,0))),"")</f>
        <v/>
      </c>
      <c r="I367" s="8">
        <f>IF(COUNTBLANK(C367:E367)+COUNTBLANK(F367)=0,1,0)</f>
        <v/>
      </c>
      <c r="J367" s="8">
        <f>IF(COUNTBLANK(C367:E367)+COUNTBLANK(G367)=0,1,0)</f>
        <v/>
      </c>
      <c r="K367" s="8">
        <f>IF(COUNTBLANK(C367:E367)+COUNTBLANK(H367)=0,1,0)</f>
        <v/>
      </c>
    </row>
    <row r="368">
      <c r="A368" s="8" t="inlineStr">
        <is>
          <t>Venezuela</t>
        </is>
      </c>
      <c r="B368" s="8" t="n">
        <v>2007</v>
      </c>
      <c r="C368" s="18">
        <f>IF(Categorias!C369="","",Categorias!C369/(N(Categorias!C369)+N(Categorias!D369)+N(Categorias!E369)))</f>
        <v/>
      </c>
      <c r="D368" s="18">
        <f>IF(Categorias!H369="","",Categorias!H369/(N(Categorias!H369)+N(Categorias!I369)))</f>
        <v/>
      </c>
      <c r="E368" s="17">
        <f>IFERROR(IF(INDEX(Gini!$C$2:$C$377,MATCH($A368&amp;"|"&amp;$B368,Gini!$E$2:$E$377,0))="","",INDEX(Gini!$C$2:$C$377,MATCH($A368&amp;"|"&amp;$B368,Gini!$E$2:$E$377,0))),"")</f>
        <v/>
      </c>
      <c r="F368" s="19">
        <f>IFERROR(IF(INDEX(Corrupcion!$E$2:$E$377,MATCH($A368&amp;"|"&amp;$B368,Corrupcion!$H$2:$H$377,0))="","",INDEX(Corrupcion!$E$2:$E$377,MATCH($A368&amp;"|"&amp;$B368,Corrupcion!$H$2:$H$377,0))),"")</f>
        <v/>
      </c>
      <c r="G368" s="20">
        <f>IFERROR(IF(INDEX(Corrupcion!$F$2:$F$377,MATCH($A368&amp;"|"&amp;$B368,Corrupcion!$H$2:$H$377,0))="","",INDEX(Corrupcion!$F$2:$F$377,MATCH($A368&amp;"|"&amp;$B368,Corrupcion!$H$2:$H$377,0))),"")</f>
        <v/>
      </c>
      <c r="H368" s="17">
        <f>IFERROR(IF(INDEX(Corrupcion!$G$2:$G$377,MATCH($A368&amp;"|"&amp;$B368,Corrupcion!$H$2:$H$377,0))="","",INDEX(Corrupcion!$G$2:$G$377,MATCH($A368&amp;"|"&amp;$B368,Corrupcion!$H$2:$H$377,0))),"")</f>
        <v/>
      </c>
      <c r="I368" s="8">
        <f>IF(COUNTBLANK(C368:E368)+COUNTBLANK(F368)=0,1,0)</f>
        <v/>
      </c>
      <c r="J368" s="8">
        <f>IF(COUNTBLANK(C368:E368)+COUNTBLANK(G368)=0,1,0)</f>
        <v/>
      </c>
      <c r="K368" s="8">
        <f>IF(COUNTBLANK(C368:E368)+COUNTBLANK(H368)=0,1,0)</f>
        <v/>
      </c>
    </row>
    <row r="369">
      <c r="A369" s="8" t="inlineStr">
        <is>
          <t>Venezuela</t>
        </is>
      </c>
      <c r="B369" s="8" t="n">
        <v>2008</v>
      </c>
      <c r="C369" s="18">
        <f>IF(Categorias!C370="","",Categorias!C370/(N(Categorias!C370)+N(Categorias!D370)+N(Categorias!E370)))</f>
        <v/>
      </c>
      <c r="D369" s="18">
        <f>IF(Categorias!H370="","",Categorias!H370/(N(Categorias!H370)+N(Categorias!I370)))</f>
        <v/>
      </c>
      <c r="E369" s="17">
        <f>IFERROR(IF(INDEX(Gini!$C$2:$C$377,MATCH($A369&amp;"|"&amp;$B369,Gini!$E$2:$E$377,0))="","",INDEX(Gini!$C$2:$C$377,MATCH($A369&amp;"|"&amp;$B369,Gini!$E$2:$E$377,0))),"")</f>
        <v/>
      </c>
      <c r="F369" s="19">
        <f>IFERROR(IF(INDEX(Corrupcion!$E$2:$E$377,MATCH($A369&amp;"|"&amp;$B369,Corrupcion!$H$2:$H$377,0))="","",INDEX(Corrupcion!$E$2:$E$377,MATCH($A369&amp;"|"&amp;$B369,Corrupcion!$H$2:$H$377,0))),"")</f>
        <v/>
      </c>
      <c r="G369" s="20">
        <f>IFERROR(IF(INDEX(Corrupcion!$F$2:$F$377,MATCH($A369&amp;"|"&amp;$B369,Corrupcion!$H$2:$H$377,0))="","",INDEX(Corrupcion!$F$2:$F$377,MATCH($A369&amp;"|"&amp;$B369,Corrupcion!$H$2:$H$377,0))),"")</f>
        <v/>
      </c>
      <c r="H369" s="17">
        <f>IFERROR(IF(INDEX(Corrupcion!$G$2:$G$377,MATCH($A369&amp;"|"&amp;$B369,Corrupcion!$H$2:$H$377,0))="","",INDEX(Corrupcion!$G$2:$G$377,MATCH($A369&amp;"|"&amp;$B369,Corrupcion!$H$2:$H$377,0))),"")</f>
        <v/>
      </c>
      <c r="I369" s="8">
        <f>IF(COUNTBLANK(C369:E369)+COUNTBLANK(F369)=0,1,0)</f>
        <v/>
      </c>
      <c r="J369" s="8">
        <f>IF(COUNTBLANK(C369:E369)+COUNTBLANK(G369)=0,1,0)</f>
        <v/>
      </c>
      <c r="K369" s="8">
        <f>IF(COUNTBLANK(C369:E369)+COUNTBLANK(H369)=0,1,0)</f>
        <v/>
      </c>
    </row>
    <row r="370">
      <c r="A370" s="8" t="inlineStr">
        <is>
          <t>Venezuela</t>
        </is>
      </c>
      <c r="B370" s="8" t="n">
        <v>2009</v>
      </c>
      <c r="C370" s="18">
        <f>IF(Categorias!C371="","",Categorias!C371/(N(Categorias!C371)+N(Categorias!D371)+N(Categorias!E371)))</f>
        <v/>
      </c>
      <c r="D370" s="18">
        <f>IF(Categorias!H371="","",Categorias!H371/(N(Categorias!H371)+N(Categorias!I371)))</f>
        <v/>
      </c>
      <c r="E370" s="17">
        <f>IFERROR(IF(INDEX(Gini!$C$2:$C$377,MATCH($A370&amp;"|"&amp;$B370,Gini!$E$2:$E$377,0))="","",INDEX(Gini!$C$2:$C$377,MATCH($A370&amp;"|"&amp;$B370,Gini!$E$2:$E$377,0))),"")</f>
        <v/>
      </c>
      <c r="F370" s="19">
        <f>IFERROR(IF(INDEX(Corrupcion!$E$2:$E$377,MATCH($A370&amp;"|"&amp;$B370,Corrupcion!$H$2:$H$377,0))="","",INDEX(Corrupcion!$E$2:$E$377,MATCH($A370&amp;"|"&amp;$B370,Corrupcion!$H$2:$H$377,0))),"")</f>
        <v/>
      </c>
      <c r="G370" s="20">
        <f>IFERROR(IF(INDEX(Corrupcion!$F$2:$F$377,MATCH($A370&amp;"|"&amp;$B370,Corrupcion!$H$2:$H$377,0))="","",INDEX(Corrupcion!$F$2:$F$377,MATCH($A370&amp;"|"&amp;$B370,Corrupcion!$H$2:$H$377,0))),"")</f>
        <v/>
      </c>
      <c r="H370" s="17">
        <f>IFERROR(IF(INDEX(Corrupcion!$G$2:$G$377,MATCH($A370&amp;"|"&amp;$B370,Corrupcion!$H$2:$H$377,0))="","",INDEX(Corrupcion!$G$2:$G$377,MATCH($A370&amp;"|"&amp;$B370,Corrupcion!$H$2:$H$377,0))),"")</f>
        <v/>
      </c>
      <c r="I370" s="8">
        <f>IF(COUNTBLANK(C370:E370)+COUNTBLANK(F370)=0,1,0)</f>
        <v/>
      </c>
      <c r="J370" s="8">
        <f>IF(COUNTBLANK(C370:E370)+COUNTBLANK(G370)=0,1,0)</f>
        <v/>
      </c>
      <c r="K370" s="8">
        <f>IF(COUNTBLANK(C370:E370)+COUNTBLANK(H370)=0,1,0)</f>
        <v/>
      </c>
    </row>
    <row r="371">
      <c r="A371" s="8" t="inlineStr">
        <is>
          <t>Venezuela</t>
        </is>
      </c>
      <c r="B371" s="8" t="n">
        <v>2010</v>
      </c>
      <c r="C371" s="18">
        <f>IF(Categorias!C372="","",Categorias!C372/(N(Categorias!C372)+N(Categorias!D372)+N(Categorias!E372)))</f>
        <v/>
      </c>
      <c r="D371" s="18">
        <f>IF(Categorias!H372="","",Categorias!H372/(N(Categorias!H372)+N(Categorias!I372)))</f>
        <v/>
      </c>
      <c r="E371" s="17">
        <f>IFERROR(IF(INDEX(Gini!$C$2:$C$377,MATCH($A371&amp;"|"&amp;$B371,Gini!$E$2:$E$377,0))="","",INDEX(Gini!$C$2:$C$377,MATCH($A371&amp;"|"&amp;$B371,Gini!$E$2:$E$377,0))),"")</f>
        <v/>
      </c>
      <c r="F371" s="19">
        <f>IFERROR(IF(INDEX(Corrupcion!$E$2:$E$377,MATCH($A371&amp;"|"&amp;$B371,Corrupcion!$H$2:$H$377,0))="","",INDEX(Corrupcion!$E$2:$E$377,MATCH($A371&amp;"|"&amp;$B371,Corrupcion!$H$2:$H$377,0))),"")</f>
        <v/>
      </c>
      <c r="G371" s="20">
        <f>IFERROR(IF(INDEX(Corrupcion!$F$2:$F$377,MATCH($A371&amp;"|"&amp;$B371,Corrupcion!$H$2:$H$377,0))="","",INDEX(Corrupcion!$F$2:$F$377,MATCH($A371&amp;"|"&amp;$B371,Corrupcion!$H$2:$H$377,0))),"")</f>
        <v/>
      </c>
      <c r="H371" s="17">
        <f>IFERROR(IF(INDEX(Corrupcion!$G$2:$G$377,MATCH($A371&amp;"|"&amp;$B371,Corrupcion!$H$2:$H$377,0))="","",INDEX(Corrupcion!$G$2:$G$377,MATCH($A371&amp;"|"&amp;$B371,Corrupcion!$H$2:$H$377,0))),"")</f>
        <v/>
      </c>
      <c r="I371" s="8">
        <f>IF(COUNTBLANK(C371:E371)+COUNTBLANK(F371)=0,1,0)</f>
        <v/>
      </c>
      <c r="J371" s="8">
        <f>IF(COUNTBLANK(C371:E371)+COUNTBLANK(G371)=0,1,0)</f>
        <v/>
      </c>
      <c r="K371" s="8">
        <f>IF(COUNTBLANK(C371:E371)+COUNTBLANK(H371)=0,1,0)</f>
        <v/>
      </c>
    </row>
    <row r="372">
      <c r="A372" s="8" t="inlineStr">
        <is>
          <t>Venezuela</t>
        </is>
      </c>
      <c r="B372" s="8" t="n">
        <v>2011</v>
      </c>
      <c r="C372" s="18">
        <f>IF(Categorias!C373="","",Categorias!C373/(N(Categorias!C373)+N(Categorias!D373)+N(Categorias!E373)))</f>
        <v/>
      </c>
      <c r="D372" s="18">
        <f>IF(Categorias!H373="","",Categorias!H373/(N(Categorias!H373)+N(Categorias!I373)))</f>
        <v/>
      </c>
      <c r="E372" s="17">
        <f>IFERROR(IF(INDEX(Gini!$C$2:$C$377,MATCH($A372&amp;"|"&amp;$B372,Gini!$E$2:$E$377,0))="","",INDEX(Gini!$C$2:$C$377,MATCH($A372&amp;"|"&amp;$B372,Gini!$E$2:$E$377,0))),"")</f>
        <v/>
      </c>
      <c r="F372" s="19">
        <f>IFERROR(IF(INDEX(Corrupcion!$E$2:$E$377,MATCH($A372&amp;"|"&amp;$B372,Corrupcion!$H$2:$H$377,0))="","",INDEX(Corrupcion!$E$2:$E$377,MATCH($A372&amp;"|"&amp;$B372,Corrupcion!$H$2:$H$377,0))),"")</f>
        <v/>
      </c>
      <c r="G372" s="20">
        <f>IFERROR(IF(INDEX(Corrupcion!$F$2:$F$377,MATCH($A372&amp;"|"&amp;$B372,Corrupcion!$H$2:$H$377,0))="","",INDEX(Corrupcion!$F$2:$F$377,MATCH($A372&amp;"|"&amp;$B372,Corrupcion!$H$2:$H$377,0))),"")</f>
        <v/>
      </c>
      <c r="H372" s="17">
        <f>IFERROR(IF(INDEX(Corrupcion!$G$2:$G$377,MATCH($A372&amp;"|"&amp;$B372,Corrupcion!$H$2:$H$377,0))="","",INDEX(Corrupcion!$G$2:$G$377,MATCH($A372&amp;"|"&amp;$B372,Corrupcion!$H$2:$H$377,0))),"")</f>
        <v/>
      </c>
      <c r="I372" s="8">
        <f>IF(COUNTBLANK(C372:E372)+COUNTBLANK(F372)=0,1,0)</f>
        <v/>
      </c>
      <c r="J372" s="8">
        <f>IF(COUNTBLANK(C372:E372)+COUNTBLANK(G372)=0,1,0)</f>
        <v/>
      </c>
      <c r="K372" s="8">
        <f>IF(COUNTBLANK(C372:E372)+COUNTBLANK(H372)=0,1,0)</f>
        <v/>
      </c>
    </row>
    <row r="373">
      <c r="A373" s="8" t="inlineStr">
        <is>
          <t>Venezuela</t>
        </is>
      </c>
      <c r="B373" s="8" t="n">
        <v>2016</v>
      </c>
      <c r="C373" s="18">
        <f>IF(Categorias!C374="","",Categorias!C374/(N(Categorias!C374)+N(Categorias!D374)+N(Categorias!E374)))</f>
        <v/>
      </c>
      <c r="D373" s="18">
        <f>IF(Categorias!H374="","",Categorias!H374/(N(Categorias!H374)+N(Categorias!I374)))</f>
        <v/>
      </c>
      <c r="E373" s="17">
        <f>IFERROR(IF(INDEX(Gini!$C$2:$C$377,MATCH($A373&amp;"|"&amp;$B373,Gini!$E$2:$E$377,0))="","",INDEX(Gini!$C$2:$C$377,MATCH($A373&amp;"|"&amp;$B373,Gini!$E$2:$E$377,0))),"")</f>
        <v/>
      </c>
      <c r="F373" s="19">
        <f>IFERROR(IF(INDEX(Corrupcion!$E$2:$E$377,MATCH($A373&amp;"|"&amp;$B373,Corrupcion!$H$2:$H$377,0))="","",INDEX(Corrupcion!$E$2:$E$377,MATCH($A373&amp;"|"&amp;$B373,Corrupcion!$H$2:$H$377,0))),"")</f>
        <v/>
      </c>
      <c r="G373" s="20">
        <f>IFERROR(IF(INDEX(Corrupcion!$F$2:$F$377,MATCH($A373&amp;"|"&amp;$B373,Corrupcion!$H$2:$H$377,0))="","",INDEX(Corrupcion!$F$2:$F$377,MATCH($A373&amp;"|"&amp;$B373,Corrupcion!$H$2:$H$377,0))),"")</f>
        <v/>
      </c>
      <c r="H373" s="17">
        <f>IFERROR(IF(INDEX(Corrupcion!$G$2:$G$377,MATCH($A373&amp;"|"&amp;$B373,Corrupcion!$H$2:$H$377,0))="","",INDEX(Corrupcion!$G$2:$G$377,MATCH($A373&amp;"|"&amp;$B373,Corrupcion!$H$2:$H$377,0))),"")</f>
        <v/>
      </c>
      <c r="I373" s="8">
        <f>IF(COUNTBLANK(C373:E373)+COUNTBLANK(F373)=0,1,0)</f>
        <v/>
      </c>
      <c r="J373" s="8">
        <f>IF(COUNTBLANK(C373:E373)+COUNTBLANK(G373)=0,1,0)</f>
        <v/>
      </c>
      <c r="K373" s="8">
        <f>IF(COUNTBLANK(C373:E373)+COUNTBLANK(H373)=0,1,0)</f>
        <v/>
      </c>
    </row>
    <row r="374">
      <c r="A374" s="8" t="inlineStr">
        <is>
          <t>Venezuela</t>
        </is>
      </c>
      <c r="B374" s="8" t="n">
        <v>2017</v>
      </c>
      <c r="C374" s="18">
        <f>IF(Categorias!C375="","",Categorias!C375/(N(Categorias!C375)+N(Categorias!D375)+N(Categorias!E375)))</f>
        <v/>
      </c>
      <c r="D374" s="18">
        <f>IF(Categorias!H375="","",Categorias!H375/(N(Categorias!H375)+N(Categorias!I375)))</f>
        <v/>
      </c>
      <c r="E374" s="17">
        <f>IFERROR(IF(INDEX(Gini!$C$2:$C$377,MATCH($A374&amp;"|"&amp;$B374,Gini!$E$2:$E$377,0))="","",INDEX(Gini!$C$2:$C$377,MATCH($A374&amp;"|"&amp;$B374,Gini!$E$2:$E$377,0))),"")</f>
        <v/>
      </c>
      <c r="F374" s="19">
        <f>IFERROR(IF(INDEX(Corrupcion!$E$2:$E$377,MATCH($A374&amp;"|"&amp;$B374,Corrupcion!$H$2:$H$377,0))="","",INDEX(Corrupcion!$E$2:$E$377,MATCH($A374&amp;"|"&amp;$B374,Corrupcion!$H$2:$H$377,0))),"")</f>
        <v/>
      </c>
      <c r="G374" s="20">
        <f>IFERROR(IF(INDEX(Corrupcion!$F$2:$F$377,MATCH($A374&amp;"|"&amp;$B374,Corrupcion!$H$2:$H$377,0))="","",INDEX(Corrupcion!$F$2:$F$377,MATCH($A374&amp;"|"&amp;$B374,Corrupcion!$H$2:$H$377,0))),"")</f>
        <v/>
      </c>
      <c r="H374" s="17">
        <f>IFERROR(IF(INDEX(Corrupcion!$G$2:$G$377,MATCH($A374&amp;"|"&amp;$B374,Corrupcion!$H$2:$H$377,0))="","",INDEX(Corrupcion!$G$2:$G$377,MATCH($A374&amp;"|"&amp;$B374,Corrupcion!$H$2:$H$377,0))),"")</f>
        <v/>
      </c>
      <c r="I374" s="8">
        <f>IF(COUNTBLANK(C374:E374)+COUNTBLANK(F374)=0,1,0)</f>
        <v/>
      </c>
      <c r="J374" s="8">
        <f>IF(COUNTBLANK(C374:E374)+COUNTBLANK(G374)=0,1,0)</f>
        <v/>
      </c>
      <c r="K374" s="8">
        <f>IF(COUNTBLANK(C374:E374)+COUNTBLANK(H374)=0,1,0)</f>
        <v/>
      </c>
    </row>
    <row r="375">
      <c r="A375" s="8" t="inlineStr">
        <is>
          <t>Venezuela</t>
        </is>
      </c>
      <c r="B375" s="8" t="n">
        <v>2018</v>
      </c>
      <c r="C375" s="18">
        <f>IF(Categorias!C376="","",Categorias!C376/(N(Categorias!C376)+N(Categorias!D376)+N(Categorias!E376)))</f>
        <v/>
      </c>
      <c r="D375" s="18">
        <f>IF(Categorias!H376="","",Categorias!H376/(N(Categorias!H376)+N(Categorias!I376)))</f>
        <v/>
      </c>
      <c r="E375" s="17">
        <f>IFERROR(IF(INDEX(Gini!$C$2:$C$377,MATCH($A375&amp;"|"&amp;$B375,Gini!$E$2:$E$377,0))="","",INDEX(Gini!$C$2:$C$377,MATCH($A375&amp;"|"&amp;$B375,Gini!$E$2:$E$377,0))),"")</f>
        <v/>
      </c>
      <c r="F375" s="19">
        <f>IFERROR(IF(INDEX(Corrupcion!$E$2:$E$377,MATCH($A375&amp;"|"&amp;$B375,Corrupcion!$H$2:$H$377,0))="","",INDEX(Corrupcion!$E$2:$E$377,MATCH($A375&amp;"|"&amp;$B375,Corrupcion!$H$2:$H$377,0))),"")</f>
        <v/>
      </c>
      <c r="G375" s="20">
        <f>IFERROR(IF(INDEX(Corrupcion!$F$2:$F$377,MATCH($A375&amp;"|"&amp;$B375,Corrupcion!$H$2:$H$377,0))="","",INDEX(Corrupcion!$F$2:$F$377,MATCH($A375&amp;"|"&amp;$B375,Corrupcion!$H$2:$H$377,0))),"")</f>
        <v/>
      </c>
      <c r="H375" s="17">
        <f>IFERROR(IF(INDEX(Corrupcion!$G$2:$G$377,MATCH($A375&amp;"|"&amp;$B375,Corrupcion!$H$2:$H$377,0))="","",INDEX(Corrupcion!$G$2:$G$377,MATCH($A375&amp;"|"&amp;$B375,Corrupcion!$H$2:$H$377,0))),"")</f>
        <v/>
      </c>
      <c r="I375" s="8">
        <f>IF(COUNTBLANK(C375:E375)+COUNTBLANK(F375)=0,1,0)</f>
        <v/>
      </c>
      <c r="J375" s="8">
        <f>IF(COUNTBLANK(C375:E375)+COUNTBLANK(G375)=0,1,0)</f>
        <v/>
      </c>
      <c r="K375" s="8">
        <f>IF(COUNTBLANK(C375:E375)+COUNTBLANK(H375)=0,1,0)</f>
        <v/>
      </c>
    </row>
    <row r="376">
      <c r="A376" s="8" t="inlineStr">
        <is>
          <t>Venezuela</t>
        </is>
      </c>
      <c r="B376" s="8" t="n">
        <v>2020</v>
      </c>
      <c r="C376" s="18">
        <f>IF(Categorias!C377="","",Categorias!C377/(N(Categorias!C377)+N(Categorias!D377)+N(Categorias!E377)))</f>
        <v/>
      </c>
      <c r="D376" s="18">
        <f>IF(Categorias!H377="","",Categorias!H377/(N(Categorias!H377)+N(Categorias!I377)))</f>
        <v/>
      </c>
      <c r="E376" s="17">
        <f>IFERROR(IF(INDEX(Gini!$C$2:$C$377,MATCH($A376&amp;"|"&amp;$B376,Gini!$E$2:$E$377,0))="","",INDEX(Gini!$C$2:$C$377,MATCH($A376&amp;"|"&amp;$B376,Gini!$E$2:$E$377,0))),"")</f>
        <v/>
      </c>
      <c r="F376" s="19">
        <f>IFERROR(IF(INDEX(Corrupcion!$E$2:$E$377,MATCH($A376&amp;"|"&amp;$B376,Corrupcion!$H$2:$H$377,0))="","",INDEX(Corrupcion!$E$2:$E$377,MATCH($A376&amp;"|"&amp;$B376,Corrupcion!$H$2:$H$377,0))),"")</f>
        <v/>
      </c>
      <c r="G376" s="20">
        <f>IFERROR(IF(INDEX(Corrupcion!$F$2:$F$377,MATCH($A376&amp;"|"&amp;$B376,Corrupcion!$H$2:$H$377,0))="","",INDEX(Corrupcion!$F$2:$F$377,MATCH($A376&amp;"|"&amp;$B376,Corrupcion!$H$2:$H$377,0))),"")</f>
        <v/>
      </c>
      <c r="H376" s="17">
        <f>IFERROR(IF(INDEX(Corrupcion!$G$2:$G$377,MATCH($A376&amp;"|"&amp;$B376,Corrupcion!$H$2:$H$377,0))="","",INDEX(Corrupcion!$G$2:$G$377,MATCH($A376&amp;"|"&amp;$B376,Corrupcion!$H$2:$H$377,0))),"")</f>
        <v/>
      </c>
      <c r="I376" s="8">
        <f>IF(COUNTBLANK(C376:E376)+COUNTBLANK(F376)=0,1,0)</f>
        <v/>
      </c>
      <c r="J376" s="8">
        <f>IF(COUNTBLANK(C376:E376)+COUNTBLANK(G376)=0,1,0)</f>
        <v/>
      </c>
      <c r="K376" s="8">
        <f>IF(COUNTBLANK(C376:E376)+COUNTBLANK(H376)=0,1,0)</f>
        <v/>
      </c>
    </row>
    <row r="377">
      <c r="A377" s="8" t="inlineStr">
        <is>
          <t>Venezuela</t>
        </is>
      </c>
      <c r="B377" s="8" t="n">
        <v>2024</v>
      </c>
      <c r="C377" s="18">
        <f>IF(Categorias!C378="","",Categorias!C378/(N(Categorias!C378)+N(Categorias!D378)+N(Categorias!E378)))</f>
        <v/>
      </c>
      <c r="D377" s="18">
        <f>IF(Categorias!H378="","",Categorias!H378/(N(Categorias!H378)+N(Categorias!I378)))</f>
        <v/>
      </c>
      <c r="E377" s="17">
        <f>IFERROR(IF(INDEX(Gini!$C$2:$C$377,MATCH($A377&amp;"|"&amp;$B377,Gini!$E$2:$E$377,0))="","",INDEX(Gini!$C$2:$C$377,MATCH($A377&amp;"|"&amp;$B377,Gini!$E$2:$E$377,0))),"")</f>
        <v/>
      </c>
      <c r="F377" s="19">
        <f>IFERROR(IF(INDEX(Corrupcion!$E$2:$E$377,MATCH($A377&amp;"|"&amp;$B377,Corrupcion!$H$2:$H$377,0))="","",INDEX(Corrupcion!$E$2:$E$377,MATCH($A377&amp;"|"&amp;$B377,Corrupcion!$H$2:$H$377,0))),"")</f>
        <v/>
      </c>
      <c r="G377" s="20">
        <f>IFERROR(IF(INDEX(Corrupcion!$F$2:$F$377,MATCH($A377&amp;"|"&amp;$B377,Corrupcion!$H$2:$H$377,0))="","",INDEX(Corrupcion!$F$2:$F$377,MATCH($A377&amp;"|"&amp;$B377,Corrupcion!$H$2:$H$377,0))),"")</f>
        <v/>
      </c>
      <c r="H377" s="17">
        <f>IFERROR(IF(INDEX(Corrupcion!$G$2:$G$377,MATCH($A377&amp;"|"&amp;$B377,Corrupcion!$H$2:$H$377,0))="","",INDEX(Corrupcion!$G$2:$G$377,MATCH($A377&amp;"|"&amp;$B377,Corrupcion!$H$2:$H$377,0))),"")</f>
        <v/>
      </c>
      <c r="I377" s="8">
        <f>IF(COUNTBLANK(C377:E377)+COUNTBLANK(F377)=0,1,0)</f>
        <v/>
      </c>
      <c r="J377" s="8">
        <f>IF(COUNTBLANK(C377:E377)+COUNTBLANK(G377)=0,1,0)</f>
        <v/>
      </c>
      <c r="K377" s="8">
        <f>IF(COUNTBLANK(C377:E377)+COUNTBLANK(H377)=0,1,0)</f>
        <v/>
      </c>
    </row>
  </sheetData>
  <autoFilter ref="A1:K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2026-09-26T12:42:20Z</dcterms:created>
  <dcterms:modified xsi:type="dcterms:W3CDTF">2026-09-26T12:42:20Z</dcterms:modified>
</cp:coreProperties>
</file>